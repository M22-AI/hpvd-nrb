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1.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B6124F1A-AFFB-F854-7757-9A1D4C6FC43C}"/>
  <workbookPr codeName="Questa_cartella_di_lavoro"/>
  <mc:AlternateContent xmlns:mc="http://schemas.openxmlformats.org/markup-compatibility/2006">
    <mc:Choice Requires="x15">
      <x15ac:absPath xmlns:x15ac="http://schemas.microsoft.com/office/spreadsheetml/2010/11/ac" url="\\192.168.1.31\Escussioni\1400001___1500000\1437613\"/>
    </mc:Choice>
  </mc:AlternateContent>
  <xr:revisionPtr revIDLastSave="0" documentId="13_ncr:1_{753B2A2B-9B0E-4623-82DC-B259F258BD4B}" xr6:coauthVersionLast="47" xr6:coauthVersionMax="47" xr10:uidLastSave="{00000000-0000-0000-0000-000000000000}"/>
  <bookViews>
    <workbookView xWindow="-120" yWindow="-120" windowWidth="29040" windowHeight="15840" tabRatio="676" xr2:uid="{00000000-000D-0000-FFFF-FFFF00000000}"/>
  </bookViews>
  <sheets>
    <sheet name="CHECK_2.9" sheetId="2" r:id="rId1"/>
    <sheet name="Check_Doc" sheetId="9" state="hidden" r:id="rId2"/>
    <sheet name="Check_Doc(db)" sheetId="8" state="hidden" r:id="rId3"/>
    <sheet name="ParDim" sheetId="1" r:id="rId4"/>
    <sheet name="VAR_1" sheetId="3" state="hidden" r:id="rId5"/>
    <sheet name="RULES" sheetId="4" state="hidden" r:id="rId6"/>
    <sheet name="RULES_TERMINI" sheetId="5" state="hidden" r:id="rId7"/>
    <sheet name="ATECO 2007_ammissibilità" sheetId="6" state="hidden" r:id="rId8"/>
    <sheet name="Pregiudizievoli_Mod Rating" sheetId="10" r:id="rId9"/>
    <sheet name="Rendistato" sheetId="11" state="hidden" r:id="rId10"/>
  </sheets>
  <externalReferences>
    <externalReference r:id="rId11"/>
    <externalReference r:id="rId12"/>
    <externalReference r:id="rId13"/>
    <externalReference r:id="rId14"/>
    <externalReference r:id="rId15"/>
    <externalReference r:id="rId16"/>
  </externalReferences>
  <definedNames>
    <definedName name="_">#REF!</definedName>
    <definedName name="_xlnm._FilterDatabase" localSheetId="7" hidden="1">'ATECO 2007_ammissibilità'!$A$1:$V$1724</definedName>
    <definedName name="_xlnm._FilterDatabase" localSheetId="2" hidden="1">'Check_Doc(db)'!$A$2:$D$2</definedName>
    <definedName name="_xlnm._FilterDatabase" localSheetId="3" hidden="1">ParDim!$A$2:$G$5</definedName>
    <definedName name="_xlnm._FilterDatabase" localSheetId="8" hidden="1">'Pregiudizievoli_Mod Rating'!$A$1:$E$1</definedName>
    <definedName name="A." localSheetId="3">[1]domini!$A$13:$A$14</definedName>
    <definedName name="A.">[2]ParDim!$A$13:$A$14</definedName>
    <definedName name="A_1">[3]domini!$A$13:$A$14</definedName>
    <definedName name="AmmNoAmm">[2]ParDim!$A$59:$A$60</definedName>
    <definedName name="AmmNoAmm_1">[3]domini!$A$59:$A$60</definedName>
    <definedName name="_xlnm.Print_Area" localSheetId="0">'CHECK_2.9'!$A$1:$G$268</definedName>
    <definedName name="_xlnm.Print_Area" localSheetId="1">Check_Doc!$A$1:$C$157</definedName>
    <definedName name="_xlnm.Print_Area" localSheetId="3">ParDim!$A$1:$I$63</definedName>
    <definedName name="AreaDate">[2]ParDim!$A$4:$A$52,[2]ParDim!$C$4:$C$52,[2]ParDim!$E$4:$E$52</definedName>
    <definedName name="AreaDate_1">[3]Fatture!$A$4:$A$52,[3]Fatture!$C$4:$C$52,[3]Fatture!$E$4:$E$52</definedName>
    <definedName name="asdfsfasf" localSheetId="3">#REF!</definedName>
    <definedName name="asdfsfasf">#REF!</definedName>
    <definedName name="asdfsfasf_1">#REF!</definedName>
    <definedName name="asdgd">[4]domini!$H$19:$H$21</definedName>
    <definedName name="B." localSheetId="3">[1]domini!$B$13:$B$16</definedName>
    <definedName name="C." localSheetId="3">[1]domini!$C$13:$C$16</definedName>
    <definedName name="Commissione">[2]ParDim!$I$13:$I$22</definedName>
    <definedName name="Commissione_1">[3]domini!$I$13:$I$22</definedName>
    <definedName name="Contab" localSheetId="3">[1]domini!$D$53:$D$54</definedName>
    <definedName name="Contab">[2]ParDim!$D$53:$D$54</definedName>
    <definedName name="Contab_1">[3]domini!$D$53:$D$54</definedName>
    <definedName name="D." localSheetId="3">[1]domini!$D$13:$D$15</definedName>
    <definedName name="D.">[2]ParDim!$D$13:$D$15</definedName>
    <definedName name="D_1">[3]domini!$D$13:$D$15</definedName>
    <definedName name="De_Minimis" localSheetId="3">[1]domini!$B$37:$B$38</definedName>
    <definedName name="De_Minimis">[2]ParDim!$B$37:$B$38</definedName>
    <definedName name="De_minimis_1">[3]domini!$B$37:$B$38</definedName>
    <definedName name="Durata_Fin" localSheetId="3">[1]domini!$I$2:$I$3</definedName>
    <definedName name="Durata_Fin">[2]ParDim!$I$2:$I$3</definedName>
    <definedName name="Durata_Fin_1">[3]domini!$I$2:$I$3</definedName>
    <definedName name="E." localSheetId="3">[1]domini!$E$13:$E$15</definedName>
    <definedName name="E.">[2]ParDim!$E$13:$E$15</definedName>
    <definedName name="E_1">[3]domini!$E$13:$E$15</definedName>
    <definedName name="Esito">[2]ParDim!$C$27:$C$32</definedName>
    <definedName name="Esito_1">[3]domini!$C$27:$C$32</definedName>
    <definedName name="Esito_Verifica" localSheetId="3">[1]domini!$C$27:$C$30</definedName>
    <definedName name="F." localSheetId="3">[1]domini!$F$13:$F$17</definedName>
    <definedName name="G." localSheetId="3">[1]domini!$G$13:$G$16</definedName>
    <definedName name="G.">[2]ParDim!$G$13:$G$16</definedName>
    <definedName name="G_1">[3]domini!$G$13:$G$16</definedName>
    <definedName name="ghk" localSheetId="3">#REF!</definedName>
    <definedName name="ghk">#REF!</definedName>
    <definedName name="ghk_1">#REF!</definedName>
    <definedName name="H." localSheetId="3">[1]domini!$A$20:$A$24</definedName>
    <definedName name="I." localSheetId="3">[1]domini!$B$20:$B$24</definedName>
    <definedName name="Istruttori" localSheetId="3">[1]domini!$F$27:$F$33</definedName>
    <definedName name="Istruttori">[2]ParDim!$F$27:$F$33</definedName>
    <definedName name="Istruttori_1">[3]domini!$F$27:$F$33</definedName>
    <definedName name="Istruttori2007" localSheetId="3">#REF!</definedName>
    <definedName name="Istruttori2007">#REF!</definedName>
    <definedName name="Istruttori2007_1">#REF!</definedName>
    <definedName name="Istruttori2010" localSheetId="3">#REF!</definedName>
    <definedName name="Istruttori2010">#REF!</definedName>
    <definedName name="Istruttori2010_1">#REF!</definedName>
    <definedName name="J." localSheetId="3">[1]domini!$C$20:$C$22</definedName>
    <definedName name="J.">[2]ParDim!$C$20:$C$22</definedName>
    <definedName name="J_1">[3]domini!$C$20:$C$22</definedName>
    <definedName name="K." localSheetId="3">[1]domini!$D$20:$D$22</definedName>
    <definedName name="k_note" localSheetId="3">[1]domini!$D$37</definedName>
    <definedName name="L." localSheetId="3">[1]domini!$E$20:$E$22</definedName>
    <definedName name="L.">[2]ParDim!$E$20:$E$22</definedName>
    <definedName name="L_1">[3]domini!$E$20:$E$22</definedName>
    <definedName name="Legami">[2]ParDim!$G$53:$G$56</definedName>
    <definedName name="Legami_1">[3]domini!$G$53:$G$56</definedName>
    <definedName name="M." localSheetId="3">[1]domini!$F$20:$F$22</definedName>
    <definedName name="N." localSheetId="3">[1]domini!$G$20:$G$22</definedName>
    <definedName name="N.">[2]ParDim!$G$20:$G$22</definedName>
    <definedName name="N_1">[3]domini!$G$20:$G$22</definedName>
    <definedName name="O." localSheetId="3">[1]domini!$H$20:$H$22</definedName>
    <definedName name="O.">[2]ParDim!$H$20:$H$22</definedName>
    <definedName name="O_1">[3]domini!$H$20:$H$22</definedName>
    <definedName name="Pres_ass_coll" localSheetId="3">[1]domini!$A$37:$A$38</definedName>
    <definedName name="Process">[2]ParDim!$A$2:$A$7</definedName>
    <definedName name="Process_1">[3]domini!$A$2:$A$8</definedName>
    <definedName name="Prodotto" localSheetId="3">[1]domini!$E$2:$E$5</definedName>
    <definedName name="Prodotto">[2]ParDim!$E$2:$E$5</definedName>
    <definedName name="Prodotto_1">[3]domini!$E$2:$E$5</definedName>
    <definedName name="Relazione" localSheetId="3">[2]ParDim!$H$27:$H$29</definedName>
    <definedName name="Scoring_t" localSheetId="3">[1]domini!$D$27:$D$29</definedName>
    <definedName name="Scoring_tmeno1" localSheetId="3">[1]domini!$E$27:$E$29</definedName>
    <definedName name="Settori" localSheetId="3">[1]domini1!$B$2:$B$6</definedName>
    <definedName name="Settori">[2]ParDim!$B$2:$B$6</definedName>
    <definedName name="Settori_1">[3]domini1!$B$2:$B$6</definedName>
    <definedName name="Settori_Cont_Sempl" localSheetId="3">'[1]domini (2)'!$B$2:$B$4</definedName>
    <definedName name="sfsdf">[4]domini!$A$52:$A$53</definedName>
    <definedName name="SiNo">[2]ParDim!$F$53:$F$54</definedName>
    <definedName name="SiNo_1">[3]domini!$F$53:$F$54</definedName>
    <definedName name="Tip_fin" localSheetId="3">[1]domini!$C$2:$C$10</definedName>
    <definedName name="Tip_fin">[2]ParDim!$C$2:$C$10</definedName>
    <definedName name="Tip_fin_1">[3]domini!$C$2:$C$10</definedName>
    <definedName name="Tip_op" localSheetId="3">[1]domini!$A$4:$A$6</definedName>
    <definedName name="TipoGar">[2]ParDim!$I$53:$I$55</definedName>
    <definedName name="TipoGar_1">[3]domini!$I$53:$I$55</definedName>
    <definedName name="TotAtt1" localSheetId="3">[1]Attivo!$AA$17</definedName>
    <definedName name="TotAtt1">[2]ParDim!$AA$17</definedName>
    <definedName name="TotAtt1_1">[3]Attivo!$AA$17</definedName>
    <definedName name="TotAtt2" localSheetId="3">[1]Attivo!$AA$33</definedName>
    <definedName name="TotAtt2">[2]ParDim!$AA$33</definedName>
    <definedName name="TotAtt2_1">[3]Attivo!$AA$33</definedName>
    <definedName name="TotPass1" localSheetId="3">[1]Passivo!$AA$37</definedName>
    <definedName name="TotPass1">[2]ParDim!$AA$37</definedName>
    <definedName name="TotPass1_1">[3]Passivo!$AA$37</definedName>
    <definedName name="TotPass2" localSheetId="3">[1]Passivo!$AA$73</definedName>
    <definedName name="TotPass2">[2]ParDim!$AA$73</definedName>
    <definedName name="TotPass2_1">[3]Passivo!$AA$73</definedName>
    <definedName name="Utile1" localSheetId="3">[1]Passivo!$AA$10</definedName>
    <definedName name="Utile1">[2]ParDim!$AA$10</definedName>
    <definedName name="Utile1_1">[3]Passivo!$AA$10</definedName>
    <definedName name="Utile2" localSheetId="3">[1]Passivo!$AA$46</definedName>
    <definedName name="Utile2">[2]ParDim!$AA$46</definedName>
    <definedName name="Utile2_1">[3]Passivo!$AA$46</definedName>
    <definedName name="UtileCE1" localSheetId="3">[1]ContoEco!$AA$31</definedName>
    <definedName name="UtileCE1">#REF!</definedName>
    <definedName name="UtileCE1_1">#REF!</definedName>
    <definedName name="UtileCE2" localSheetId="3">[1]ContoEco!$AA$61</definedName>
    <definedName name="UtileCE2">#REF!</definedName>
    <definedName name="UtileCE2_1">#REF!</definedName>
    <definedName name="Var_op_microcredito" localSheetId="3">[5]domini!$F$45:$F$47</definedName>
    <definedName name="Var_op_microcredito">[6]domini!$F$45:$F$47</definedName>
    <definedName name="Ver_deminimis" localSheetId="3">[1]domini!$H$45:$H$47</definedName>
    <definedName name="Ver_deminimis">[2]ParDim!$H$45:$H$47</definedName>
    <definedName name="Ver_deminimis_1">[3]domini!$H$45:$H$47</definedName>
    <definedName name="Ver_op_microcredito" localSheetId="3">[1]domini!$F$45:$F$47</definedName>
    <definedName name="Ver_op_microcredito">[2]ParDim!$F$45:$F$47</definedName>
    <definedName name="Ver_op_microcredito_1">[3]domini!$F$45:$F$47</definedName>
    <definedName name="Ver_op_sempl" localSheetId="3">[1]domini!$C$37:$C$38</definedName>
    <definedName name="Ver_op_sempl">[2]ParDim!$C$37:$C$38</definedName>
    <definedName name="Ver_op_sempl_1">[3]domini!$C$37:$C$38</definedName>
    <definedName name="Ver_param_dim" localSheetId="3">[1]domini!$B$27:$B$30</definedName>
    <definedName name="Ver_param_dim">[2]ParDim!$B$27:$B$30</definedName>
    <definedName name="Ver_param_dim_1">[3]domini!$B$27:$B$30</definedName>
    <definedName name="Ver_realiz_inv" localSheetId="3">[1]domini!$A$53:$A$54</definedName>
    <definedName name="Ver_realiz_inv">[2]ParDim!$A$53:$A$54</definedName>
    <definedName name="Ver_realiz_inv_1">[3]domini!$A$53:$A$54</definedName>
    <definedName name="Ver_soci_fem" localSheetId="3">[1]domini!$D$45:$D$47</definedName>
    <definedName name="Ver_soci_fem">[2]ParDim!$D$45:$D$47</definedName>
    <definedName name="Ver_soci_fem_1">[3]domini!$D$45:$D$47</definedName>
    <definedName name="Verifica_MLT" localSheetId="3">[1]domini!$A$45:$A$47</definedName>
    <definedName name="Vers_pag_commis2" localSheetId="3">[1]domini!$A$27:$A$32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9" i="4" l="1"/>
  <c r="X22" i="4"/>
  <c r="X21" i="4"/>
  <c r="X20" i="4"/>
  <c r="D83" i="2"/>
  <c r="F82" i="2"/>
  <c r="F83" i="2"/>
  <c r="B33" i="4"/>
  <c r="B32" i="4"/>
  <c r="W16" i="4"/>
  <c r="W15" i="4"/>
  <c r="F91" i="2"/>
  <c r="D92" i="2"/>
  <c r="G126" i="2"/>
  <c r="T15" i="4"/>
  <c r="X16" i="4" l="1"/>
  <c r="X11" i="4"/>
  <c r="X10" i="4"/>
  <c r="F224" i="2"/>
  <c r="E150" i="2"/>
  <c r="W4" i="4"/>
  <c r="E30" i="2" l="1"/>
  <c r="S80" i="4"/>
  <c r="T80" i="4" s="1"/>
  <c r="G61" i="2" s="1"/>
  <c r="P79" i="5"/>
  <c r="G75" i="2"/>
  <c r="S69" i="4"/>
  <c r="U67" i="4" l="1"/>
  <c r="V68" i="4" s="1"/>
  <c r="D104" i="2"/>
  <c r="D99" i="2"/>
  <c r="S76" i="4"/>
  <c r="D100" i="2"/>
  <c r="T73" i="4"/>
  <c r="E104" i="2"/>
  <c r="T67" i="4"/>
  <c r="V67" i="4" s="1"/>
  <c r="B104" i="2"/>
  <c r="G44" i="2"/>
  <c r="V70" i="4" l="1"/>
  <c r="C50" i="2"/>
  <c r="D42" i="2"/>
  <c r="F149" i="2"/>
  <c r="G149" i="2"/>
  <c r="B3" i="4"/>
  <c r="L92" i="5"/>
  <c r="M92" i="5" s="1"/>
  <c r="L90" i="5"/>
  <c r="M90" i="5" s="1"/>
  <c r="I97" i="5"/>
  <c r="M89" i="5" s="1"/>
  <c r="D59" i="2"/>
  <c r="E57" i="2"/>
  <c r="W63" i="4"/>
  <c r="E93" i="2"/>
  <c r="E29" i="2"/>
  <c r="B16" i="2"/>
  <c r="X30" i="4"/>
  <c r="G68" i="2"/>
  <c r="G69" i="2"/>
  <c r="G70" i="2"/>
  <c r="G71" i="2"/>
  <c r="G67" i="2"/>
  <c r="W35" i="4"/>
  <c r="W36" i="4"/>
  <c r="W37" i="4"/>
  <c r="W38" i="4"/>
  <c r="W34" i="4"/>
  <c r="A56" i="4"/>
  <c r="W51" i="4"/>
  <c r="W52" i="4"/>
  <c r="W53" i="4"/>
  <c r="W54" i="4"/>
  <c r="W50" i="4"/>
  <c r="W41" i="4" a="1"/>
  <c r="W41" i="4" s="1"/>
  <c r="W46" i="4" s="1"/>
  <c r="P75" i="4"/>
  <c r="W29" i="4"/>
  <c r="W31" i="4" s="1"/>
  <c r="W32" i="4" s="1"/>
  <c r="B86" i="2" s="1"/>
  <c r="B226" i="2"/>
  <c r="E23" i="4"/>
  <c r="Y31" i="11"/>
  <c r="Y32" i="11"/>
  <c r="V82" i="4" s="1"/>
  <c r="Y48" i="11"/>
  <c r="Y47" i="11"/>
  <c r="Y46" i="11"/>
  <c r="Y45" i="11"/>
  <c r="Y41" i="11"/>
  <c r="Y42" i="11"/>
  <c r="Y43" i="11"/>
  <c r="Y40" i="11"/>
  <c r="Y49" i="11"/>
  <c r="Y50" i="11"/>
  <c r="Y51" i="11"/>
  <c r="Y44" i="11"/>
  <c r="Y30" i="11"/>
  <c r="Y29" i="11"/>
  <c r="Y28" i="11"/>
  <c r="Y27" i="11"/>
  <c r="Y26" i="11"/>
  <c r="Y25" i="11"/>
  <c r="Y24" i="11"/>
  <c r="Y23" i="11"/>
  <c r="Y22" i="11"/>
  <c r="Y21" i="11"/>
  <c r="F87" i="2"/>
  <c r="B199" i="2"/>
  <c r="W64" i="4" l="1"/>
  <c r="C104" i="2" s="1"/>
  <c r="J98" i="5"/>
  <c r="L94" i="5"/>
  <c r="F126" i="2" s="1"/>
  <c r="W65" i="4"/>
  <c r="F104" i="2" s="1"/>
  <c r="D77" i="2"/>
  <c r="W55" i="4"/>
  <c r="W48" i="4" s="1"/>
  <c r="W39" i="4"/>
  <c r="B158" i="2"/>
  <c r="S20" i="4"/>
  <c r="S21" i="4" s="1"/>
  <c r="F199" i="2" s="1"/>
  <c r="D201" i="2"/>
  <c r="F219" i="2"/>
  <c r="F218" i="2"/>
  <c r="F217" i="2"/>
  <c r="D29" i="2"/>
  <c r="R50" i="4"/>
  <c r="D200" i="2"/>
  <c r="D202" i="2" s="1"/>
  <c r="Q40" i="4" s="1"/>
  <c r="R48" i="4"/>
  <c r="R47" i="4"/>
  <c r="R41" i="4"/>
  <c r="R40" i="4"/>
  <c r="R39" i="4"/>
  <c r="R44" i="4"/>
  <c r="R43" i="4"/>
  <c r="Q46" i="4" s="1"/>
  <c r="G78" i="2"/>
  <c r="S30" i="4"/>
  <c r="S31" i="4" s="1"/>
  <c r="R28" i="4"/>
  <c r="S28" i="4"/>
  <c r="Q34" i="4"/>
  <c r="F78" i="2"/>
  <c r="Q29" i="4"/>
  <c r="P24" i="4"/>
  <c r="Q24" i="4"/>
  <c r="Q23" i="4"/>
  <c r="N77" i="5"/>
  <c r="O77" i="5" s="1"/>
  <c r="O3" i="4"/>
  <c r="P3" i="4" s="1"/>
  <c r="R46" i="4" l="1"/>
  <c r="C200" i="2" s="1"/>
  <c r="R49" i="4"/>
  <c r="R42" i="4"/>
  <c r="F202" i="2" s="1"/>
  <c r="F201" i="2" s="1"/>
  <c r="S29" i="4"/>
  <c r="D76" i="2"/>
  <c r="Q25" i="4"/>
  <c r="C77" i="2" s="1"/>
  <c r="Q19" i="4"/>
  <c r="X58" i="4" s="1"/>
  <c r="Q18" i="4"/>
  <c r="I93" i="5"/>
  <c r="I90" i="5"/>
  <c r="J90" i="5" s="1"/>
  <c r="J87" i="5"/>
  <c r="J82" i="5"/>
  <c r="S51" i="11"/>
  <c r="N51" i="11"/>
  <c r="I51" i="11"/>
  <c r="D51" i="11"/>
  <c r="S50" i="11"/>
  <c r="N50" i="11"/>
  <c r="I50" i="11"/>
  <c r="D50" i="11"/>
  <c r="S49" i="11"/>
  <c r="N49" i="11"/>
  <c r="I49" i="11"/>
  <c r="D49" i="11"/>
  <c r="S48" i="11"/>
  <c r="N48" i="11"/>
  <c r="I48" i="11"/>
  <c r="D48" i="11"/>
  <c r="S47" i="11"/>
  <c r="N47" i="11"/>
  <c r="I47" i="11"/>
  <c r="D47" i="11"/>
  <c r="S46" i="11"/>
  <c r="N46" i="11"/>
  <c r="I46" i="11"/>
  <c r="D46" i="11"/>
  <c r="S45" i="11"/>
  <c r="N45" i="11"/>
  <c r="I45" i="11"/>
  <c r="D45" i="11"/>
  <c r="S44" i="11"/>
  <c r="N44" i="11"/>
  <c r="I44" i="11"/>
  <c r="D44" i="11"/>
  <c r="S43" i="11"/>
  <c r="N43" i="11"/>
  <c r="I43" i="11"/>
  <c r="D43" i="11"/>
  <c r="S42" i="11"/>
  <c r="N42" i="11"/>
  <c r="I42" i="11"/>
  <c r="D42" i="11"/>
  <c r="S41" i="11"/>
  <c r="N41" i="11"/>
  <c r="I41" i="11"/>
  <c r="D41" i="11"/>
  <c r="S40" i="11"/>
  <c r="N40" i="11"/>
  <c r="I40" i="11"/>
  <c r="D40" i="11"/>
  <c r="P74" i="4"/>
  <c r="S32" i="11"/>
  <c r="S31" i="11"/>
  <c r="S30" i="11"/>
  <c r="S29" i="11"/>
  <c r="S28" i="11"/>
  <c r="S27" i="11"/>
  <c r="S26" i="11"/>
  <c r="S25" i="11"/>
  <c r="S24" i="11"/>
  <c r="S23" i="11"/>
  <c r="S22" i="11"/>
  <c r="S21" i="11"/>
  <c r="I29" i="11"/>
  <c r="I25" i="11"/>
  <c r="I21" i="11"/>
  <c r="P70" i="4"/>
  <c r="N32" i="11"/>
  <c r="N31" i="11"/>
  <c r="N30" i="11"/>
  <c r="N29" i="11"/>
  <c r="N28" i="11"/>
  <c r="N27" i="11"/>
  <c r="N26" i="11"/>
  <c r="N25" i="11"/>
  <c r="N24" i="11"/>
  <c r="N23" i="11"/>
  <c r="N22" i="11"/>
  <c r="N21" i="11"/>
  <c r="I32" i="11"/>
  <c r="I30" i="11"/>
  <c r="I28" i="11"/>
  <c r="I26" i="11"/>
  <c r="I24" i="11"/>
  <c r="I22" i="11"/>
  <c r="D32" i="11"/>
  <c r="D31" i="11"/>
  <c r="D30" i="11"/>
  <c r="D29" i="11"/>
  <c r="D28" i="11"/>
  <c r="D27" i="11"/>
  <c r="D26" i="11"/>
  <c r="D25" i="11"/>
  <c r="D24" i="11"/>
  <c r="D23" i="11"/>
  <c r="D22" i="11"/>
  <c r="D21" i="11"/>
  <c r="D4" i="11"/>
  <c r="D5" i="11"/>
  <c r="D6" i="11"/>
  <c r="D7" i="11"/>
  <c r="D8" i="11"/>
  <c r="D9" i="11"/>
  <c r="D10" i="11"/>
  <c r="D11" i="11"/>
  <c r="D12" i="11"/>
  <c r="D13" i="11"/>
  <c r="D14" i="11"/>
  <c r="D3" i="11"/>
  <c r="P67" i="4"/>
  <c r="Q67" i="4" s="1"/>
  <c r="P63" i="4"/>
  <c r="Q63" i="4" s="1"/>
  <c r="F29" i="2"/>
  <c r="P81" i="4"/>
  <c r="J78" i="5"/>
  <c r="B222" i="2"/>
  <c r="H1" i="2"/>
  <c r="P30" i="4" l="1"/>
  <c r="Q31" i="4" s="1"/>
  <c r="Q32" i="4" s="1"/>
  <c r="Q70" i="4"/>
  <c r="Q77" i="4"/>
  <c r="G204" i="2"/>
  <c r="B206" i="2" s="1"/>
  <c r="P58" i="4"/>
  <c r="Q28" i="4"/>
  <c r="I83" i="5"/>
  <c r="J83" i="5" s="1"/>
  <c r="J84" i="5" s="1"/>
  <c r="P77" i="4"/>
  <c r="I23" i="11"/>
  <c r="I31" i="11"/>
  <c r="I27" i="11"/>
  <c r="Q68" i="4"/>
  <c r="D228" i="2"/>
  <c r="B80" i="5"/>
  <c r="L83" i="5" s="1"/>
  <c r="B79" i="5"/>
  <c r="A90" i="5" s="1"/>
  <c r="B90" i="5" s="1"/>
  <c r="R15" i="4"/>
  <c r="S15" i="4" s="1"/>
  <c r="S11" i="4"/>
  <c r="C227" i="2" l="1"/>
  <c r="Q71" i="4"/>
  <c r="Q78" i="4" s="1"/>
  <c r="X32" i="4"/>
  <c r="S35" i="4"/>
  <c r="U36" i="4" s="1"/>
  <c r="S33" i="4"/>
  <c r="Q27" i="4" s="1"/>
  <c r="P60" i="4"/>
  <c r="P59" i="4"/>
  <c r="M83" i="5"/>
  <c r="G29" i="2" s="1"/>
  <c r="U34" i="4"/>
  <c r="E206" i="2"/>
  <c r="Q30" i="4"/>
  <c r="Q33" i="4"/>
  <c r="P64" i="4"/>
  <c r="Q64" i="4" s="1"/>
  <c r="C90" i="5"/>
  <c r="I82" i="5"/>
  <c r="J79" i="5"/>
  <c r="B61" i="2"/>
  <c r="R9" i="4"/>
  <c r="S9" i="4" s="1"/>
  <c r="E16" i="2"/>
  <c r="E223" i="2" l="1"/>
  <c r="F227" i="2" s="1"/>
  <c r="D223" i="2"/>
  <c r="B227" i="2"/>
  <c r="X37" i="4"/>
  <c r="X34" i="4"/>
  <c r="X35" i="4"/>
  <c r="X42" i="4"/>
  <c r="X44" i="4"/>
  <c r="X38" i="4"/>
  <c r="X41" i="4"/>
  <c r="X36" i="4"/>
  <c r="X43" i="4"/>
  <c r="X45" i="4"/>
  <c r="S7" i="4"/>
  <c r="D18" i="2" s="1"/>
  <c r="G155" i="2"/>
  <c r="Q74" i="4" l="1"/>
  <c r="B225" i="2" s="1"/>
  <c r="E226" i="2"/>
  <c r="X46" i="4"/>
  <c r="X39" i="4"/>
  <c r="F102" i="2"/>
  <c r="W57" i="4" l="1"/>
  <c r="W56" i="4"/>
  <c r="M62" i="4"/>
  <c r="N62" i="4" s="1"/>
  <c r="C86" i="2" l="1"/>
  <c r="E77" i="2"/>
  <c r="F77" i="2"/>
  <c r="D86" i="2"/>
  <c r="M58" i="4"/>
  <c r="N58" i="4" s="1"/>
  <c r="D215" i="2" l="1"/>
  <c r="D214" i="2"/>
  <c r="D213" i="2"/>
  <c r="O42" i="4"/>
  <c r="N53" i="4"/>
  <c r="M55" i="4" s="1"/>
  <c r="N52" i="4"/>
  <c r="M54" i="4" s="1"/>
  <c r="M52" i="4"/>
  <c r="E209" i="2"/>
  <c r="M53" i="4" s="1"/>
  <c r="N54" i="4" l="1"/>
  <c r="G209" i="2" s="1"/>
  <c r="O38" i="4"/>
  <c r="E13" i="4" l="1"/>
  <c r="B111" i="2" l="1"/>
  <c r="B30" i="4" l="1"/>
  <c r="G42" i="2"/>
  <c r="B42" i="2"/>
  <c r="C11" i="5" l="1"/>
  <c r="N39" i="4" l="1"/>
  <c r="N38" i="4"/>
  <c r="N37" i="4"/>
  <c r="O44" i="4" s="1"/>
  <c r="D210" i="2" s="1"/>
  <c r="N41" i="4" l="1"/>
  <c r="O40" i="4" s="1"/>
  <c r="E204" i="2" s="1"/>
  <c r="N45" i="4"/>
  <c r="N44" i="4"/>
  <c r="B29" i="4"/>
  <c r="B26" i="4"/>
  <c r="B25" i="4"/>
  <c r="B60" i="2" s="1"/>
  <c r="B7" i="4"/>
  <c r="P57" i="5"/>
  <c r="O3" i="5"/>
  <c r="N42" i="4" l="1"/>
  <c r="B172" i="2" s="1"/>
  <c r="E172" i="2"/>
  <c r="C170" i="2"/>
  <c r="E9" i="4" l="1"/>
  <c r="E16" i="4" s="1"/>
  <c r="D25" i="2" s="1"/>
  <c r="P65" i="5" l="1"/>
  <c r="P66" i="5" s="1"/>
  <c r="A44" i="9" l="1"/>
  <c r="B44" i="9"/>
  <c r="C44" i="9"/>
  <c r="A45" i="9"/>
  <c r="B45" i="9"/>
  <c r="C45" i="9"/>
  <c r="A46" i="9"/>
  <c r="B46" i="9"/>
  <c r="C46" i="9"/>
  <c r="A47" i="9"/>
  <c r="B47" i="9"/>
  <c r="C47" i="9"/>
  <c r="A48" i="9"/>
  <c r="B48" i="9"/>
  <c r="C48" i="9"/>
  <c r="A49" i="9"/>
  <c r="B49" i="9"/>
  <c r="C49" i="9"/>
  <c r="A50" i="9"/>
  <c r="B50" i="9"/>
  <c r="C50" i="9"/>
  <c r="A51" i="9"/>
  <c r="B51" i="9"/>
  <c r="C51" i="9"/>
  <c r="A52" i="9"/>
  <c r="B52" i="9"/>
  <c r="C52" i="9"/>
  <c r="A53" i="9"/>
  <c r="B53" i="9"/>
  <c r="C53" i="9"/>
  <c r="A54" i="9"/>
  <c r="B54" i="9"/>
  <c r="C54" i="9"/>
  <c r="A55" i="9"/>
  <c r="B55" i="9"/>
  <c r="C55" i="9"/>
  <c r="A56" i="9"/>
  <c r="B56" i="9"/>
  <c r="C56" i="9"/>
  <c r="A57" i="9"/>
  <c r="B57" i="9"/>
  <c r="C57" i="9"/>
  <c r="A58" i="9"/>
  <c r="B58" i="9"/>
  <c r="C58" i="9"/>
  <c r="A59" i="9"/>
  <c r="B59" i="9"/>
  <c r="C59" i="9"/>
  <c r="A60" i="9"/>
  <c r="B60" i="9"/>
  <c r="C60" i="9"/>
  <c r="A61" i="9"/>
  <c r="B61" i="9"/>
  <c r="C61" i="9"/>
  <c r="A62" i="9"/>
  <c r="B62" i="9"/>
  <c r="C62" i="9"/>
  <c r="A63" i="9"/>
  <c r="B63" i="9"/>
  <c r="C63" i="9"/>
  <c r="A64" i="9"/>
  <c r="B64" i="9"/>
  <c r="C64" i="9"/>
  <c r="A65" i="9"/>
  <c r="B65" i="9"/>
  <c r="C65" i="9"/>
  <c r="A66" i="9"/>
  <c r="B66" i="9"/>
  <c r="C66" i="9"/>
  <c r="A67" i="9"/>
  <c r="B67" i="9"/>
  <c r="C67" i="9"/>
  <c r="A68" i="9"/>
  <c r="B68" i="9"/>
  <c r="C68" i="9"/>
  <c r="A69" i="9"/>
  <c r="B69" i="9"/>
  <c r="C69" i="9"/>
  <c r="A70" i="9"/>
  <c r="B70" i="9"/>
  <c r="C70" i="9"/>
  <c r="A71" i="9"/>
  <c r="B71" i="9"/>
  <c r="C71" i="9"/>
  <c r="A72" i="9"/>
  <c r="B72" i="9"/>
  <c r="C72" i="9"/>
  <c r="A73" i="9"/>
  <c r="B73" i="9"/>
  <c r="C73" i="9"/>
  <c r="A74" i="9"/>
  <c r="B74" i="9"/>
  <c r="C74" i="9"/>
  <c r="A75" i="9"/>
  <c r="B75" i="9"/>
  <c r="C75" i="9"/>
  <c r="A76" i="9"/>
  <c r="B76" i="9"/>
  <c r="C76" i="9"/>
  <c r="A77" i="9"/>
  <c r="B77" i="9"/>
  <c r="C77" i="9"/>
  <c r="A78" i="9"/>
  <c r="B78" i="9"/>
  <c r="C78" i="9"/>
  <c r="A79" i="9"/>
  <c r="B79" i="9"/>
  <c r="C79" i="9"/>
  <c r="A80" i="9"/>
  <c r="B80" i="9"/>
  <c r="C80" i="9"/>
  <c r="A81" i="9"/>
  <c r="B81" i="9"/>
  <c r="C81" i="9"/>
  <c r="A82" i="9"/>
  <c r="B82" i="9"/>
  <c r="C82" i="9"/>
  <c r="A83" i="9"/>
  <c r="B83" i="9"/>
  <c r="C83" i="9"/>
  <c r="A84" i="9"/>
  <c r="B84" i="9"/>
  <c r="C84" i="9"/>
  <c r="A85" i="9"/>
  <c r="B85" i="9"/>
  <c r="C85" i="9"/>
  <c r="A86" i="9"/>
  <c r="B86" i="9"/>
  <c r="C86" i="9"/>
  <c r="A87" i="9"/>
  <c r="B87" i="9"/>
  <c r="C87" i="9"/>
  <c r="A88" i="9"/>
  <c r="B88" i="9"/>
  <c r="C88" i="9"/>
  <c r="A89" i="9"/>
  <c r="B89" i="9"/>
  <c r="C89" i="9"/>
  <c r="A90" i="9"/>
  <c r="B90" i="9"/>
  <c r="C90" i="9"/>
  <c r="A91" i="9"/>
  <c r="B91" i="9"/>
  <c r="C91" i="9"/>
  <c r="A92" i="9"/>
  <c r="B92" i="9"/>
  <c r="C92" i="9"/>
  <c r="A93" i="9"/>
  <c r="B93" i="9"/>
  <c r="C93" i="9"/>
  <c r="A94" i="9"/>
  <c r="B94" i="9"/>
  <c r="C94" i="9"/>
  <c r="A95" i="9"/>
  <c r="B95" i="9"/>
  <c r="C95" i="9"/>
  <c r="A96" i="9"/>
  <c r="B96" i="9"/>
  <c r="C96" i="9"/>
  <c r="A97" i="9"/>
  <c r="B97" i="9"/>
  <c r="C97" i="9"/>
  <c r="A98" i="9"/>
  <c r="B98" i="9"/>
  <c r="C98" i="9"/>
  <c r="A99" i="9"/>
  <c r="B99" i="9"/>
  <c r="C99" i="9"/>
  <c r="A100" i="9"/>
  <c r="B100" i="9"/>
  <c r="C100" i="9"/>
  <c r="A101" i="9"/>
  <c r="B101" i="9"/>
  <c r="C101" i="9"/>
  <c r="A102" i="9"/>
  <c r="B102" i="9"/>
  <c r="C102" i="9"/>
  <c r="A103" i="9"/>
  <c r="B103" i="9"/>
  <c r="C103" i="9"/>
  <c r="A104" i="9"/>
  <c r="B104" i="9"/>
  <c r="C104" i="9"/>
  <c r="A105" i="9"/>
  <c r="B105" i="9"/>
  <c r="C105" i="9"/>
  <c r="A106" i="9"/>
  <c r="B106" i="9"/>
  <c r="C106" i="9"/>
  <c r="A107" i="9"/>
  <c r="B107" i="9"/>
  <c r="C107" i="9"/>
  <c r="A108" i="9"/>
  <c r="B108" i="9"/>
  <c r="C108" i="9"/>
  <c r="A109" i="9"/>
  <c r="B109" i="9"/>
  <c r="C109" i="9"/>
  <c r="A110" i="9"/>
  <c r="B110" i="9"/>
  <c r="C110" i="9"/>
  <c r="A111" i="9"/>
  <c r="B111" i="9"/>
  <c r="C111" i="9"/>
  <c r="A112" i="9"/>
  <c r="B112" i="9"/>
  <c r="C112" i="9"/>
  <c r="A113" i="9"/>
  <c r="B113" i="9"/>
  <c r="C113" i="9"/>
  <c r="A114" i="9"/>
  <c r="B114" i="9"/>
  <c r="C114" i="9"/>
  <c r="A115" i="9"/>
  <c r="B115" i="9"/>
  <c r="C115" i="9"/>
  <c r="A116" i="9"/>
  <c r="B116" i="9"/>
  <c r="C116" i="9"/>
  <c r="A117" i="9"/>
  <c r="B117" i="9"/>
  <c r="C117" i="9"/>
  <c r="A118" i="9"/>
  <c r="B118" i="9"/>
  <c r="C118" i="9"/>
  <c r="A119" i="9"/>
  <c r="B119" i="9"/>
  <c r="C119" i="9"/>
  <c r="A120" i="9"/>
  <c r="B120" i="9"/>
  <c r="C120" i="9"/>
  <c r="A121" i="9"/>
  <c r="B121" i="9"/>
  <c r="C121" i="9"/>
  <c r="A122" i="9"/>
  <c r="B122" i="9"/>
  <c r="C122" i="9"/>
  <c r="A123" i="9"/>
  <c r="B123" i="9"/>
  <c r="C123" i="9"/>
  <c r="A124" i="9"/>
  <c r="B124" i="9"/>
  <c r="C124" i="9"/>
  <c r="A125" i="9"/>
  <c r="B125" i="9"/>
  <c r="C125" i="9"/>
  <c r="A126" i="9"/>
  <c r="B126" i="9"/>
  <c r="C126" i="9"/>
  <c r="A127" i="9"/>
  <c r="B127" i="9"/>
  <c r="C127" i="9"/>
  <c r="A128" i="9"/>
  <c r="B128" i="9"/>
  <c r="C128" i="9"/>
  <c r="A129" i="9"/>
  <c r="B129" i="9"/>
  <c r="C129" i="9"/>
  <c r="A130" i="9"/>
  <c r="B130" i="9"/>
  <c r="C130" i="9"/>
  <c r="A131" i="9"/>
  <c r="B131" i="9"/>
  <c r="C131" i="9"/>
  <c r="A132" i="9"/>
  <c r="B132" i="9"/>
  <c r="C132" i="9"/>
  <c r="A133" i="9"/>
  <c r="B133" i="9"/>
  <c r="C133" i="9"/>
  <c r="A134" i="9"/>
  <c r="B134" i="9"/>
  <c r="C134" i="9"/>
  <c r="A135" i="9"/>
  <c r="B135" i="9"/>
  <c r="C135" i="9"/>
  <c r="A136" i="9"/>
  <c r="B136" i="9"/>
  <c r="C136" i="9"/>
  <c r="A137" i="9"/>
  <c r="B137" i="9"/>
  <c r="C137" i="9"/>
  <c r="A138" i="9"/>
  <c r="B138" i="9"/>
  <c r="C138" i="9"/>
  <c r="A139" i="9"/>
  <c r="B139" i="9"/>
  <c r="C139" i="9"/>
  <c r="A140" i="9"/>
  <c r="B140" i="9"/>
  <c r="C140" i="9"/>
  <c r="A141" i="9"/>
  <c r="B141" i="9"/>
  <c r="C141" i="9"/>
  <c r="A142" i="9"/>
  <c r="B142" i="9"/>
  <c r="C142" i="9"/>
  <c r="A143" i="9"/>
  <c r="B143" i="9"/>
  <c r="C143" i="9"/>
  <c r="A144" i="9"/>
  <c r="B144" i="9"/>
  <c r="C144" i="9"/>
  <c r="A145" i="9"/>
  <c r="B145" i="9"/>
  <c r="C145" i="9"/>
  <c r="A146" i="9"/>
  <c r="B146" i="9"/>
  <c r="C146" i="9"/>
  <c r="A147" i="9"/>
  <c r="B147" i="9"/>
  <c r="C147" i="9"/>
  <c r="A148" i="9"/>
  <c r="B148" i="9"/>
  <c r="C148" i="9"/>
  <c r="A149" i="9"/>
  <c r="B149" i="9"/>
  <c r="C149" i="9"/>
  <c r="A150" i="9"/>
  <c r="B150" i="9"/>
  <c r="C150" i="9"/>
  <c r="A151" i="9"/>
  <c r="B151" i="9"/>
  <c r="C151" i="9"/>
  <c r="A152" i="9"/>
  <c r="B152" i="9"/>
  <c r="C152" i="9"/>
  <c r="A153" i="9"/>
  <c r="B153" i="9"/>
  <c r="C153" i="9"/>
  <c r="A154" i="9"/>
  <c r="B154" i="9"/>
  <c r="C154" i="9"/>
  <c r="A155" i="9"/>
  <c r="B155" i="9"/>
  <c r="C155" i="9"/>
  <c r="A156" i="9"/>
  <c r="B156" i="9"/>
  <c r="C156" i="9"/>
  <c r="A157" i="9"/>
  <c r="B157" i="9"/>
  <c r="C157" i="9"/>
  <c r="H18" i="4" l="1"/>
  <c r="N33" i="4" s="1"/>
  <c r="J64" i="5"/>
  <c r="K7" i="4" l="1"/>
  <c r="H22" i="4"/>
  <c r="H23" i="4" s="1"/>
  <c r="C11" i="2" l="1"/>
  <c r="I23" i="4" l="1"/>
  <c r="I24" i="4" s="1"/>
  <c r="E4" i="4" l="1"/>
  <c r="E3" i="4"/>
  <c r="G10" i="2" l="1"/>
  <c r="G168" i="2" l="1"/>
  <c r="F168" i="2"/>
  <c r="B47" i="2" l="1"/>
  <c r="C59" i="2"/>
  <c r="B54" i="2" l="1"/>
  <c r="P54" i="5" l="1"/>
  <c r="Q10" i="5"/>
  <c r="Q9" i="5"/>
  <c r="O9" i="5"/>
  <c r="M9" i="5"/>
  <c r="M18" i="5" l="1"/>
  <c r="M24" i="5"/>
  <c r="M26" i="5"/>
  <c r="M22" i="5"/>
  <c r="M21" i="5"/>
  <c r="M23" i="5"/>
  <c r="M17" i="5"/>
  <c r="M25" i="5"/>
  <c r="P56" i="5"/>
  <c r="P55" i="5"/>
  <c r="O39" i="5"/>
  <c r="O40" i="5"/>
  <c r="N15" i="4"/>
  <c r="D30" i="2" s="1"/>
  <c r="I37" i="4" l="1"/>
  <c r="H40" i="4" l="1"/>
  <c r="H28" i="4"/>
  <c r="E35" i="4" l="1"/>
  <c r="D159" i="2" l="1"/>
  <c r="M10" i="4" l="1"/>
  <c r="N10" i="4" s="1"/>
  <c r="K21" i="4" l="1"/>
  <c r="A2" i="9" l="1"/>
  <c r="B2" i="9"/>
  <c r="C2" i="9"/>
  <c r="A3" i="9"/>
  <c r="B3" i="9"/>
  <c r="C3" i="9"/>
  <c r="A4" i="9"/>
  <c r="B4" i="9"/>
  <c r="C4" i="9"/>
  <c r="A5" i="9"/>
  <c r="B5" i="9"/>
  <c r="C5" i="9"/>
  <c r="A6" i="9"/>
  <c r="B6" i="9"/>
  <c r="C6" i="9"/>
  <c r="A7" i="9"/>
  <c r="B7" i="9"/>
  <c r="C7" i="9"/>
  <c r="A8" i="9"/>
  <c r="B8" i="9"/>
  <c r="C8" i="9"/>
  <c r="A9" i="9"/>
  <c r="B9" i="9"/>
  <c r="C9" i="9"/>
  <c r="A10" i="9"/>
  <c r="B10" i="9"/>
  <c r="C10" i="9"/>
  <c r="A11" i="9"/>
  <c r="B11" i="9"/>
  <c r="C11" i="9"/>
  <c r="A12" i="9"/>
  <c r="B12" i="9"/>
  <c r="C12" i="9"/>
  <c r="A13" i="9"/>
  <c r="B13" i="9"/>
  <c r="C13" i="9"/>
  <c r="A14" i="9"/>
  <c r="B14" i="9"/>
  <c r="C14" i="9"/>
  <c r="A15" i="9"/>
  <c r="B15" i="9"/>
  <c r="C15" i="9"/>
  <c r="A16" i="9"/>
  <c r="B16" i="9"/>
  <c r="C16" i="9"/>
  <c r="A17" i="9"/>
  <c r="B17" i="9"/>
  <c r="C17" i="9"/>
  <c r="A18" i="9"/>
  <c r="B18" i="9"/>
  <c r="C18" i="9"/>
  <c r="A19" i="9"/>
  <c r="B19" i="9"/>
  <c r="C19" i="9"/>
  <c r="A20" i="9"/>
  <c r="B20" i="9"/>
  <c r="C20" i="9"/>
  <c r="A21" i="9"/>
  <c r="B21" i="9"/>
  <c r="C21" i="9"/>
  <c r="A22" i="9"/>
  <c r="B22" i="9"/>
  <c r="C22" i="9"/>
  <c r="A23" i="9"/>
  <c r="B23" i="9"/>
  <c r="C23" i="9"/>
  <c r="A24" i="9"/>
  <c r="B24" i="9"/>
  <c r="C24" i="9"/>
  <c r="A25" i="9"/>
  <c r="B25" i="9"/>
  <c r="C25" i="9"/>
  <c r="A26" i="9"/>
  <c r="B26" i="9"/>
  <c r="C26" i="9"/>
  <c r="A27" i="9"/>
  <c r="B27" i="9"/>
  <c r="C27" i="9"/>
  <c r="A28" i="9"/>
  <c r="B28" i="9"/>
  <c r="C28" i="9"/>
  <c r="A29" i="9"/>
  <c r="B29" i="9"/>
  <c r="C29" i="9"/>
  <c r="A30" i="9"/>
  <c r="B30" i="9"/>
  <c r="C30" i="9"/>
  <c r="A31" i="9"/>
  <c r="B31" i="9"/>
  <c r="C31" i="9"/>
  <c r="A32" i="9"/>
  <c r="B32" i="9"/>
  <c r="C32" i="9"/>
  <c r="A33" i="9"/>
  <c r="B33" i="9"/>
  <c r="C33" i="9"/>
  <c r="A34" i="9"/>
  <c r="B34" i="9"/>
  <c r="C34" i="9"/>
  <c r="A35" i="9"/>
  <c r="B35" i="9"/>
  <c r="C35" i="9"/>
  <c r="A36" i="9"/>
  <c r="B36" i="9"/>
  <c r="C36" i="9"/>
  <c r="A37" i="9"/>
  <c r="B37" i="9"/>
  <c r="C37" i="9"/>
  <c r="A38" i="9"/>
  <c r="B38" i="9"/>
  <c r="C38" i="9"/>
  <c r="A39" i="9"/>
  <c r="B39" i="9"/>
  <c r="C39" i="9"/>
  <c r="A40" i="9"/>
  <c r="B40" i="9"/>
  <c r="C40" i="9"/>
  <c r="A41" i="9"/>
  <c r="B41" i="9"/>
  <c r="C41" i="9"/>
  <c r="A42" i="9"/>
  <c r="B42" i="9"/>
  <c r="C42" i="9"/>
  <c r="A43" i="9"/>
  <c r="B43" i="9"/>
  <c r="C43" i="9"/>
  <c r="B1" i="9"/>
  <c r="C1" i="9"/>
  <c r="A1" i="9" l="1"/>
  <c r="C1" i="8" l="1"/>
  <c r="B1" i="8"/>
  <c r="A1" i="8"/>
  <c r="O2" i="5" l="1"/>
  <c r="J38" i="4" l="1"/>
  <c r="K31" i="4" l="1"/>
  <c r="K24" i="4"/>
  <c r="K23" i="4"/>
  <c r="K22" i="4"/>
  <c r="K32" i="4" l="1"/>
  <c r="K33" i="4" s="1"/>
  <c r="K25" i="4"/>
  <c r="K26" i="4" s="1"/>
  <c r="K34" i="4" l="1"/>
  <c r="K35" i="4" s="1"/>
  <c r="G60" i="2" s="1"/>
  <c r="K27" i="4"/>
  <c r="K28" i="4" s="1"/>
  <c r="G102" i="2" s="1"/>
  <c r="J67" i="4" l="1"/>
  <c r="E140" i="2" l="1"/>
  <c r="B145" i="2" s="1"/>
  <c r="M2" i="5" l="1"/>
  <c r="H17" i="4"/>
  <c r="N23" i="4"/>
  <c r="N25" i="4" l="1"/>
  <c r="N26" i="4"/>
  <c r="N22" i="4"/>
  <c r="N21" i="4"/>
  <c r="N24" i="4"/>
  <c r="N19" i="4"/>
  <c r="N20" i="4"/>
  <c r="I25" i="4"/>
  <c r="F142" i="2"/>
  <c r="C191" i="2"/>
  <c r="G79" i="4" s="1"/>
  <c r="H77" i="4"/>
  <c r="G86" i="4" s="1"/>
  <c r="G81" i="4"/>
  <c r="H83" i="4"/>
  <c r="I83" i="4"/>
  <c r="G83" i="4"/>
  <c r="H82" i="4"/>
  <c r="I82" i="4"/>
  <c r="G82" i="4"/>
  <c r="J79" i="4"/>
  <c r="J87" i="4" s="1"/>
  <c r="D193" i="2" s="1"/>
  <c r="K78" i="4"/>
  <c r="K77" i="4"/>
  <c r="H80" i="4"/>
  <c r="G80" i="4"/>
  <c r="I79" i="4"/>
  <c r="H79" i="4"/>
  <c r="G90" i="4" s="1"/>
  <c r="H90" i="4" s="1"/>
  <c r="E193" i="2" s="1"/>
  <c r="I78" i="4"/>
  <c r="H78" i="4"/>
  <c r="I77" i="4"/>
  <c r="G77" i="4"/>
  <c r="C190" i="2"/>
  <c r="G78" i="4" s="1"/>
  <c r="G59" i="2"/>
  <c r="E59" i="2"/>
  <c r="F59" i="2"/>
  <c r="F120" i="2"/>
  <c r="D45" i="4"/>
  <c r="A77" i="4"/>
  <c r="E50" i="4"/>
  <c r="D50" i="4"/>
  <c r="E51" i="4" s="1"/>
  <c r="G178" i="2"/>
  <c r="G49" i="4"/>
  <c r="H49" i="4" s="1"/>
  <c r="J49" i="4" s="1"/>
  <c r="H73" i="4"/>
  <c r="K73" i="4" s="1"/>
  <c r="E185" i="2" s="1"/>
  <c r="H70" i="4"/>
  <c r="H58" i="4"/>
  <c r="J58" i="4" s="1"/>
  <c r="H55" i="4"/>
  <c r="H52" i="4"/>
  <c r="J52" i="4" s="1"/>
  <c r="A62" i="4"/>
  <c r="B62" i="4"/>
  <c r="B67" i="4"/>
  <c r="A67" i="4"/>
  <c r="A66" i="4"/>
  <c r="A76" i="4" s="1"/>
  <c r="A80" i="4" s="1"/>
  <c r="B41" i="4"/>
  <c r="A41" i="4"/>
  <c r="C2" i="1"/>
  <c r="A2" i="1"/>
  <c r="A58" i="4"/>
  <c r="A57" i="4"/>
  <c r="B56" i="4"/>
  <c r="C56" i="4" s="1"/>
  <c r="B51" i="4"/>
  <c r="N49" i="4" s="1"/>
  <c r="A50" i="4"/>
  <c r="B50" i="4"/>
  <c r="C62" i="4"/>
  <c r="B45" i="4"/>
  <c r="A45" i="4"/>
  <c r="H43" i="4"/>
  <c r="E163" i="2"/>
  <c r="I81" i="4" s="1"/>
  <c r="D163" i="2"/>
  <c r="H81" i="4" s="1"/>
  <c r="E170" i="2"/>
  <c r="C159" i="2"/>
  <c r="B159" i="2"/>
  <c r="H41" i="4"/>
  <c r="C3" i="5"/>
  <c r="J7" i="5" s="1"/>
  <c r="M3" i="5"/>
  <c r="P51" i="5" s="1"/>
  <c r="C4" i="5"/>
  <c r="M4" i="5"/>
  <c r="C5" i="5"/>
  <c r="C6" i="5"/>
  <c r="J10" i="5" s="1"/>
  <c r="C7" i="5"/>
  <c r="C10" i="5"/>
  <c r="C12" i="5"/>
  <c r="C14" i="5"/>
  <c r="C15" i="5"/>
  <c r="N27" i="4" s="1"/>
  <c r="C16" i="5"/>
  <c r="C17" i="5"/>
  <c r="C18" i="5"/>
  <c r="P67" i="5" s="1"/>
  <c r="B125" i="2" s="1"/>
  <c r="C22" i="5"/>
  <c r="C24" i="5"/>
  <c r="C25" i="5"/>
  <c r="C26" i="5"/>
  <c r="M41" i="5" s="1"/>
  <c r="C27" i="5"/>
  <c r="W6" i="4" s="1"/>
  <c r="B174" i="2" s="1"/>
  <c r="J44" i="5"/>
  <c r="B45" i="5"/>
  <c r="J45" i="5"/>
  <c r="J46" i="5"/>
  <c r="M52" i="5"/>
  <c r="J61" i="5"/>
  <c r="K3" i="4"/>
  <c r="G4" i="4"/>
  <c r="H4" i="4" s="1"/>
  <c r="E5" i="4"/>
  <c r="G6" i="4"/>
  <c r="H6" i="4" s="1"/>
  <c r="F51" i="2"/>
  <c r="D8" i="4"/>
  <c r="E8" i="4"/>
  <c r="G9" i="4"/>
  <c r="H9" i="4" s="1"/>
  <c r="D10" i="4"/>
  <c r="E10" i="4"/>
  <c r="G11" i="4"/>
  <c r="H11" i="4" s="1"/>
  <c r="E12" i="4"/>
  <c r="G14" i="4"/>
  <c r="B15" i="4"/>
  <c r="K4" i="4"/>
  <c r="E19" i="4"/>
  <c r="B20" i="4"/>
  <c r="C60" i="2"/>
  <c r="H29" i="4"/>
  <c r="B146" i="2" s="1"/>
  <c r="E60" i="2"/>
  <c r="E31" i="4"/>
  <c r="E32" i="4" s="1"/>
  <c r="E33" i="4"/>
  <c r="E36" i="4"/>
  <c r="AL3" i="3"/>
  <c r="AL4" i="3"/>
  <c r="AL5" i="3"/>
  <c r="AL6" i="3"/>
  <c r="AL7" i="3"/>
  <c r="AL8" i="3"/>
  <c r="AL9" i="3"/>
  <c r="AL10" i="3"/>
  <c r="AL11" i="3"/>
  <c r="AL12" i="3"/>
  <c r="AL13" i="3"/>
  <c r="E6" i="2"/>
  <c r="D10" i="2"/>
  <c r="F14" i="2"/>
  <c r="G24" i="2"/>
  <c r="G25" i="2"/>
  <c r="G28" i="2"/>
  <c r="M61" i="4" s="1"/>
  <c r="N61" i="4" s="1"/>
  <c r="N63" i="4" s="1"/>
  <c r="G40" i="2"/>
  <c r="B59" i="2"/>
  <c r="F155" i="2"/>
  <c r="I56" i="1"/>
  <c r="H56" i="1"/>
  <c r="G56" i="1"/>
  <c r="I55" i="1"/>
  <c r="H55" i="1"/>
  <c r="G55" i="1"/>
  <c r="I54" i="1"/>
  <c r="H54" i="1"/>
  <c r="G54" i="1"/>
  <c r="I53" i="1"/>
  <c r="H53" i="1"/>
  <c r="G53" i="1"/>
  <c r="I52" i="1"/>
  <c r="H52" i="1"/>
  <c r="G52" i="1"/>
  <c r="I51" i="1"/>
  <c r="H51" i="1"/>
  <c r="G51" i="1"/>
  <c r="I50" i="1"/>
  <c r="H50" i="1"/>
  <c r="G50" i="1"/>
  <c r="I49" i="1"/>
  <c r="H49" i="1"/>
  <c r="G49" i="1"/>
  <c r="I48" i="1"/>
  <c r="H48" i="1"/>
  <c r="G48" i="1"/>
  <c r="I47" i="1"/>
  <c r="H47" i="1"/>
  <c r="G47" i="1"/>
  <c r="I46" i="1"/>
  <c r="H46" i="1"/>
  <c r="G46" i="1"/>
  <c r="I45" i="1"/>
  <c r="H45" i="1"/>
  <c r="G45" i="1"/>
  <c r="I44" i="1"/>
  <c r="H44" i="1"/>
  <c r="G44" i="1"/>
  <c r="I43" i="1"/>
  <c r="H43" i="1"/>
  <c r="G43" i="1"/>
  <c r="I42" i="1"/>
  <c r="H42" i="1"/>
  <c r="G42" i="1"/>
  <c r="I41" i="1"/>
  <c r="H41" i="1"/>
  <c r="G41" i="1"/>
  <c r="I40" i="1"/>
  <c r="H40" i="1"/>
  <c r="G40" i="1"/>
  <c r="I39" i="1"/>
  <c r="H39" i="1"/>
  <c r="G39" i="1"/>
  <c r="I38" i="1"/>
  <c r="H38" i="1"/>
  <c r="G38" i="1"/>
  <c r="I37" i="1"/>
  <c r="H37" i="1"/>
  <c r="G37" i="1"/>
  <c r="I36" i="1"/>
  <c r="H36" i="1"/>
  <c r="G36" i="1"/>
  <c r="I35" i="1"/>
  <c r="H35" i="1"/>
  <c r="G35" i="1"/>
  <c r="I34" i="1"/>
  <c r="H34" i="1"/>
  <c r="G34" i="1"/>
  <c r="I33" i="1"/>
  <c r="H33" i="1"/>
  <c r="G33" i="1"/>
  <c r="I32" i="1"/>
  <c r="H32" i="1"/>
  <c r="G32" i="1"/>
  <c r="I31" i="1"/>
  <c r="H31" i="1"/>
  <c r="G31" i="1"/>
  <c r="I30" i="1"/>
  <c r="H30" i="1"/>
  <c r="G30" i="1"/>
  <c r="I29" i="1"/>
  <c r="H29" i="1"/>
  <c r="G29" i="1"/>
  <c r="I28" i="1"/>
  <c r="H28" i="1"/>
  <c r="G28" i="1"/>
  <c r="I27" i="1"/>
  <c r="H27" i="1"/>
  <c r="G27" i="1"/>
  <c r="I26" i="1"/>
  <c r="H26" i="1"/>
  <c r="G26" i="1"/>
  <c r="I25" i="1"/>
  <c r="H25" i="1"/>
  <c r="G25" i="1"/>
  <c r="I24" i="1"/>
  <c r="H24" i="1"/>
  <c r="G24" i="1"/>
  <c r="I23" i="1"/>
  <c r="H23" i="1"/>
  <c r="G23" i="1"/>
  <c r="I22" i="1"/>
  <c r="H22" i="1"/>
  <c r="G22" i="1"/>
  <c r="I21" i="1"/>
  <c r="H21" i="1"/>
  <c r="G21" i="1"/>
  <c r="I20" i="1"/>
  <c r="H20" i="1"/>
  <c r="G20" i="1"/>
  <c r="I19" i="1"/>
  <c r="H19" i="1"/>
  <c r="G19" i="1"/>
  <c r="I18" i="1"/>
  <c r="H18" i="1"/>
  <c r="G18" i="1"/>
  <c r="I17" i="1"/>
  <c r="H17" i="1"/>
  <c r="G17" i="1"/>
  <c r="I16" i="1"/>
  <c r="H16" i="1"/>
  <c r="G16" i="1"/>
  <c r="I15" i="1"/>
  <c r="H15" i="1"/>
  <c r="G15" i="1"/>
  <c r="I14" i="1"/>
  <c r="H14" i="1"/>
  <c r="G14" i="1"/>
  <c r="I13" i="1"/>
  <c r="H13" i="1"/>
  <c r="G13" i="1"/>
  <c r="I12" i="1"/>
  <c r="H12" i="1"/>
  <c r="G12" i="1"/>
  <c r="I11" i="1"/>
  <c r="H11" i="1"/>
  <c r="G11" i="1"/>
  <c r="K10" i="1"/>
  <c r="I10" i="1"/>
  <c r="H10" i="1"/>
  <c r="G10" i="1"/>
  <c r="K9" i="1"/>
  <c r="I9" i="1"/>
  <c r="H9" i="1"/>
  <c r="G9" i="1"/>
  <c r="K8" i="1"/>
  <c r="I8" i="1"/>
  <c r="H8" i="1"/>
  <c r="G8" i="1"/>
  <c r="K7" i="1"/>
  <c r="A5" i="1"/>
  <c r="A4" i="1"/>
  <c r="C23" i="5"/>
  <c r="E5" i="1"/>
  <c r="P80" i="5" l="1"/>
  <c r="H35" i="4"/>
  <c r="I99" i="5"/>
  <c r="I98" i="5"/>
  <c r="E45" i="4"/>
  <c r="F166" i="2"/>
  <c r="O78" i="5"/>
  <c r="N78" i="5"/>
  <c r="J62" i="5"/>
  <c r="D125" i="2" s="1"/>
  <c r="S10" i="4"/>
  <c r="S12" i="4" s="1"/>
  <c r="G18" i="2" s="1"/>
  <c r="E11" i="4"/>
  <c r="B71" i="4"/>
  <c r="P7" i="5"/>
  <c r="Q7" i="5" s="1"/>
  <c r="J14" i="4"/>
  <c r="K14" i="4" s="1"/>
  <c r="G89" i="4"/>
  <c r="B194" i="2" s="1"/>
  <c r="C4" i="1"/>
  <c r="J3" i="5"/>
  <c r="D130" i="2" s="1"/>
  <c r="C67" i="4"/>
  <c r="C71" i="4" s="1"/>
  <c r="J28" i="5"/>
  <c r="F133" i="2" s="1"/>
  <c r="J15" i="5"/>
  <c r="E132" i="2" s="1"/>
  <c r="J2" i="5"/>
  <c r="M10" i="5"/>
  <c r="M8" i="5"/>
  <c r="N8" i="5" s="1"/>
  <c r="M12" i="5"/>
  <c r="M11" i="5"/>
  <c r="O49" i="5"/>
  <c r="P49" i="5" s="1"/>
  <c r="M58" i="5"/>
  <c r="M61" i="5" s="1"/>
  <c r="M59" i="5"/>
  <c r="M62" i="5" s="1"/>
  <c r="M72" i="5"/>
  <c r="M71" i="5"/>
  <c r="J21" i="5"/>
  <c r="D133" i="2" s="1"/>
  <c r="J36" i="5"/>
  <c r="G134" i="2" s="1"/>
  <c r="J30" i="5"/>
  <c r="C134" i="2" s="1"/>
  <c r="D4" i="1"/>
  <c r="J42" i="5"/>
  <c r="J17" i="4"/>
  <c r="K17" i="4" s="1"/>
  <c r="O43" i="5"/>
  <c r="O46" i="5"/>
  <c r="P46" i="5" s="1"/>
  <c r="H89" i="4"/>
  <c r="E194" i="2" s="1"/>
  <c r="B4" i="1"/>
  <c r="J55" i="5"/>
  <c r="G124" i="2" s="1"/>
  <c r="J51" i="5"/>
  <c r="G123" i="2" s="1"/>
  <c r="N17" i="5"/>
  <c r="O17" i="5" s="1"/>
  <c r="J52" i="5"/>
  <c r="C124" i="2" s="1"/>
  <c r="N18" i="5"/>
  <c r="M44" i="5"/>
  <c r="E154" i="2" s="1"/>
  <c r="C66" i="4"/>
  <c r="G84" i="4"/>
  <c r="F193" i="2" s="1"/>
  <c r="H86" i="4"/>
  <c r="B193" i="2" s="1"/>
  <c r="I84" i="4"/>
  <c r="F195" i="2" s="1"/>
  <c r="H84" i="4"/>
  <c r="F194" i="2" s="1"/>
  <c r="M53" i="5"/>
  <c r="C155" i="2" s="1"/>
  <c r="J86" i="4"/>
  <c r="D195" i="2" s="1"/>
  <c r="B42" i="4"/>
  <c r="G163" i="2" s="1"/>
  <c r="B59" i="4"/>
  <c r="A58" i="5"/>
  <c r="B58" i="5" s="1"/>
  <c r="G88" i="4"/>
  <c r="H88" i="4" s="1"/>
  <c r="B195" i="2" s="1"/>
  <c r="G87" i="4"/>
  <c r="H87" i="4" s="1"/>
  <c r="C194" i="2" s="1"/>
  <c r="C45" i="4"/>
  <c r="C46" i="4" s="1"/>
  <c r="C50" i="4"/>
  <c r="F165" i="2" s="1"/>
  <c r="A69" i="4"/>
  <c r="B66" i="4"/>
  <c r="A79" i="4" s="1"/>
  <c r="E29" i="4"/>
  <c r="M39" i="5"/>
  <c r="M43" i="5" s="1"/>
  <c r="D154" i="2" s="1"/>
  <c r="J48" i="5"/>
  <c r="D123" i="2" s="1"/>
  <c r="J50" i="5"/>
  <c r="F123" i="2" s="1"/>
  <c r="J53" i="5"/>
  <c r="E124" i="2" s="1"/>
  <c r="E30" i="4"/>
  <c r="N25" i="5"/>
  <c r="J41" i="5"/>
  <c r="C123" i="2" s="1"/>
  <c r="J9" i="5"/>
  <c r="F130" i="2" s="1"/>
  <c r="A47" i="5"/>
  <c r="B47" i="5" s="1"/>
  <c r="G130" i="2"/>
  <c r="J29" i="5"/>
  <c r="G133" i="2" s="1"/>
  <c r="J31" i="5"/>
  <c r="D134" i="2" s="1"/>
  <c r="M40" i="5"/>
  <c r="M46" i="5" s="1"/>
  <c r="G154" i="2" s="1"/>
  <c r="J8" i="5"/>
  <c r="E130" i="2" s="1"/>
  <c r="H33" i="4"/>
  <c r="H34" i="4" s="1"/>
  <c r="A70" i="4"/>
  <c r="B52" i="4"/>
  <c r="D52" i="4"/>
  <c r="E15" i="4"/>
  <c r="C63" i="4"/>
  <c r="H30" i="4"/>
  <c r="F145" i="2" s="1"/>
  <c r="J35" i="5"/>
  <c r="F134" i="2" s="1"/>
  <c r="H19" i="4"/>
  <c r="M16" i="5"/>
  <c r="P27" i="5" s="1"/>
  <c r="B51" i="2"/>
  <c r="B27" i="4"/>
  <c r="A81" i="4"/>
  <c r="H24" i="4"/>
  <c r="H25" i="4" s="1"/>
  <c r="M7" i="5"/>
  <c r="O8" i="5" s="1"/>
  <c r="J70" i="5"/>
  <c r="E4" i="1"/>
  <c r="H4" i="1"/>
  <c r="J99" i="5" l="1"/>
  <c r="D126" i="2" s="1"/>
  <c r="B28" i="4"/>
  <c r="D60" i="2" s="1"/>
  <c r="O80" i="5"/>
  <c r="O79" i="5"/>
  <c r="M79" i="5"/>
  <c r="B126" i="2" s="1"/>
  <c r="B73" i="4"/>
  <c r="C76" i="4"/>
  <c r="B77" i="4" s="1"/>
  <c r="Q20" i="4"/>
  <c r="B82" i="4"/>
  <c r="A68" i="4"/>
  <c r="F161" i="2" s="1"/>
  <c r="K54" i="4"/>
  <c r="H60" i="4"/>
  <c r="H61" i="4"/>
  <c r="F177" i="2"/>
  <c r="G177" i="2" s="1"/>
  <c r="K51" i="4"/>
  <c r="K52" i="4" s="1"/>
  <c r="E179" i="2" s="1"/>
  <c r="D62" i="4"/>
  <c r="I65" i="4"/>
  <c r="I66" i="4"/>
  <c r="K48" i="4"/>
  <c r="K49" i="4" s="1"/>
  <c r="E178" i="2" s="1"/>
  <c r="J54" i="4"/>
  <c r="J55" i="4" s="1"/>
  <c r="H65" i="4"/>
  <c r="K67" i="4" s="1"/>
  <c r="E183" i="2" s="1"/>
  <c r="E62" i="4"/>
  <c r="K57" i="4"/>
  <c r="K58" i="4" s="1"/>
  <c r="E181" i="2" s="1"/>
  <c r="A78" i="4"/>
  <c r="B78" i="4" s="1"/>
  <c r="D82" i="4" s="1"/>
  <c r="G164" i="2"/>
  <c r="P13" i="4"/>
  <c r="E53" i="4"/>
  <c r="K70" i="4"/>
  <c r="E184" i="2" s="1"/>
  <c r="E161" i="2"/>
  <c r="K72" i="4"/>
  <c r="J59" i="5"/>
  <c r="C125" i="2" s="1"/>
  <c r="H36" i="4"/>
  <c r="H42" i="4" s="1"/>
  <c r="J65" i="5"/>
  <c r="E125" i="2" s="1"/>
  <c r="J66" i="5"/>
  <c r="F125" i="2" s="1"/>
  <c r="E46" i="4"/>
  <c r="D155" i="2"/>
  <c r="E155" i="2"/>
  <c r="P59" i="5"/>
  <c r="P58" i="5"/>
  <c r="O45" i="5"/>
  <c r="P45" i="5" s="1"/>
  <c r="P43" i="5"/>
  <c r="O13" i="5"/>
  <c r="E34" i="4"/>
  <c r="M64" i="5" s="1"/>
  <c r="G48" i="2"/>
  <c r="D124" i="2"/>
  <c r="A82" i="4"/>
  <c r="D182" i="2"/>
  <c r="F164" i="2"/>
  <c r="D161" i="2"/>
  <c r="B76" i="4"/>
  <c r="E17" i="4"/>
  <c r="B53" i="4"/>
  <c r="C53" i="4" s="1"/>
  <c r="M45" i="5"/>
  <c r="F154" i="2" s="1"/>
  <c r="N26" i="5"/>
  <c r="O26" i="5" s="1"/>
  <c r="K8" i="4"/>
  <c r="K11" i="4" s="1"/>
  <c r="G115" i="2" s="1"/>
  <c r="O25" i="5"/>
  <c r="O18" i="5"/>
  <c r="O19" i="5"/>
  <c r="C130" i="2"/>
  <c r="K62" i="4" l="1"/>
  <c r="E182" i="2" s="1"/>
  <c r="C82" i="4"/>
  <c r="A83" i="4" s="1"/>
  <c r="F60" i="2"/>
  <c r="K55" i="4"/>
  <c r="E180" i="2" s="1"/>
  <c r="D63" i="4"/>
  <c r="E63" i="4" s="1"/>
  <c r="F170" i="2" s="1"/>
  <c r="P61" i="5"/>
  <c r="P62" i="5" s="1"/>
  <c r="M63" i="5"/>
  <c r="B155" i="2" s="1"/>
  <c r="M33" i="5"/>
  <c r="H44" i="4"/>
  <c r="A71" i="4"/>
  <c r="A72" i="4" s="1"/>
  <c r="B128" i="2"/>
  <c r="H37" i="4"/>
  <c r="H38" i="4" s="1"/>
  <c r="H39" i="4" s="1"/>
  <c r="G165" i="2"/>
  <c r="E52" i="4"/>
  <c r="G166" i="2" s="1"/>
  <c r="P25" i="5"/>
  <c r="G161" i="2" l="1"/>
  <c r="I73" i="4"/>
  <c r="J73" i="4" s="1"/>
  <c r="E111" i="2"/>
  <c r="C2" i="5"/>
  <c r="A43" i="5" s="1"/>
  <c r="K74" i="4"/>
  <c r="G182" i="2" s="1"/>
  <c r="G183" i="2" s="1"/>
  <c r="G184" i="2" s="1"/>
  <c r="G145" i="2"/>
  <c r="I42" i="4"/>
  <c r="D146" i="2" s="1"/>
  <c r="J69" i="5" l="1"/>
  <c r="G125" i="2" s="1"/>
  <c r="J33" i="5"/>
  <c r="J34" i="5" s="1"/>
  <c r="E134" i="2" s="1"/>
  <c r="J20" i="5"/>
  <c r="C133" i="2" s="1"/>
  <c r="J14" i="5"/>
  <c r="J18" i="5"/>
  <c r="J13" i="5"/>
  <c r="J25" i="5"/>
  <c r="J27" i="5" s="1"/>
  <c r="E133" i="2" s="1"/>
  <c r="J17" i="5"/>
  <c r="M7" i="4"/>
  <c r="N11" i="5"/>
  <c r="O11" i="5" s="1"/>
  <c r="B43" i="5"/>
  <c r="N7" i="4"/>
  <c r="J49" i="5"/>
  <c r="N10" i="5"/>
  <c r="O10" i="5" s="1"/>
  <c r="J54" i="5"/>
  <c r="F124" i="2" s="1"/>
  <c r="N12" i="5"/>
  <c r="O12" i="5" s="1"/>
  <c r="E123" i="2" l="1"/>
  <c r="K39" i="4"/>
  <c r="K40" i="4" s="1"/>
  <c r="G132" i="2"/>
  <c r="N24" i="5"/>
  <c r="O24" i="5" s="1"/>
  <c r="N23" i="5"/>
  <c r="O23" i="5" s="1"/>
  <c r="F132" i="2"/>
  <c r="C132" i="2"/>
  <c r="N21" i="5"/>
  <c r="O21" i="5" s="1"/>
  <c r="N22" i="5"/>
  <c r="O22" i="5" s="1"/>
  <c r="D132" i="2"/>
  <c r="E40" i="4" l="1"/>
  <c r="P23" i="5"/>
  <c r="P21" i="5"/>
  <c r="C32" i="5" l="1"/>
  <c r="M48" i="5" s="1"/>
  <c r="B135" i="2"/>
  <c r="B122" i="2"/>
  <c r="B152" i="2"/>
  <c r="J75" i="5" l="1"/>
  <c r="C15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Crusco Domenico</author>
    <author>Pagano Francesco</author>
  </authors>
  <commentList>
    <comment ref="B27" authorId="0" shapeId="0" xr:uid="{00000000-0006-0000-0000-000001000000}">
      <text>
        <r>
          <rPr>
            <b/>
            <sz val="9"/>
            <color indexed="81"/>
            <rFont val="Tahoma"/>
            <family val="2"/>
          </rPr>
          <t>Data delibera ammissione Consiglio del portafoglio</t>
        </r>
      </text>
    </comment>
    <comment ref="D28" authorId="0" shapeId="0" xr:uid="{00000000-0006-0000-0000-000002000000}">
      <text>
        <r>
          <rPr>
            <b/>
            <sz val="9"/>
            <color indexed="81"/>
            <rFont val="Tahoma"/>
            <family val="2"/>
          </rPr>
          <t xml:space="preserve">Per operazioni di portafoglio inserire la data inclusione.
</t>
        </r>
      </text>
    </comment>
    <comment ref="G60" authorId="0" shapeId="0" xr:uid="{00000000-0006-0000-0000-000003000000}">
      <text>
        <r>
          <rPr>
            <b/>
            <sz val="9"/>
            <color indexed="81"/>
            <rFont val="Tahoma"/>
            <family val="2"/>
          </rPr>
          <t>Verifica che la data scadenza sia congruente rispetto alla data di erogazione + durata</t>
        </r>
      </text>
    </comment>
    <comment ref="G102" authorId="0" shapeId="0" xr:uid="{00000000-0006-0000-0000-000006000000}">
      <text>
        <r>
          <rPr>
            <b/>
            <sz val="9"/>
            <color indexed="81"/>
            <rFont val="Tahoma"/>
            <family val="2"/>
          </rPr>
          <t>Verifica che la data scadenza post all.to sia congruente rispetto alla data di scadenza originaria + maggior durata</t>
        </r>
      </text>
    </comment>
    <comment ref="D118" authorId="0" shapeId="0" xr:uid="{00000000-0006-0000-0000-000007000000}">
      <text>
        <r>
          <rPr>
            <b/>
            <sz val="9"/>
            <color indexed="81"/>
            <rFont val="Tahoma"/>
            <family val="2"/>
          </rPr>
          <t>Se tipologia evento precedente è rata scaduta, inserire data rata +91gg</t>
        </r>
      </text>
    </comment>
    <comment ref="C123" authorId="0" shapeId="0" xr:uid="{00000000-0006-0000-0000-000008000000}">
      <text>
        <r>
          <rPr>
            <b/>
            <sz val="9"/>
            <color indexed="81"/>
            <rFont val="Tahoma"/>
            <family val="2"/>
          </rPr>
          <t xml:space="preserve">EDR_1 - Verifica che l'avvio delle procedure di recupero sia successivo alla data di entrata in vigore d.o. evento di rischio (15/10/2018) 
</t>
        </r>
      </text>
    </comment>
    <comment ref="D123" authorId="0" shapeId="0" xr:uid="{00000000-0006-0000-0000-000009000000}">
      <text>
        <r>
          <rPr>
            <b/>
            <sz val="9"/>
            <color indexed="81"/>
            <rFont val="Tahoma"/>
            <family val="2"/>
          </rPr>
          <t>EDR_T1 - regime transitorio - rata scaduta entro 12m da entrata in vigore d.o. evento di rischio</t>
        </r>
      </text>
    </comment>
    <comment ref="E123" authorId="0" shapeId="0" xr:uid="{00000000-0006-0000-0000-00000A000000}">
      <text>
        <r>
          <rPr>
            <b/>
            <sz val="9"/>
            <color indexed="81"/>
            <rFont val="Tahoma"/>
            <family val="2"/>
          </rPr>
          <t>EDR_T2 - regime transitorio - scadenza finanziamento entro 3m da entrata in vigore d.o. evento di rischio</t>
        </r>
      </text>
    </comment>
    <comment ref="F123" authorId="0" shapeId="0" xr:uid="{00000000-0006-0000-0000-00000B000000}">
      <text>
        <r>
          <rPr>
            <b/>
            <sz val="9"/>
            <color indexed="81"/>
            <rFont val="Tahoma"/>
            <family val="2"/>
          </rPr>
          <t>EDR_T3 - regime transitorio - escussione fidejussione entro 12m da entrata in vigore d.o. evento di rischio</t>
        </r>
      </text>
    </comment>
    <comment ref="G123" authorId="0" shapeId="0" xr:uid="{00000000-0006-0000-0000-00000C000000}">
      <text>
        <r>
          <rPr>
            <b/>
            <sz val="9"/>
            <color indexed="81"/>
            <rFont val="Tahoma"/>
            <family val="2"/>
          </rPr>
          <t>EDR_T4 - regime transitorio - canone scaduto entro 12m da entrata in vigore d.o. evento di rischio</t>
        </r>
      </text>
    </comment>
    <comment ref="C124" authorId="0" shapeId="0" xr:uid="{00000000-0006-0000-0000-00000D000000}">
      <text>
        <r>
          <rPr>
            <b/>
            <sz val="9"/>
            <color indexed="81"/>
            <rFont val="Tahoma"/>
            <family val="2"/>
          </rPr>
          <t>EDR_T5 - regime transitorio - evento entro 12m da entrata in vigore d.o. evento di rischio</t>
        </r>
      </text>
    </comment>
    <comment ref="D124" authorId="0" shapeId="0" xr:uid="{00000000-0006-0000-0000-00000E000000}">
      <text>
        <r>
          <rPr>
            <b/>
            <sz val="9"/>
            <color indexed="81"/>
            <rFont val="Tahoma"/>
            <family val="2"/>
          </rPr>
          <t>EDR_T5 - regime transitorio - evento entro 12m da entrata in vigore d.o. evento di rischio</t>
        </r>
      </text>
    </comment>
    <comment ref="E124" authorId="0" shapeId="0" xr:uid="{00000000-0006-0000-0000-00000F000000}">
      <text>
        <r>
          <rPr>
            <b/>
            <sz val="9"/>
            <color indexed="81"/>
            <rFont val="Tahoma"/>
            <family val="2"/>
          </rPr>
          <t>EDR_T6 - regime transitorio - evento entro 12m da entrata in vigore d.o. evento di rischio</t>
        </r>
      </text>
    </comment>
    <comment ref="F124" authorId="0" shapeId="0" xr:uid="{00000000-0006-0000-0000-000010000000}">
      <text>
        <r>
          <rPr>
            <b/>
            <sz val="9"/>
            <color indexed="81"/>
            <rFont val="Tahoma"/>
            <family val="2"/>
          </rPr>
          <t>EDR_T7 - regime transitorio - evento entro 3m da scadenza finanziamento precedente a entrata in vigore d.o. evento di rischio</t>
        </r>
      </text>
    </comment>
    <comment ref="G124" authorId="0" shapeId="0" xr:uid="{00000000-0006-0000-0000-000011000000}">
      <text>
        <r>
          <rPr>
            <b/>
            <sz val="9"/>
            <color indexed="81"/>
            <rFont val="Tahoma"/>
            <family val="2"/>
          </rPr>
          <t>EDR_T8 - regime transitorio - comunicazione evento entro 15/01/2019 (termine regime transitorio)</t>
        </r>
      </text>
    </comment>
    <comment ref="B125" authorId="0" shapeId="0" xr:uid="{00000000-0006-0000-0000-000012000000}">
      <text>
        <r>
          <rPr>
            <b/>
            <sz val="9"/>
            <color indexed="81"/>
            <rFont val="Tahoma"/>
            <family val="2"/>
          </rPr>
          <t>EDR_7 - Verifica la comunicazione dell'evento entro 3M dalla delibera di concessione del prolungamento</t>
        </r>
      </text>
    </comment>
    <comment ref="C125" authorId="0" shapeId="0" xr:uid="{00000000-0006-0000-0000-000013000000}">
      <text>
        <r>
          <rPr>
            <b/>
            <sz val="9"/>
            <color indexed="81"/>
            <rFont val="Tahoma"/>
            <family val="2"/>
          </rPr>
          <t>EDR_2 - comunicazione evento entro 3/4 mesi</t>
        </r>
      </text>
    </comment>
    <comment ref="D125" authorId="0" shapeId="0" xr:uid="{00000000-0006-0000-0000-000014000000}">
      <text>
        <r>
          <rPr>
            <b/>
            <sz val="9"/>
            <color indexed="81"/>
            <rFont val="Tahoma"/>
            <family val="2"/>
          </rPr>
          <t>EDR_T9 - presente comunicazione di modifica precedente evento di rischio - comunicazione evento entro 3/4 mesi</t>
        </r>
      </text>
    </comment>
    <comment ref="E125" authorId="0" shapeId="0" xr:uid="{00000000-0006-0000-0000-000015000000}">
      <text>
        <r>
          <rPr>
            <b/>
            <sz val="9"/>
            <color indexed="81"/>
            <rFont val="Tahoma"/>
            <family val="2"/>
          </rPr>
          <t>EDR_3 - regime transitorio - avvio entro 4 mesi da entrata in vigore d.o. evento di rischio</t>
        </r>
        <r>
          <rPr>
            <sz val="9"/>
            <color indexed="81"/>
            <rFont val="Tahoma"/>
            <family val="2"/>
          </rPr>
          <t xml:space="preserve">
</t>
        </r>
      </text>
    </comment>
    <comment ref="F125" authorId="0" shapeId="0" xr:uid="{00000000-0006-0000-0000-000016000000}">
      <text>
        <r>
          <rPr>
            <b/>
            <sz val="9"/>
            <color indexed="81"/>
            <rFont val="Tahoma"/>
            <family val="2"/>
          </rPr>
          <t xml:space="preserve">EDR_4 - avvio entro 4 mesi da evento = concorsuale
</t>
        </r>
      </text>
    </comment>
    <comment ref="G125" authorId="0" shapeId="0" xr:uid="{00000000-0006-0000-0000-000017000000}">
      <text>
        <r>
          <rPr>
            <b/>
            <sz val="9"/>
            <color indexed="81"/>
            <rFont val="Tahoma"/>
            <family val="2"/>
          </rPr>
          <t xml:space="preserve">EDR_6 - operazioni senza pda - verifica congruenza primo evento comunicato (obbligatoriamento = mancato rientro a scadenza - revoca prima della scadenza)
</t>
        </r>
        <r>
          <rPr>
            <sz val="9"/>
            <color indexed="81"/>
            <rFont val="Tahoma"/>
            <family val="2"/>
          </rPr>
          <t xml:space="preserve">
</t>
        </r>
      </text>
    </comment>
    <comment ref="C130" authorId="0" shapeId="0" xr:uid="{00000000-0006-0000-0000-000018000000}">
      <text>
        <r>
          <rPr>
            <b/>
            <sz val="9"/>
            <color indexed="81"/>
            <rFont val="Tahoma"/>
            <family val="2"/>
          </rPr>
          <t>B1 - controllo avvio entro i termini (12m da inadempimento)</t>
        </r>
      </text>
    </comment>
    <comment ref="D130" authorId="0" shapeId="0" xr:uid="{00000000-0006-0000-0000-000019000000}">
      <text>
        <r>
          <rPr>
            <b/>
            <sz val="9"/>
            <color indexed="81"/>
            <rFont val="Tahoma"/>
            <family val="2"/>
          </rPr>
          <t xml:space="preserve">B2/E2 - comunicazione avvio a mcc entro i termini (2 mesi  da avvio)
</t>
        </r>
      </text>
    </comment>
    <comment ref="E130" authorId="0" shapeId="0" xr:uid="{00000000-0006-0000-0000-00001A000000}">
      <text>
        <r>
          <rPr>
            <b/>
            <sz val="9"/>
            <color indexed="81"/>
            <rFont val="Tahoma"/>
            <family val="2"/>
          </rPr>
          <t xml:space="preserve">CHTS_B - sospensione termini avvio procedibile?
</t>
        </r>
      </text>
    </comment>
    <comment ref="F130" authorId="0" shapeId="0" xr:uid="{00000000-0006-0000-0000-00001B000000}">
      <text>
        <r>
          <rPr>
            <b/>
            <sz val="9"/>
            <color indexed="81"/>
            <rFont val="Tahoma"/>
            <family val="2"/>
          </rPr>
          <t>B1_S - avvio nei termini post sospensione?</t>
        </r>
      </text>
    </comment>
    <comment ref="G130" authorId="0" shapeId="0" xr:uid="{00000000-0006-0000-0000-00001C000000}">
      <text>
        <r>
          <rPr>
            <b/>
            <sz val="9"/>
            <color indexed="81"/>
            <rFont val="Tahoma"/>
            <family val="2"/>
          </rPr>
          <t>B2_S - comunicazione avvio a mcc nei termini post sospensione?</t>
        </r>
        <r>
          <rPr>
            <sz val="9"/>
            <color indexed="81"/>
            <rFont val="Tahoma"/>
            <family val="2"/>
          </rPr>
          <t xml:space="preserve">
</t>
        </r>
      </text>
    </comment>
    <comment ref="C132" authorId="0" shapeId="0" xr:uid="{00000000-0006-0000-0000-00001D000000}">
      <text>
        <r>
          <rPr>
            <b/>
            <sz val="9"/>
            <color indexed="81"/>
            <rFont val="Tahoma"/>
            <family val="2"/>
          </rPr>
          <t>A1 - controllo avvio nei termini (1m da scadenza finanzimento)</t>
        </r>
        <r>
          <rPr>
            <sz val="9"/>
            <color indexed="81"/>
            <rFont val="Tahoma"/>
            <family val="2"/>
          </rPr>
          <t xml:space="preserve">
</t>
        </r>
      </text>
    </comment>
    <comment ref="D132" authorId="0" shapeId="0" xr:uid="{00000000-0006-0000-0000-00001E000000}">
      <text>
        <r>
          <rPr>
            <b/>
            <sz val="9"/>
            <color indexed="81"/>
            <rFont val="Tahoma"/>
            <family val="2"/>
          </rPr>
          <t>A2 - comunicazione avvio a mcc nei termini (3m da scadenza finanziamento)</t>
        </r>
      </text>
    </comment>
    <comment ref="E132" authorId="0" shapeId="0" xr:uid="{00000000-0006-0000-0000-00001F000000}">
      <text>
        <r>
          <rPr>
            <b/>
            <sz val="9"/>
            <color indexed="81"/>
            <rFont val="Tahoma"/>
            <family val="2"/>
          </rPr>
          <t xml:space="preserve">A3 - inadempimento differente da avvio procedure - controllo avvio nei termini </t>
        </r>
      </text>
    </comment>
    <comment ref="F132" authorId="0" shapeId="0" xr:uid="{00000000-0006-0000-0000-000020000000}">
      <text>
        <r>
          <rPr>
            <b/>
            <sz val="9"/>
            <color indexed="81"/>
            <rFont val="Tahoma"/>
            <family val="2"/>
          </rPr>
          <t>C1 - controllo avvio nei termini</t>
        </r>
        <r>
          <rPr>
            <sz val="9"/>
            <color indexed="81"/>
            <rFont val="Tahoma"/>
            <family val="2"/>
          </rPr>
          <t xml:space="preserve">
(1m da scadenza finanziamento)</t>
        </r>
      </text>
    </comment>
    <comment ref="G132" authorId="0" shapeId="0" xr:uid="{00000000-0006-0000-0000-000021000000}">
      <text>
        <r>
          <rPr>
            <b/>
            <sz val="9"/>
            <color indexed="81"/>
            <rFont val="Tahoma"/>
            <family val="2"/>
          </rPr>
          <t>C2 - controllo comunicazione avvio a mcc nei termini (3m da scadenza finanziamento)</t>
        </r>
        <r>
          <rPr>
            <sz val="9"/>
            <color indexed="81"/>
            <rFont val="Tahoma"/>
            <family val="2"/>
          </rPr>
          <t xml:space="preserve">
</t>
        </r>
      </text>
    </comment>
    <comment ref="C133" authorId="0" shapeId="0" xr:uid="{00000000-0006-0000-0000-000022000000}">
      <text>
        <r>
          <rPr>
            <b/>
            <sz val="9"/>
            <color indexed="81"/>
            <rFont val="Tahoma"/>
            <family val="2"/>
          </rPr>
          <t>D1 - controllo avvio nei termini (3m da scadenza finanziamento)</t>
        </r>
      </text>
    </comment>
    <comment ref="D133" authorId="0" shapeId="0" xr:uid="{00000000-0006-0000-0000-000023000000}">
      <text>
        <r>
          <rPr>
            <b/>
            <sz val="9"/>
            <color indexed="81"/>
            <rFont val="Tahoma"/>
            <family val="2"/>
          </rPr>
          <t>D2 - controllo comunicazione avvio a mcc nei termini (2m da avvio)</t>
        </r>
      </text>
    </comment>
    <comment ref="E133" authorId="0" shapeId="0" xr:uid="{00000000-0006-0000-0000-000024000000}">
      <text>
        <r>
          <rPr>
            <b/>
            <sz val="9"/>
            <color indexed="81"/>
            <rFont val="Tahoma"/>
            <family val="2"/>
          </rPr>
          <t xml:space="preserve">CHTS_A1/C1 - sospensione termini avvio procedibile?
</t>
        </r>
      </text>
    </comment>
    <comment ref="F133" authorId="0" shapeId="0" xr:uid="{00000000-0006-0000-0000-000025000000}">
      <text>
        <r>
          <rPr>
            <b/>
            <sz val="9"/>
            <color indexed="81"/>
            <rFont val="Tahoma"/>
            <family val="2"/>
          </rPr>
          <t xml:space="preserve">CHTS_A3 - richiesta sospensione termini avvio procedibile?
</t>
        </r>
        <r>
          <rPr>
            <sz val="9"/>
            <color indexed="81"/>
            <rFont val="Tahoma"/>
            <family val="2"/>
          </rPr>
          <t xml:space="preserve">
</t>
        </r>
      </text>
    </comment>
    <comment ref="G133" authorId="0" shapeId="0" xr:uid="{00000000-0006-0000-0000-000026000000}">
      <text>
        <r>
          <rPr>
            <b/>
            <sz val="9"/>
            <color indexed="81"/>
            <rFont val="Tahoma"/>
            <family val="2"/>
          </rPr>
          <t>A1/C1_S  - controllo avvio nei termini post sospensione</t>
        </r>
      </text>
    </comment>
    <comment ref="C134" authorId="0" shapeId="0" xr:uid="{00000000-0006-0000-0000-000027000000}">
      <text>
        <r>
          <rPr>
            <b/>
            <sz val="9"/>
            <color indexed="81"/>
            <rFont val="Tahoma"/>
            <family val="2"/>
          </rPr>
          <t>A2/C2_S - controllo comunicazione avvio a mcc nei termini post sospensione</t>
        </r>
      </text>
    </comment>
    <comment ref="D134" authorId="0" shapeId="0" xr:uid="{00000000-0006-0000-0000-000028000000}">
      <text>
        <r>
          <rPr>
            <b/>
            <sz val="9"/>
            <color indexed="81"/>
            <rFont val="Tahoma"/>
            <family val="2"/>
          </rPr>
          <t>A3_S - controllo avvio nei termini post sospensione</t>
        </r>
      </text>
    </comment>
    <comment ref="E134" authorId="0" shapeId="0" xr:uid="{00000000-0006-0000-0000-000029000000}">
      <text>
        <r>
          <rPr>
            <b/>
            <sz val="9"/>
            <color indexed="81"/>
            <rFont val="Tahoma"/>
            <family val="2"/>
          </rPr>
          <t>CHTS_D1 - rischiesta sospensione termini avvio procedibile?</t>
        </r>
        <r>
          <rPr>
            <sz val="9"/>
            <color indexed="81"/>
            <rFont val="Tahoma"/>
            <family val="2"/>
          </rPr>
          <t xml:space="preserve">
</t>
        </r>
      </text>
    </comment>
    <comment ref="F134" authorId="0" shapeId="0" xr:uid="{00000000-0006-0000-0000-00002A000000}">
      <text>
        <r>
          <rPr>
            <b/>
            <sz val="9"/>
            <color indexed="81"/>
            <rFont val="Tahoma"/>
            <family val="2"/>
          </rPr>
          <t>D1_S - controllo avvio nei termini post sospensione</t>
        </r>
        <r>
          <rPr>
            <sz val="9"/>
            <color indexed="81"/>
            <rFont val="Tahoma"/>
            <family val="2"/>
          </rPr>
          <t xml:space="preserve">
</t>
        </r>
      </text>
    </comment>
    <comment ref="G134" authorId="0" shapeId="0" xr:uid="{00000000-0006-0000-0000-00002B000000}">
      <text>
        <r>
          <rPr>
            <b/>
            <sz val="9"/>
            <color indexed="81"/>
            <rFont val="Tahoma"/>
            <family val="2"/>
          </rPr>
          <t>D2_S - controllo comunicazione avvio a mcc nei termini post sospensione</t>
        </r>
      </text>
    </comment>
    <comment ref="F144" authorId="0" shapeId="0" xr:uid="{00000000-0006-0000-0000-00002C000000}">
      <text>
        <r>
          <rPr>
            <b/>
            <sz val="9"/>
            <color indexed="81"/>
            <rFont val="Tahoma"/>
            <family val="2"/>
          </rPr>
          <t>Inserire l'importo richiesto in liquidazione dalla banca al confidi nella prima richiesta di escussione, al netto di oneri/spese non riconosciute dal FdG</t>
        </r>
      </text>
    </comment>
    <comment ref="C145" authorId="0" shapeId="0" xr:uid="{00000000-0006-0000-0000-00002D000000}">
      <text>
        <r>
          <rPr>
            <b/>
            <sz val="9"/>
            <color indexed="81"/>
            <rFont val="Tahoma"/>
            <family val="2"/>
          </rPr>
          <t xml:space="preserve">Inserire importo al netto di eventuali spese/commissioni non riconosciute dal FdG
</t>
        </r>
      </text>
    </comment>
    <comment ref="F145" authorId="0" shapeId="0" xr:uid="{00000000-0006-0000-0000-00002E000000}">
      <text>
        <r>
          <rPr>
            <b/>
            <sz val="9"/>
            <color indexed="81"/>
            <rFont val="Tahoma"/>
            <family val="2"/>
          </rPr>
          <t>Verificare che la rilevazione dell'ammontare dell'esposizione sia fatta al 60-esimo giorno dall'avvio delle procedure</t>
        </r>
      </text>
    </comment>
    <comment ref="G145" authorId="0" shapeId="0" xr:uid="{00000000-0006-0000-0000-00002F000000}">
      <text>
        <r>
          <rPr>
            <b/>
            <sz val="9"/>
            <color indexed="81"/>
            <rFont val="Tahoma"/>
            <family val="2"/>
          </rPr>
          <t>Verificare che l'esposizione sia rilevata AL MASSIMO al 5°mese per operazioni senza pda / 11° mese per operazioni con pda</t>
        </r>
      </text>
    </comment>
    <comment ref="D154" authorId="0" shapeId="0" xr:uid="{00000000-0006-0000-0000-000030000000}">
      <text>
        <r>
          <rPr>
            <b/>
            <sz val="9"/>
            <color indexed="81"/>
            <rFont val="Tahoma"/>
            <family val="2"/>
          </rPr>
          <t>α - richiesta di attivazione nei termini (120gg)?</t>
        </r>
        <r>
          <rPr>
            <sz val="9"/>
            <color indexed="81"/>
            <rFont val="Tahoma"/>
            <family val="2"/>
          </rPr>
          <t xml:space="preserve">
</t>
        </r>
      </text>
    </comment>
    <comment ref="E154" authorId="0" shapeId="0" xr:uid="{00000000-0006-0000-0000-000031000000}">
      <text>
        <r>
          <rPr>
            <b/>
            <sz val="9"/>
            <color indexed="81"/>
            <rFont val="Tahoma"/>
            <family val="2"/>
          </rPr>
          <t xml:space="preserve">β - α - richiesta di attivazione nei termini (3mesi)?
</t>
        </r>
        <r>
          <rPr>
            <sz val="9"/>
            <color indexed="81"/>
            <rFont val="Tahoma"/>
            <family val="2"/>
          </rPr>
          <t xml:space="preserve">
</t>
        </r>
      </text>
    </comment>
    <comment ref="F154" authorId="0" shapeId="0" xr:uid="{00000000-0006-0000-0000-000032000000}">
      <text>
        <r>
          <rPr>
            <b/>
            <sz val="9"/>
            <color indexed="81"/>
            <rFont val="Tahoma"/>
            <family val="2"/>
          </rPr>
          <t xml:space="preserve">γ - richiesta di attivazione nei termini (120gg o 180gg se applicabili)?
</t>
        </r>
        <r>
          <rPr>
            <sz val="9"/>
            <color indexed="81"/>
            <rFont val="Tahoma"/>
            <family val="2"/>
          </rPr>
          <t xml:space="preserve">
</t>
        </r>
      </text>
    </comment>
    <comment ref="G154" authorId="0" shapeId="0" xr:uid="{00000000-0006-0000-0000-000033000000}">
      <text>
        <r>
          <rPr>
            <b/>
            <sz val="9"/>
            <color indexed="81"/>
            <rFont val="Tahoma"/>
            <family val="2"/>
          </rPr>
          <t xml:space="preserve">δ - richiesta di attivazione nei termini (180gg)?
</t>
        </r>
        <r>
          <rPr>
            <sz val="9"/>
            <color indexed="81"/>
            <rFont val="Tahoma"/>
            <family val="2"/>
          </rPr>
          <t xml:space="preserve">
</t>
        </r>
      </text>
    </comment>
    <comment ref="C155" authorId="0" shapeId="0" xr:uid="{00000000-0006-0000-0000-000034000000}">
      <text>
        <r>
          <rPr>
            <b/>
            <sz val="9"/>
            <color indexed="81"/>
            <rFont val="Tahoma"/>
            <family val="2"/>
          </rPr>
          <t xml:space="preserve">ESC_SOSP - richiesta sospensione termini attivazione procedibile?
</t>
        </r>
        <r>
          <rPr>
            <sz val="9"/>
            <color indexed="81"/>
            <rFont val="Tahoma"/>
            <family val="2"/>
          </rPr>
          <t xml:space="preserve">
</t>
        </r>
      </text>
    </comment>
    <comment ref="D155" authorId="0" shapeId="0" xr:uid="{00000000-0006-0000-0000-000035000000}">
      <text>
        <r>
          <rPr>
            <b/>
            <sz val="9"/>
            <color indexed="81"/>
            <rFont val="Tahoma"/>
            <family val="2"/>
          </rPr>
          <t>μ - richiesta di escussione nei 9m dall'evento?</t>
        </r>
        <r>
          <rPr>
            <sz val="9"/>
            <color indexed="81"/>
            <rFont val="Tahoma"/>
            <family val="2"/>
          </rPr>
          <t xml:space="preserve">
</t>
        </r>
      </text>
    </comment>
    <comment ref="E155" authorId="0" shapeId="0" xr:uid="{00000000-0006-0000-0000-000036000000}">
      <text>
        <r>
          <rPr>
            <b/>
            <sz val="9"/>
            <color indexed="81"/>
            <rFont val="Tahoma"/>
            <family val="2"/>
          </rPr>
          <t xml:space="preserve">ξ - richiesta di escussione nei 18m dall'evento?
</t>
        </r>
        <r>
          <rPr>
            <sz val="9"/>
            <color indexed="81"/>
            <rFont val="Tahoma"/>
            <family val="2"/>
          </rPr>
          <t xml:space="preserve">
</t>
        </r>
      </text>
    </comment>
    <comment ref="F155" authorId="0" shapeId="0" xr:uid="{00000000-0006-0000-0000-000037000000}">
      <text>
        <r>
          <rPr>
            <b/>
            <sz val="9"/>
            <color indexed="81"/>
            <rFont val="Tahoma"/>
            <family val="2"/>
          </rPr>
          <t>DIFFERENZA GG TRA AVVIO E ESCUSSIONE</t>
        </r>
      </text>
    </comment>
    <comment ref="G155" authorId="0" shapeId="0" xr:uid="{00000000-0006-0000-0000-000038000000}">
      <text>
        <r>
          <rPr>
            <b/>
            <sz val="9"/>
            <color indexed="81"/>
            <rFont val="Tahoma"/>
            <family val="2"/>
          </rPr>
          <t>DIFFERENZA MESI EVENTO E ESCUSSIONE</t>
        </r>
      </text>
    </comment>
    <comment ref="B170" authorId="0" shapeId="0" xr:uid="{00000000-0006-0000-0000-000039000000}">
      <text>
        <r>
          <rPr>
            <b/>
            <sz val="9"/>
            <color indexed="81"/>
            <rFont val="Tahoma"/>
            <family val="2"/>
          </rPr>
          <t>Inserire il dato come da delibera di ammissione alla garanzia</t>
        </r>
      </text>
    </comment>
    <comment ref="D171" authorId="0" shapeId="0" xr:uid="{00000000-0006-0000-0000-00003A000000}">
      <text>
        <r>
          <rPr>
            <b/>
            <sz val="9"/>
            <color indexed="81"/>
            <rFont val="Tahoma"/>
            <family val="2"/>
          </rPr>
          <t>Inserire data rilevazione</t>
        </r>
      </text>
    </comment>
    <comment ref="G171" authorId="0" shapeId="0" xr:uid="{00000000-0006-0000-0000-00003B000000}">
      <text>
        <r>
          <rPr>
            <b/>
            <sz val="9"/>
            <color indexed="81"/>
            <rFont val="Tahoma"/>
            <family val="2"/>
          </rPr>
          <t xml:space="preserve">Inserire data rilevazione </t>
        </r>
      </text>
    </comment>
    <comment ref="G177" authorId="0" shapeId="0" xr:uid="{00000000-0006-0000-0000-00003C000000}">
      <text>
        <r>
          <rPr>
            <b/>
            <sz val="9"/>
            <color indexed="81"/>
            <rFont val="Tahoma"/>
            <family val="2"/>
          </rPr>
          <t>Verifica che importo finanziamento come da richiesta di ammissione sia inferiore all'importo massimo concedibile</t>
        </r>
        <r>
          <rPr>
            <sz val="9"/>
            <color indexed="81"/>
            <rFont val="Tahoma"/>
            <family val="2"/>
          </rPr>
          <t xml:space="preserve">
</t>
        </r>
      </text>
    </comment>
    <comment ref="C203" authorId="0" shapeId="0" xr:uid="{00000000-0006-0000-0000-00003F000000}">
      <text>
        <r>
          <rPr>
            <b/>
            <sz val="9"/>
            <color indexed="81"/>
            <rFont val="Tahoma"/>
            <family val="2"/>
          </rPr>
          <t>Inserire data rilevazione</t>
        </r>
      </text>
    </comment>
    <comment ref="F203" authorId="0" shapeId="0" xr:uid="{00000000-0006-0000-0000-000040000000}">
      <text>
        <r>
          <rPr>
            <b/>
            <sz val="9"/>
            <color indexed="81"/>
            <rFont val="Tahoma"/>
            <family val="2"/>
          </rPr>
          <t>Inserire data rilevazione</t>
        </r>
      </text>
    </comment>
    <comment ref="C204" authorId="0" shapeId="0" xr:uid="{00000000-0006-0000-0000-000041000000}">
      <text>
        <r>
          <rPr>
            <b/>
            <sz val="9"/>
            <color indexed="81"/>
            <rFont val="Tahoma"/>
            <family val="2"/>
          </rPr>
          <t>Inserire data rilevazione</t>
        </r>
      </text>
    </comment>
    <comment ref="D209" authorId="0" shapeId="0" xr:uid="{00000000-0006-0000-0000-000042000000}">
      <text>
        <r>
          <rPr>
            <b/>
            <sz val="9"/>
            <color indexed="81"/>
            <rFont val="Tahoma"/>
            <family val="2"/>
          </rPr>
          <t>INSERIRE FONTE DATI</t>
        </r>
        <r>
          <rPr>
            <sz val="9"/>
            <color indexed="81"/>
            <rFont val="Tahoma"/>
            <family val="2"/>
          </rPr>
          <t xml:space="preserve">
</t>
        </r>
      </text>
    </comment>
    <comment ref="F209" authorId="0" shapeId="0" xr:uid="{00000000-0006-0000-0000-000043000000}">
      <text>
        <r>
          <rPr>
            <b/>
            <sz val="9"/>
            <color indexed="81"/>
            <rFont val="Tahoma"/>
            <family val="2"/>
          </rPr>
          <t>INSERIRE FONTE DATI</t>
        </r>
      </text>
    </comment>
    <comment ref="C210" authorId="0" shapeId="0" xr:uid="{00000000-0006-0000-0000-000044000000}">
      <text>
        <r>
          <rPr>
            <b/>
            <sz val="9"/>
            <color indexed="81"/>
            <rFont val="Tahoma"/>
            <family val="2"/>
          </rPr>
          <t>Inserire data rilevazione</t>
        </r>
      </text>
    </comment>
    <comment ref="B211" authorId="0" shapeId="0" xr:uid="{00000000-0006-0000-0000-000045000000}">
      <text>
        <r>
          <rPr>
            <b/>
            <sz val="9"/>
            <color indexed="81"/>
            <rFont val="Tahoma"/>
            <family val="2"/>
          </rPr>
          <t>PER DEFINIZIONE VEDI FOGLIO Pregiudizievoli_Mod Rating</t>
        </r>
      </text>
    </comment>
    <comment ref="C213" authorId="0" shapeId="0" xr:uid="{00000000-0006-0000-0000-000046000000}">
      <text>
        <r>
          <rPr>
            <b/>
            <sz val="9"/>
            <color indexed="81"/>
            <rFont val="Tahoma"/>
            <family val="2"/>
          </rPr>
          <t>FONTE</t>
        </r>
      </text>
    </comment>
    <comment ref="F218" authorId="1" shapeId="0" xr:uid="{00000000-0006-0000-0000-000047000000}">
      <text>
        <r>
          <rPr>
            <b/>
            <sz val="9"/>
            <color indexed="81"/>
            <rFont val="Tahoma"/>
            <family val="2"/>
          </rPr>
          <t>FASCIA 5 NON AMMISSIBILE;
FASCIA PIU' BASSA PUO' PREVEDERE PERCENTUALE DI GARANZIA PIU' BASSA</t>
        </r>
        <r>
          <rPr>
            <sz val="9"/>
            <color indexed="81"/>
            <rFont val="Tahoma"/>
            <family val="2"/>
          </rPr>
          <t xml:space="preserve">
</t>
        </r>
      </text>
    </comment>
    <comment ref="D223" authorId="0" shapeId="0" xr:uid="{DA05B7E9-E4C2-4DF5-9C7F-ED07EAFD3653}">
      <text>
        <r>
          <rPr>
            <sz val="9"/>
            <color indexed="81"/>
            <rFont val="Tahoma"/>
            <family val="2"/>
          </rPr>
          <t xml:space="preserve">in caso di riassicurazione, il premio complessivo di garanzia deve essere verificato solamente nel caso in cui la riassicurazione del Fondo è pari al 100% dell’importo garantito dal Confidi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tc={F8F6A7ED-D427-41C3-996C-DA2F723469B0}</author>
    <author>tc={2683E253-121E-484C-A8DE-0DB4B6B2AA83}</author>
    <author>tc={B62B5A94-738D-49A3-8EC7-873A345CC177}</author>
  </authors>
  <commentList>
    <comment ref="J39" authorId="0" shapeId="0" xr:uid="{00000000-0006-0000-0500-0000010000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ultima data rata scaduta per edr in regime transitorio</t>
      </text>
    </comment>
    <comment ref="Q74" authorId="1" shapeId="0" xr:uid="{2683E253-121E-484C-A8DE-0DB4B6B2AA8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presente arrotondamento cds +0,05% vedi cella P75</t>
      </text>
    </comment>
    <comment ref="Q78" authorId="2" shapeId="0" xr:uid="{B62B5A94-738D-49A3-8EC7-873A345CC17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attenzione tasso per erogazioni di gennaio 2021 è impostato fisso al 2020 non gestito dinamico</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Crusco Domenico</author>
  </authors>
  <commentList>
    <comment ref="L29" authorId="0" shapeId="0" xr:uid="{00000000-0006-0000-0600-000001000000}">
      <text>
        <r>
          <rPr>
            <b/>
            <sz val="9"/>
            <color indexed="81"/>
            <rFont val="Tahoma"/>
            <family val="2"/>
          </rPr>
          <t>Crusco Domenico:</t>
        </r>
        <r>
          <rPr>
            <sz val="9"/>
            <color indexed="81"/>
            <rFont val="Tahoma"/>
            <family val="2"/>
          </rPr>
          <t xml:space="preserve">
SVILUPPARE CONTROLLI PROLUNGAMENTO CON SOSPENSIONE ANTE PROLUNGAMENTO E NO AVVIO (DATA RICHIESTA SOSPENSIONE MINORE DI DT RICHIESTA PROLUNGAMENTO ATTIVO , IL PROLUNGAMENTO DEVE ARRIVARE ANTE DATA SCADENZA TERMINI SOSPENSIONE)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<sst xmlns="http://schemas.openxmlformats.org/spreadsheetml/2006/main" count="15382" uniqueCount="3667">
  <si>
    <t>Calcolo parametri dimensionali</t>
  </si>
  <si>
    <t>Fatturato</t>
  </si>
  <si>
    <t>Attivo</t>
  </si>
  <si>
    <t>Ula</t>
  </si>
  <si>
    <t>Valori assoluti imprese Associate/Collegate</t>
  </si>
  <si>
    <t>Valori relativi</t>
  </si>
  <si>
    <t>Impresa</t>
  </si>
  <si>
    <t>Rel.</t>
  </si>
  <si>
    <t>%</t>
  </si>
  <si>
    <t>Fatturato %</t>
  </si>
  <si>
    <t>Attivo %</t>
  </si>
  <si>
    <t>Ula %</t>
  </si>
  <si>
    <t>Istruttore:</t>
  </si>
  <si>
    <t>Coll. PF</t>
  </si>
  <si>
    <t>Coll.</t>
  </si>
  <si>
    <t>Ass.</t>
  </si>
  <si>
    <t>note</t>
  </si>
  <si>
    <t>CHECK TERMINI ESCUSSIONE</t>
  </si>
  <si>
    <t>DATA RILEVAZIONE AMMONTARE ESPOSIZIONE</t>
  </si>
  <si>
    <t>DATA RICHIESTA ESCUSSIONE FDG</t>
  </si>
  <si>
    <t>DATA INVIO DIFFIDA CONFIDI INADEMPIENTE</t>
  </si>
  <si>
    <t>DATA RICHIESTA ESCUSSIONE CONFIDI</t>
  </si>
  <si>
    <t>FLAG ASM CONFIDI INADEMPIENTE</t>
  </si>
  <si>
    <t>NO</t>
  </si>
  <si>
    <t>CONFIDI INADEMPIENTE?</t>
  </si>
  <si>
    <t>Prima Richiesta</t>
  </si>
  <si>
    <t>TIPO RICHIESTA ESCUSSIONE</t>
  </si>
  <si>
    <t>TERMINE ESCUSSIONE POST SOSPENSIONE</t>
  </si>
  <si>
    <t>DATA RICHIESTA SOSPENSIONE A MCC</t>
  </si>
  <si>
    <t>SI</t>
  </si>
  <si>
    <t>RICHIESTA SOSP TERMINI RICHIESTA ESCUSSIONE?</t>
  </si>
  <si>
    <t>DATI RICHIESTA ATTIVAZIONE</t>
  </si>
  <si>
    <t>CHECK TERMINI AVVIO PIANO NO</t>
  </si>
  <si>
    <t>CHECK TERMINI AVVIO PIANO SI</t>
  </si>
  <si>
    <t>CHECK TERMINI EVENTO DI RISCHIO</t>
  </si>
  <si>
    <t>DATA INVIO ATTO DI AVVIO PROCEDURE DI RECUPERO</t>
  </si>
  <si>
    <t>DATA COMUNICAZIONE PRIMO EVENTO DI RISCHIO A MCC</t>
  </si>
  <si>
    <t>DATA EVENTO PRECEDENTE</t>
  </si>
  <si>
    <t>DATA EVENTO</t>
  </si>
  <si>
    <t>DATA INADEMPIMENTO</t>
  </si>
  <si>
    <t>COMUNICAZIONE AVVIO PROCEDURE</t>
  </si>
  <si>
    <t>REGIME RICHIESTA ESCUSSIONE</t>
  </si>
  <si>
    <t>RATA SCADUTA</t>
  </si>
  <si>
    <t>TIPO EVENTO / INADEMPIMENTO</t>
  </si>
  <si>
    <t>Con piano</t>
  </si>
  <si>
    <t>PIANO D'AMM.TO</t>
  </si>
  <si>
    <t>DATI INADEMPIMENTO</t>
  </si>
  <si>
    <t>TERMINE AVVIO POST SOSPENSIONE</t>
  </si>
  <si>
    <t>RICHIESTA SOSP TERMINI AVVIO PROCEDURE?</t>
  </si>
  <si>
    <t>DATA COMUNICAZIONE MANCATO PERF.TO</t>
  </si>
  <si>
    <t>DATA PERFEZIONAMENTO</t>
  </si>
  <si>
    <t>PERFEZIONAMENTO</t>
  </si>
  <si>
    <t xml:space="preserve">DATA AVVIO </t>
  </si>
  <si>
    <t>AVVIO PROCEDURE</t>
  </si>
  <si>
    <t>DATA RICHIESTA MCC</t>
  </si>
  <si>
    <t>NUOVA SCADENZA FIN.TO</t>
  </si>
  <si>
    <t>Prolungamento A17/A17 Bis</t>
  </si>
  <si>
    <t>VARIAZIONE DI DURATA</t>
  </si>
  <si>
    <t>DATI VARIAZIONE DURATA / SOSPENSIONE TERMINI AVVIO</t>
  </si>
  <si>
    <t>IMPORTO FIN.TO €</t>
  </si>
  <si>
    <t>SCAD.ZA GARANZIA</t>
  </si>
  <si>
    <t>SCADENZA FIN.TO</t>
  </si>
  <si>
    <t>EROG/PERF</t>
  </si>
  <si>
    <t>DELIBERA BANCA</t>
  </si>
  <si>
    <t>DELIBERA CONFIDI</t>
  </si>
  <si>
    <t>DURATA FIN.TO (mesi)</t>
  </si>
  <si>
    <t>AMMORTAMENTO</t>
  </si>
  <si>
    <t>Fin.to ML/T</t>
  </si>
  <si>
    <t xml:space="preserve">VALUTA VERSAMENTO </t>
  </si>
  <si>
    <t>INTEGRAZIONE</t>
  </si>
  <si>
    <t>IMP. VERSATO</t>
  </si>
  <si>
    <t>IMPORTO DOVUTO</t>
  </si>
  <si>
    <t>IMPRESA AMM.NE STRAOR</t>
  </si>
  <si>
    <t>DETT. ESENZIONE COMMISSIONI</t>
  </si>
  <si>
    <t>DOVUTA</t>
  </si>
  <si>
    <t>COMMISSIONE UNA TANTUM</t>
  </si>
  <si>
    <t>Mid cap</t>
  </si>
  <si>
    <t>DIMENSIONE</t>
  </si>
  <si>
    <t>UBICAZIONE SEDE OPERATIVA</t>
  </si>
  <si>
    <t>Restanti territori</t>
  </si>
  <si>
    <t>UBICAZIONE SEDE LEGALE</t>
  </si>
  <si>
    <t>MAX GAR CONFIDI €</t>
  </si>
  <si>
    <t>% GAR CONFIDI</t>
  </si>
  <si>
    <t>DATI FINANZIARI OPERAZIONE COME DA DOMANDA DI AMMISSIONE</t>
  </si>
  <si>
    <t>DATA SOTTOSCRIZ.
All.to 4/1bis</t>
  </si>
  <si>
    <t>REGIME D.O. AMM.NE</t>
  </si>
  <si>
    <t>DELIBERA CONSIGLIO AMM.NE</t>
  </si>
  <si>
    <t>DATA RICHIESTA AMM.NE</t>
  </si>
  <si>
    <t>DATA CHIUSURA PORTAFOGLIO EFFETTIVA</t>
  </si>
  <si>
    <t>DATA CHIUSURA PORTAFOGLIO PREVISTA</t>
  </si>
  <si>
    <t>DATA APERTURA PORTAFOGLIO</t>
  </si>
  <si>
    <t>DATA VERSAMENTO</t>
  </si>
  <si>
    <t>AMMONTARE MEZZI PRORI VERSATI</t>
  </si>
  <si>
    <t>Σ FATTURE QUIET</t>
  </si>
  <si>
    <t>SI (indicare €)</t>
  </si>
  <si>
    <t>INVESTIMENTO</t>
  </si>
  <si>
    <t>specificare DENOMINAZIONE/CODICE portafoglio</t>
  </si>
  <si>
    <t>specificare FINALITA' operazione</t>
  </si>
  <si>
    <t>Portafoglio</t>
  </si>
  <si>
    <t>PROCESS</t>
  </si>
  <si>
    <t>5 Altra Operazione Finanziaria</t>
  </si>
  <si>
    <t xml:space="preserve">FINALITA' OPERAZIONE </t>
  </si>
  <si>
    <t>Σ AIUTI OTTENUTI NEL TRIENNIO</t>
  </si>
  <si>
    <t>DE MINIMIS</t>
  </si>
  <si>
    <t>DATA INIZIO ATT.</t>
  </si>
  <si>
    <t>DATA COSTITUZIONE</t>
  </si>
  <si>
    <t>NUOVA IMPRESA</t>
  </si>
  <si>
    <t>IMPRESA FEMMINILE</t>
  </si>
  <si>
    <t>TIPOLOGIA IMPRESA</t>
  </si>
  <si>
    <t>DESCRIZIONE ATTIVITA'</t>
  </si>
  <si>
    <t>Industria e altro</t>
  </si>
  <si>
    <t>SETTORE</t>
  </si>
  <si>
    <t>CODICE ATTIVITA' (Ateco 2007)</t>
  </si>
  <si>
    <t xml:space="preserve">FORMA GIURIDICA </t>
  </si>
  <si>
    <t>SOGG. BEN. FINALE</t>
  </si>
  <si>
    <t>SOGG. RICHIEDENTE</t>
  </si>
  <si>
    <t>Specificare</t>
  </si>
  <si>
    <t>Controgaranzia</t>
  </si>
  <si>
    <t>TIPO GARANZIA</t>
  </si>
  <si>
    <t>Nessuna Compartecip.</t>
  </si>
  <si>
    <t>SEZ./COMP.</t>
  </si>
  <si>
    <t>Contributi Volontari</t>
  </si>
  <si>
    <t>FONDO</t>
  </si>
  <si>
    <t>N OPERAZIONE</t>
  </si>
  <si>
    <t>DATI GENERALI</t>
  </si>
  <si>
    <t>#</t>
  </si>
  <si>
    <t>NESSUNA DELLE PRECEDENTI</t>
  </si>
  <si>
    <t>AGRICOLA</t>
  </si>
  <si>
    <t>PORTAFOGLIO</t>
  </si>
  <si>
    <t>ARTIGIANA</t>
  </si>
  <si>
    <t/>
  </si>
  <si>
    <t>UBICAZ. 87.3a</t>
  </si>
  <si>
    <t>IMPRESA SOCIALE</t>
  </si>
  <si>
    <t>UBICAZ. MEZZOGIORNO</t>
  </si>
  <si>
    <t>10 Op. Nuova Sabatini</t>
  </si>
  <si>
    <t>SI: PROPOSTA TRANSATTIVA</t>
  </si>
  <si>
    <t>PROPOSTA TRANSATTIVA</t>
  </si>
  <si>
    <t>9 Investimenti Equity</t>
  </si>
  <si>
    <t>Confidi Aree Depr.</t>
  </si>
  <si>
    <t>SI: ESCUSSIONE FIDEJUSSIONE</t>
  </si>
  <si>
    <t>AMM.NE PROC. CONCORSUALI</t>
  </si>
  <si>
    <t>CONSORZIO IMPRESA CARATTERIZZATA DA CICLI PRODUTTIVI ULTRANNUALI OPERA SU COMMESSA O A PROGETTO (CIRCOLARE MCC N. 617)</t>
  </si>
  <si>
    <t>8 Operazioni di Microcredito</t>
  </si>
  <si>
    <t>Fondo Tec. Dig.</t>
  </si>
  <si>
    <t>SI: MANCATO RIENTRO ALLA SCADENZA</t>
  </si>
  <si>
    <t>ESCUSSIONE FIDEJUSSIONE</t>
  </si>
  <si>
    <t xml:space="preserve">OPERAZIONE 'D.O. ANTE 2010' </t>
  </si>
  <si>
    <t>Allegato 5</t>
  </si>
  <si>
    <t>PROFESSIONISTA ADERENTE ALLE ASS.NI PROF.LI ISCRITTE NELL'ELENCO TENUTO DAL MISE AI SENSI DELLA L. 14/01/2013, N. 4</t>
  </si>
  <si>
    <t>PRESTITI PARTECIPATIVI</t>
  </si>
  <si>
    <t>INCUBATORE CERTIFICATO</t>
  </si>
  <si>
    <t>Pesca</t>
  </si>
  <si>
    <t>7 Minibond</t>
  </si>
  <si>
    <t>Originariamente senza piano - con piano post allungamento</t>
  </si>
  <si>
    <t>F.R. Femminili_St-up</t>
  </si>
  <si>
    <t>Nazionale (662/96)</t>
  </si>
  <si>
    <t>MANCATO RIENTRO ALLA SCADENZA</t>
  </si>
  <si>
    <t>OPERAZIONE 'D.O. 2010'</t>
  </si>
  <si>
    <t>STUDIO PROFESSIONALE O PROFESSIONISTA ISCRITTO AGLI ORDINI PROFESSIONALI</t>
  </si>
  <si>
    <t>ST-UP INNOVATIVA</t>
  </si>
  <si>
    <t>Valutazione StartUp</t>
  </si>
  <si>
    <t>Autotrasporto</t>
  </si>
  <si>
    <t>6 Op. imprese indotto amm.ne straordinaria</t>
  </si>
  <si>
    <t>F.R. Femminili</t>
  </si>
  <si>
    <t>Sisma Abruzzo</t>
  </si>
  <si>
    <t>Saldo</t>
  </si>
  <si>
    <t>SI: LEASING - MANCATO RISCATTO/RICONSEGNA</t>
  </si>
  <si>
    <t>OPERAZIONE 'SALVA ITALIA'</t>
  </si>
  <si>
    <t>COOPERATIVA SOCIALE DI CUI ALLA LEGGE 8 NOVEMBRE 1991, N. 381</t>
  </si>
  <si>
    <t>MINIBOND</t>
  </si>
  <si>
    <t>ANT. CREDITI PA</t>
  </si>
  <si>
    <t>COMMISIONI</t>
  </si>
  <si>
    <t>Consorzio</t>
  </si>
  <si>
    <t>Importo Ridotto</t>
  </si>
  <si>
    <t>Imprese agricole</t>
  </si>
  <si>
    <t>3C</t>
  </si>
  <si>
    <t>87.3 C</t>
  </si>
  <si>
    <t>Senza piano</t>
  </si>
  <si>
    <t>F.R. Reg. Sicilia</t>
  </si>
  <si>
    <t>PON</t>
  </si>
  <si>
    <t xml:space="preserve">Acconto </t>
  </si>
  <si>
    <t>SI: LEASING - DENUNCIA FURTO</t>
  </si>
  <si>
    <t>LEASING - MANCATO RISCATTO/RICONSEGNA</t>
  </si>
  <si>
    <t>OPERAZIONE 'D.L.FARE'</t>
  </si>
  <si>
    <t>INCUBATORE CERTIFICATO ISCRITTO NELLA SEZ SPECIALE DEL REGISTRO DELLE IMPRESE ART. 25, C 8, DL N.179/2012</t>
  </si>
  <si>
    <t>CAPITALE DI RISCHIO</t>
  </si>
  <si>
    <t>CONTRATTO DI RETE</t>
  </si>
  <si>
    <t>Società Cooperative</t>
  </si>
  <si>
    <t>Microcredito</t>
  </si>
  <si>
    <t>Commercio, servizi e altro</t>
  </si>
  <si>
    <t>4 Operazioni Capitale Rischio</t>
  </si>
  <si>
    <t>MED</t>
  </si>
  <si>
    <t>Media Impresa</t>
  </si>
  <si>
    <t>3A</t>
  </si>
  <si>
    <t>87.3 A</t>
  </si>
  <si>
    <t>CO</t>
  </si>
  <si>
    <t>Cogaranzia</t>
  </si>
  <si>
    <t>F.R. Reg. Campania</t>
  </si>
  <si>
    <t>POIn Attrattori</t>
  </si>
  <si>
    <t>Impegno</t>
  </si>
  <si>
    <t>SI: LEASING - CANONE SCADUTO</t>
  </si>
  <si>
    <t>LEASING - DENUNCIA FURTO</t>
  </si>
  <si>
    <t>OPERAZIONE 'POST D.L.FARE'</t>
  </si>
  <si>
    <t>STARTUP INNOVATIVA, ISCRITTA NELLA SEZ SPECIALE DEL REGISTRO DELLE IMPRESE ART. 25, C 8, DL N.179/2012</t>
  </si>
  <si>
    <t>CONSOLIDAMENTO ST. BANCA</t>
  </si>
  <si>
    <t>EVENTI SISMICI</t>
  </si>
  <si>
    <t>Società di capitali</t>
  </si>
  <si>
    <t>Semplificata</t>
  </si>
  <si>
    <t>Edilizia</t>
  </si>
  <si>
    <t>3 Consolidamento pass bt stessa banca</t>
  </si>
  <si>
    <t>PIC</t>
  </si>
  <si>
    <t>Piccola Impresa</t>
  </si>
  <si>
    <t>RT</t>
  </si>
  <si>
    <t>SU</t>
  </si>
  <si>
    <t>Sussidiaria</t>
  </si>
  <si>
    <t>CG</t>
  </si>
  <si>
    <t>F.R. Reg. Lazio</t>
  </si>
  <si>
    <t>SI: RATA SCADUTA</t>
  </si>
  <si>
    <t>LEASING - CANONE SCADUTO</t>
  </si>
  <si>
    <t>OPERAZIONE 'D.O. EVENTO DI RISCHIO'</t>
  </si>
  <si>
    <t>SOTTOSCRITTRICE DI UN CONTRATTO DI RETE (D.L. 5, 10/02/2009 E ART. 1, L. 33, 09/04/2009 E S.M.I.)</t>
  </si>
  <si>
    <t>87.3c</t>
  </si>
  <si>
    <t>AUTOTRASPORTO</t>
  </si>
  <si>
    <t>NON DOVUTA</t>
  </si>
  <si>
    <t>Ditta individuale</t>
  </si>
  <si>
    <t>Ordinaria</t>
  </si>
  <si>
    <t>2 Operazioni con durata &gt; 36m</t>
  </si>
  <si>
    <t>MLT</t>
  </si>
  <si>
    <t>MCR</t>
  </si>
  <si>
    <t>Micro Impresa</t>
  </si>
  <si>
    <t>MZ</t>
  </si>
  <si>
    <t>Reg Mezzogiorno</t>
  </si>
  <si>
    <t>NP</t>
  </si>
  <si>
    <t>PR</t>
  </si>
  <si>
    <t>GD</t>
  </si>
  <si>
    <t>Garanzia Diretta</t>
  </si>
  <si>
    <t>F.R. CCIAA</t>
  </si>
  <si>
    <t xml:space="preserve">EVENTO DI RISCHIO </t>
  </si>
  <si>
    <t>OPERAZIONE 'D.O. RIFORMA RATING'</t>
  </si>
  <si>
    <t>No</t>
  </si>
  <si>
    <t>SPECIFICARE</t>
  </si>
  <si>
    <t>RESTANTI TERRITORI</t>
  </si>
  <si>
    <t>Società di persone</t>
  </si>
  <si>
    <t>Rating</t>
  </si>
  <si>
    <t>1 Anticipazione Crediti P.A.</t>
  </si>
  <si>
    <t>BT</t>
  </si>
  <si>
    <t>Fin.to B/T</t>
  </si>
  <si>
    <t>P</t>
  </si>
  <si>
    <t>TIPO RICHIESTA LIQUIDAZIONE</t>
  </si>
  <si>
    <t>MODIFICA EVENTO</t>
  </si>
  <si>
    <t>REGIME ATTIVAZIONE</t>
  </si>
  <si>
    <t>TIPO EVENTO DI RISCHIO</t>
  </si>
  <si>
    <t># REGIME</t>
  </si>
  <si>
    <t>REGIME D.O. AMMISSIONE</t>
  </si>
  <si>
    <t># VAR</t>
  </si>
  <si>
    <t>TIPO IMPRESA</t>
  </si>
  <si>
    <t>COMBO COMMISSIONE</t>
  </si>
  <si>
    <t>TIPOLOGIA FINANZIAMENO</t>
  </si>
  <si>
    <t>UBICAZIONE</t>
  </si>
  <si>
    <t>TIPOLOGIA PIANO AMM.TO</t>
  </si>
  <si>
    <t xml:space="preserve">TIPOLOGIA OPERAZIONE </t>
  </si>
  <si>
    <t>TIPOLOGIA GARANZIA</t>
  </si>
  <si>
    <t>SEZ/COMPARTECIPAZIONE</t>
  </si>
  <si>
    <t>check new</t>
  </si>
  <si>
    <t>check</t>
  </si>
  <si>
    <t>DIFFERENZA MESI</t>
  </si>
  <si>
    <t>differenza</t>
  </si>
  <si>
    <t>TERMINE TRANDS</t>
  </si>
  <si>
    <t>DATA CALCOLATA (DT_EV+5/11M)</t>
  </si>
  <si>
    <t>COM AVVIO</t>
  </si>
  <si>
    <t>RILEVAZIONE MESE</t>
  </si>
  <si>
    <t>CHECK old</t>
  </si>
  <si>
    <t xml:space="preserve">REGIME </t>
  </si>
  <si>
    <t>EROGAZ PIANO</t>
  </si>
  <si>
    <t>CHECK 5/11 MESE EDR</t>
  </si>
  <si>
    <t>check sosp avvio</t>
  </si>
  <si>
    <t>EROGAZ NO PIANO</t>
  </si>
  <si>
    <t>SOSP AVVIO</t>
  </si>
  <si>
    <t>AVVIO</t>
  </si>
  <si>
    <t>CG DEL ANTE AMM.NE MAX  6M</t>
  </si>
  <si>
    <t>data calcolata (60gg da avvio)</t>
  </si>
  <si>
    <t>EDR OLD</t>
  </si>
  <si>
    <t>GD condizionata</t>
  </si>
  <si>
    <t>CHECK 60ESIMO</t>
  </si>
  <si>
    <t>EDR</t>
  </si>
  <si>
    <t>count condizione GD</t>
  </si>
  <si>
    <t>CHECK VISUALIZZAZIONE EDR_RULES</t>
  </si>
  <si>
    <t>GD 3 mesi da consiglio</t>
  </si>
  <si>
    <t>CHECK FINALE</t>
  </si>
  <si>
    <t>GD MAX 6M</t>
  </si>
  <si>
    <t>CHECK REGIME</t>
  </si>
  <si>
    <t>CHECK TIPO INA</t>
  </si>
  <si>
    <t>count</t>
  </si>
  <si>
    <t>CHECK DELIBERA/EROGAZIONE</t>
  </si>
  <si>
    <t>TIPO INADEMPIMENTO</t>
  </si>
  <si>
    <t>check iscrizione sez speciale</t>
  </si>
  <si>
    <t>CHECK CONGRUENZA MODIFICA EDR</t>
  </si>
  <si>
    <t>data check st up</t>
  </si>
  <si>
    <t>check finalità</t>
  </si>
  <si>
    <t>CHECK FIN (A+B)</t>
  </si>
  <si>
    <t>CHECK CONGRUENZA INA/PIANO</t>
  </si>
  <si>
    <t>B - IMPRESA + PROCESS</t>
  </si>
  <si>
    <t>data check st up inno</t>
  </si>
  <si>
    <t>form condizionale dati variazione durata</t>
  </si>
  <si>
    <t>IMPRESA</t>
  </si>
  <si>
    <t>anni st up</t>
  </si>
  <si>
    <t>A - NEW CORP + INV</t>
  </si>
  <si>
    <t>Altre</t>
  </si>
  <si>
    <t>anni (st up inno/incubatori)</t>
  </si>
  <si>
    <t>controllo nuova impresa</t>
  </si>
  <si>
    <t>process &lt;&gt; da ST_UP INNO/INC CERT/IMPRESE SOC/COOPSOC/PORTAFOGLIO</t>
  </si>
  <si>
    <t>CHECK MEZZI PROPRI</t>
  </si>
  <si>
    <t>data check controllo</t>
  </si>
  <si>
    <t>PIANO</t>
  </si>
  <si>
    <t>REGIME esc dichiarato</t>
  </si>
  <si>
    <t>mesi</t>
  </si>
  <si>
    <t>CHECK VISUALIZZAZIONE AVVIO_RULES</t>
  </si>
  <si>
    <t>check aiuti de minimis</t>
  </si>
  <si>
    <t>check settore attività</t>
  </si>
  <si>
    <t>controllo valuta vers commissioni</t>
  </si>
  <si>
    <t>CHECK VIS CTRL</t>
  </si>
  <si>
    <t>EDR_6</t>
  </si>
  <si>
    <t>EDR_4 - CONC_AVVIO</t>
  </si>
  <si>
    <t>EDR_3 - CONC_TRANS_AVVIO</t>
  </si>
  <si>
    <t>VISIBILITA ξ (1 SI - 0 NO)</t>
  </si>
  <si>
    <t>TIPO EDR</t>
  </si>
  <si>
    <t>VISIBILITA μ (1 SI - 0 NO)</t>
  </si>
  <si>
    <t>ξ (SI PIANO)</t>
  </si>
  <si>
    <t xml:space="preserve">EDR_T9 - MOD CONCORSUALE </t>
  </si>
  <si>
    <t>μ (NO PIANO)</t>
  </si>
  <si>
    <t>EDR_MODIFICA_CONC</t>
  </si>
  <si>
    <t>TERMINE ATTIVAZIONE PIANO SI</t>
  </si>
  <si>
    <t>EDR_2 - COMUNICAZIONE EDR</t>
  </si>
  <si>
    <t>TERMINE ATTIVAZIONE PIANO NO</t>
  </si>
  <si>
    <t>MESI PIANO SI</t>
  </si>
  <si>
    <t>EDR &gt;= 15/10/2018</t>
  </si>
  <si>
    <t>COUNT</t>
  </si>
  <si>
    <t>PERIODI DISPOSIZIONI ESCUSSIONE EFFETTIVO</t>
  </si>
  <si>
    <t>MESI PIANO NO</t>
  </si>
  <si>
    <t>REGOLE TERMINI ESCUSSIONE - REGIME EVENTO DI RISCHIO</t>
  </si>
  <si>
    <t>EDR_T8 - COMUNICAZIONE EVENTO TRANSITORIO</t>
  </si>
  <si>
    <t>δ</t>
  </si>
  <si>
    <t>FINO AL</t>
  </si>
  <si>
    <t>DAL</t>
  </si>
  <si>
    <t>T+2</t>
  </si>
  <si>
    <t>EDR_T7 - CONCORSUALE PIANO NO TRANSITORIO</t>
  </si>
  <si>
    <t>γ</t>
  </si>
  <si>
    <t>T+1</t>
  </si>
  <si>
    <t>ESC_SOSP</t>
  </si>
  <si>
    <t>EDR_T6 - CONCORSUALE PIANO SI TRANSITORIO</t>
  </si>
  <si>
    <t>α</t>
  </si>
  <si>
    <t>T</t>
  </si>
  <si>
    <t>DATA FINE SOSPENSIONE ESCUSSIONE</t>
  </si>
  <si>
    <t>EDR_T5 - MANCATO RISCATTO/DENUNCIA FURTO</t>
  </si>
  <si>
    <t>CONTROLLI</t>
  </si>
  <si>
    <t>RICHIESTA ESCUSSIONE</t>
  </si>
  <si>
    <t>NOTE RICHIESTA ESCUSSIONE</t>
  </si>
  <si>
    <t>NOTE AVVIO PROCEDURE</t>
  </si>
  <si>
    <t>PERIODI DISPOSIZIONI ESCUSSIONE</t>
  </si>
  <si>
    <t>REGOLE TERMINI ESCUSSIONE - REGIME AVVIO PROCEDURE CON SOSPENSIONE SI</t>
  </si>
  <si>
    <t>EDR_T4 - CANONE SCADUTO TRANSITORIO</t>
  </si>
  <si>
    <t>EDR_T3 - FIDEJUSSIONE TRANSITORIO</t>
  </si>
  <si>
    <t>EDR_T2 - REVOCA/MANCATO RIENTRO TRANSITORIO</t>
  </si>
  <si>
    <t>REGOLE VISIBILITA β (1 SI - 0 NO)</t>
  </si>
  <si>
    <t>EDR_T1 - RATA SCADUTA TRANSITORIO</t>
  </si>
  <si>
    <t>EDR +3M</t>
  </si>
  <si>
    <t>PERIODI DISPOSIZIONI EFFETTIVO scad fin originaria</t>
  </si>
  <si>
    <t>EDR -3M</t>
  </si>
  <si>
    <t>scadenza fin originaria</t>
  </si>
  <si>
    <t>β</t>
  </si>
  <si>
    <t>EDR -12M</t>
  </si>
  <si>
    <t>REGIME TRANSITORIO - EDR &lt; 15/10/18</t>
  </si>
  <si>
    <t>D.O. POST DL FARE</t>
  </si>
  <si>
    <t>REGIME EDR</t>
  </si>
  <si>
    <t>PERIODI DISPOSIZIONI AVVIO EFFETTIVO</t>
  </si>
  <si>
    <t>TERMINE ATTIVAZIONE MESI CONF</t>
  </si>
  <si>
    <t>EDR_1 - AVVIO ANTE EDR</t>
  </si>
  <si>
    <t>TERMINE ATTIVAZIONE 180 GG</t>
  </si>
  <si>
    <t>REGOLE EDR</t>
  </si>
  <si>
    <t>TERMINE ATTIVAZIONE 120 GG</t>
  </si>
  <si>
    <t>D+B</t>
  </si>
  <si>
    <t>N+3</t>
  </si>
  <si>
    <t>MESI CONFIDI</t>
  </si>
  <si>
    <t>N+2</t>
  </si>
  <si>
    <t>GIORNI D.O. NEW</t>
  </si>
  <si>
    <t>C+B</t>
  </si>
  <si>
    <t>N+1</t>
  </si>
  <si>
    <t>GIORNI D.O. OLD</t>
  </si>
  <si>
    <t>D2_S - COMUNICAZIONE AVVIO</t>
  </si>
  <si>
    <t>A+B</t>
  </si>
  <si>
    <t>N</t>
  </si>
  <si>
    <t>REGOLE TERMINI ESCUSSIONE - REGIME AVVIO PROCEDURE</t>
  </si>
  <si>
    <t>D1_S - AVVIO INADEMPIMENTO=AVVIO</t>
  </si>
  <si>
    <t>AVVIO PROC RECUPERO</t>
  </si>
  <si>
    <t>NOTE AVVIO PROC RECUPERO</t>
  </si>
  <si>
    <t xml:space="preserve"> SCADENZA FINANZIAMENTO</t>
  </si>
  <si>
    <t>NOTE SCADENZA FINANZIAMENTO</t>
  </si>
  <si>
    <t>PERIODI DISPOSIZIONI AVVIO</t>
  </si>
  <si>
    <t>CHECK TERMINI SOSPENSIONE D1</t>
  </si>
  <si>
    <t>CHECK PROLUNGAMENTO COMPLESSIVO</t>
  </si>
  <si>
    <t>SCADENZA + 3M</t>
  </si>
  <si>
    <t>SVILUPPARE CHECK PERFERZIONAMENTO PROLUNGAMENTO IN CASO DI ATTIVAZIONE</t>
  </si>
  <si>
    <t>A3_S - AVVIO INADEMPIMENTO &lt;&gt; AVVIO</t>
  </si>
  <si>
    <t>CHECK PROLUNGAMENTO - SI AVVIO SI SOSPENSIONE  ANTE PROLUNGAMENTO</t>
  </si>
  <si>
    <t>A2/C2_S - COMUNICAZIONE AVVIO</t>
  </si>
  <si>
    <t>CHECK PROLUNGAMENTO - NO AVVIO SI SOSPENSIONE  ANTE PROLUNGAMENTO</t>
  </si>
  <si>
    <t>A1/C1_S - AVVIO INADEMPIMENTO=AVVIO</t>
  </si>
  <si>
    <t>CHECK TERMINI SOSPENSIONE A3</t>
  </si>
  <si>
    <t>CHECK FINALE NO PIANO</t>
  </si>
  <si>
    <t>CHECK TERMINI SOSPENSIONE A1/C1</t>
  </si>
  <si>
    <t>D2 - COMUNICAZIONE AVVIO</t>
  </si>
  <si>
    <t>DATA IMPEGNO/VERSAMENTO/DICH EFF CONFIDI</t>
  </si>
  <si>
    <t>D1 - AVVIO</t>
  </si>
  <si>
    <t>SCADENZA + 1M</t>
  </si>
  <si>
    <t>C2 - COMUNICAZIONE AVVIO</t>
  </si>
  <si>
    <t>C1 - AVVIO</t>
  </si>
  <si>
    <t>REGOLE AVVIO PIANO NO - SOSPENSIONE SI</t>
  </si>
  <si>
    <t>A2 - COMUNICAZIONE AVVIO</t>
  </si>
  <si>
    <t>A1 - AVVIO INADEMPIMENTO=AVVIO</t>
  </si>
  <si>
    <t>CHECK FINALE SI PIANO</t>
  </si>
  <si>
    <t>B2 - COMUNICAZIONE AVVIO</t>
  </si>
  <si>
    <t>DATA COMUNICAZIONE EVENTO ATTIVAZIONE</t>
  </si>
  <si>
    <t>B1 - AVVIO</t>
  </si>
  <si>
    <t>DATA EVENTO ATTIVAZIONE</t>
  </si>
  <si>
    <t>CHECK</t>
  </si>
  <si>
    <t>DATA COMUNICAZIONE PRIMO EVENTO MCC</t>
  </si>
  <si>
    <t>COUNT (OK=0; KO=1)</t>
  </si>
  <si>
    <t>CHECK PROLUNGAMENTO - SI AVVIO NO SOSPENSIONE  ANTE PROLUNGAMENTO</t>
  </si>
  <si>
    <t>A3 - AVVIO INADEMPIMENTO ≠ AVVIO</t>
  </si>
  <si>
    <t>DATA EVENTO (SE PIU' EVENTO VALE IL PRIMO)</t>
  </si>
  <si>
    <t>U</t>
  </si>
  <si>
    <t>DATA DELIBERA CONS SOSPENSIONE</t>
  </si>
  <si>
    <t>REGOLE AVVIO PIANO NO - SOSPENSIONE NO</t>
  </si>
  <si>
    <t>R</t>
  </si>
  <si>
    <t>DATA RICIHESTA SOSPENSIONE</t>
  </si>
  <si>
    <t>L</t>
  </si>
  <si>
    <t>NUOVA DATA SCADENZA</t>
  </si>
  <si>
    <t>B2_S - COMUNICAZIONE AVVIO</t>
  </si>
  <si>
    <t>DATA CONSIGLIO PROL</t>
  </si>
  <si>
    <t>B1_S - AVVIO</t>
  </si>
  <si>
    <t>Q</t>
  </si>
  <si>
    <t>DATA DELIBERA PROL BANCA</t>
  </si>
  <si>
    <t>CHECK TERMINI SOSPENSIONE B</t>
  </si>
  <si>
    <t>M</t>
  </si>
  <si>
    <t>DATA DELIBERA PROL CONFIDI</t>
  </si>
  <si>
    <t>INADEMPIMENTO +12 M</t>
  </si>
  <si>
    <t>O</t>
  </si>
  <si>
    <t>DATA PRESENTAZIONE RICHIESTA PROLUNGAMENTO</t>
  </si>
  <si>
    <t>CHECK PROLUNGAMENTO - NO AVVIO NO SOSPENSIONE  ANTE PROLUNGAMENTO</t>
  </si>
  <si>
    <t>H</t>
  </si>
  <si>
    <t>COMUNICAZIONE AVVIO MCC</t>
  </si>
  <si>
    <t>REGOLE AVVIO PIANO SI- SOSPENSIONE TERMINI SI</t>
  </si>
  <si>
    <t>K</t>
  </si>
  <si>
    <t>INVIO AVVIO PROCEDURE</t>
  </si>
  <si>
    <t>RISCHIESTA SOSP</t>
  </si>
  <si>
    <t>Z</t>
  </si>
  <si>
    <t>DATA AVVIO PROCEDURE</t>
  </si>
  <si>
    <t>B2/E2 - COMUNICAZIONE AVVIO</t>
  </si>
  <si>
    <t>Y</t>
  </si>
  <si>
    <t>X</t>
  </si>
  <si>
    <t>DATA SCADENZA FINANZIAMENTO</t>
  </si>
  <si>
    <t>CHECK PIANO AMM.TO - SE &gt;1 SI PIANO</t>
  </si>
  <si>
    <t>REGOLE AVVIO PIANO SI -SOSPENSIONE NO</t>
  </si>
  <si>
    <t>CAMPO</t>
  </si>
  <si>
    <t>ACRON</t>
  </si>
  <si>
    <t>TIPO DATO ≠</t>
  </si>
  <si>
    <t>SERVIZI</t>
  </si>
  <si>
    <t>COMMERCIO, SERVIZI, ALBERGHI (SOCIETA' ALBERGHIERE LOCATARIE DELL'IMMOBILE</t>
  </si>
  <si>
    <t>PON/In NON AMM.LE</t>
  </si>
  <si>
    <t>662 NON AMM.LE</t>
  </si>
  <si>
    <t>ORGANIZZAZIONI ED ORGANISMI EXTRATERRITORIALI</t>
  </si>
  <si>
    <t>PRODUZIONE DI SERVIZI INDIFFERENZIATI PER USO PROPRIO DA PARTE DI FAMIGLIE E CONVIVENZE</t>
  </si>
  <si>
    <t>PRODUZIONE  DI BENI INDIFFERENZIATI PER USO PROPRIO DA PARTE DI FAMIGLIE E CONVIVENZE</t>
  </si>
  <si>
    <t>PRODUZIONE DI BENI E SERVIZI INDIFFERENZIATI  PER USO PROPRIO DA PARTE DI  FAMIGLIE E CONVIVENZE</t>
  </si>
  <si>
    <t>ATTIVITÃ€ DI FAMIGLIE E CONVIVENZE COME DATORI DI LAVORO PER PERSONALE DOMESTICO</t>
  </si>
  <si>
    <t>PON/In OK</t>
  </si>
  <si>
    <t>662 OK</t>
  </si>
  <si>
    <t>Altre attivitÃ  di servizi per la persona nca</t>
  </si>
  <si>
    <t>Servizi di cura degli animali da compagnia (esclusi i servizi veterinari)</t>
  </si>
  <si>
    <t>Agenzie matrimoniali e d'incontro</t>
  </si>
  <si>
    <t>AttivitÃ  di tatuaggio e piercing</t>
  </si>
  <si>
    <t>AttivitÃ  di sgombero di cantine, solai e garage</t>
  </si>
  <si>
    <t>Stabilimenti termali</t>
  </si>
  <si>
    <t>Servizi di centri per il benessere fisico (esclusi gli stabilimenti termali)</t>
  </si>
  <si>
    <t>Servizi dei centri per il benessere fisico</t>
  </si>
  <si>
    <t>Servizi di pompe funebri e attivitÃ  connesse</t>
  </si>
  <si>
    <t>Servizi di manicure e pedicure</t>
  </si>
  <si>
    <t>Servizi degli istituti di bellezza</t>
  </si>
  <si>
    <t>Servizi dei saloni di barbiere e parrucchiere</t>
  </si>
  <si>
    <t>Servizi dei parrucchieri e di altri trattamenti estetici</t>
  </si>
  <si>
    <t>Altre lavanderie, tintorie</t>
  </si>
  <si>
    <t>AttivitÃ  delle lavanderie industriali</t>
  </si>
  <si>
    <t>Lavanderia e pulitura di articoli tessili e pelliccia</t>
  </si>
  <si>
    <t>ALTRE ATTIVITÃ€ DI SERVIZI PER LA PERSONA</t>
  </si>
  <si>
    <t>Riparazione di altri beni di consumo per uso personale e per la casa nca</t>
  </si>
  <si>
    <t>Servizi di riparazioni rapide, duplicazione chiavi, affilatura coltelli, stampa immediata su articoli tessili, incisioni rapide su metallo non prezioso</t>
  </si>
  <si>
    <t>Modifica e riparazione di articoli di vestiario non effettuate dalle sartorie</t>
  </si>
  <si>
    <t>Riparazione di articoli sportivi (escluse le armi sportive) e attrezzature da campeggio (incluse le biciclette)</t>
  </si>
  <si>
    <t>Riparazione di strumenti musicali</t>
  </si>
  <si>
    <t>Riparazione di altri beni per uso personale e per la casa</t>
  </si>
  <si>
    <t>Riparazione di orologi e di gioielli</t>
  </si>
  <si>
    <t>Laboratori di tappezzeria</t>
  </si>
  <si>
    <t>Riparazione di mobili e di oggetti di arredamento</t>
  </si>
  <si>
    <t>Riparazione di calzature e articoli da viaggio</t>
  </si>
  <si>
    <t>Riparazione di articoli per il giardinaggio</t>
  </si>
  <si>
    <t>Riparazione di elettrodomestici e di articoli per la casa</t>
  </si>
  <si>
    <t>Riparazione di elettrodomestici e di articoli per la casa e il giardinaggio</t>
  </si>
  <si>
    <t>Riparazione di prodotti elettronici di consumo audio e video</t>
  </si>
  <si>
    <t>RIPARAZIONE DI BENI PER USO PERSONALE E PER LA CASA</t>
  </si>
  <si>
    <t>Riparazione e manutenzione di altre apparecchiature per le comunicazioni</t>
  </si>
  <si>
    <t>Riparazione e manutenzione di telefoni fissi, cordless e cellulari</t>
  </si>
  <si>
    <t>Riparazione di apparecchiature per le comunicazioni</t>
  </si>
  <si>
    <t>Riparazione di computer e periferiche</t>
  </si>
  <si>
    <t>RIPARAZIONE DI COMPUTER E DI APPARECCHIATURE PER LE COMUNICAZIONI</t>
  </si>
  <si>
    <t>RIPARAZIONE DI COMPUTER E DI BENI PER USO PERSONALE E PER LA CASA</t>
  </si>
  <si>
    <t>AttivitÃ  di altre organizzazioni associative nca</t>
  </si>
  <si>
    <t>AttivitÃ  di organizzazioni per la promozione e la difesa degli animali e dell'ambiente</t>
  </si>
  <si>
    <t>AttivitÃ  di organizzazioni per la filantropia</t>
  </si>
  <si>
    <t>AttivitÃ  di organizzazioni per la cooperazione e la solidarietÃ  internazionale</t>
  </si>
  <si>
    <t>AttivitÃ  di organizzazioni patriottiche e associazioni combattentistiche</t>
  </si>
  <si>
    <t>AttivitÃ  di organizzazioni che perseguono fini culturali, ricreativi e la coltivazione di hobby</t>
  </si>
  <si>
    <t>AttivitÃ  di organizzazioni per la tutela degli interessi e dei diritti dei cittadini</t>
  </si>
  <si>
    <t>AttivitÃ  dei partiti e delle associazioni politiche</t>
  </si>
  <si>
    <t>AttivitÃ  delle organizzazioni religiose nell'esercizio del culto</t>
  </si>
  <si>
    <t>ATTIVITÃ€ DI ALTRE ORGANIZZAZIONI ASSOCIATIVE</t>
  </si>
  <si>
    <t>ATTIVITÃ€ DEI SINDACATI DI LAVORATORI DIPENDENTI</t>
  </si>
  <si>
    <t>AttivitÃ  di associazioni professionali</t>
  </si>
  <si>
    <t>AttivitÃ  di federazioni e consigli di ordini e collegi professionali</t>
  </si>
  <si>
    <t>AttivitÃ  di organizzazioni associative professionali</t>
  </si>
  <si>
    <t>AttivitÃ  di organizzazioni economiche e di datori di lavoro</t>
  </si>
  <si>
    <t>ATTIVITÃ€ DI ORGANIZZAZIONI ECONOMICHE, DI DATORI DI LAVORO E PROFESSIONALI</t>
  </si>
  <si>
    <t>ATTIVITÃ€ DI ORGANIZZAZIONI ASSOCIATIVE</t>
  </si>
  <si>
    <t>Altre attivitÃ  di intrattenimento e di divertimento nca</t>
  </si>
  <si>
    <t>Sale giochi e biliardi</t>
  </si>
  <si>
    <t>Gestione di stabilimenti balneari: marittimi, lacuali e fluviali</t>
  </si>
  <si>
    <t>Discoteche, sale da ballo night-club e simili</t>
  </si>
  <si>
    <t>Altre attivitÃ  ricreative e di divertimento</t>
  </si>
  <si>
    <t>Parchi di divertimento e parchi tematici</t>
  </si>
  <si>
    <t>ATTIVITÃ€ RICREATIVE E DI DIVERTIMENTO</t>
  </si>
  <si>
    <t>Altre attivitÃ  sportive nca</t>
  </si>
  <si>
    <t>AttivitÃ  delle guide alpine</t>
  </si>
  <si>
    <t>Ricarica di bombole per attivitÃ  subacquee</t>
  </si>
  <si>
    <t>Enti e organizzazioni sportive, promozione di eventi sportivi</t>
  </si>
  <si>
    <t>Altre attivitÃ  sportive</t>
  </si>
  <si>
    <t>Palestre</t>
  </si>
  <si>
    <t>AttivitÃ  di club sportivi</t>
  </si>
  <si>
    <t>Gestione di altri impianti sportivi nca</t>
  </si>
  <si>
    <t>Gestione di impianti sportivi polivalenti</t>
  </si>
  <si>
    <t>Gestione di piscine</t>
  </si>
  <si>
    <t>Gestione di stadi</t>
  </si>
  <si>
    <t>Gestione di impianti sportivi</t>
  </si>
  <si>
    <t>ATTIVITÃ€ SPORTIVE</t>
  </si>
  <si>
    <t>ATTIVITÃ€ SPORTIVE, DI INTRATTENIMENTO E DI DIVERTIMENTO</t>
  </si>
  <si>
    <t>Altre attivitÃ  connesse con le lotterie e le scommesse</t>
  </si>
  <si>
    <t>Gestione di apparecchi che consentono vincite in denaro funzionanti a moneta o a gettone</t>
  </si>
  <si>
    <t>Ricevitorie del Lotto, SuperEnalotto, Totocalcio eccetera</t>
  </si>
  <si>
    <t>ATTIVITÃ€ RIGUARDANTI LE LOTTERIE, LE SCOMMESSE, LE CASE DA GIOCO</t>
  </si>
  <si>
    <t>AttivitÃ  degli orti botanici, dei giardini zoologici e delle riserve naturali</t>
  </si>
  <si>
    <t>Gestione di luoghi e monumenti storici e attrazioni simili</t>
  </si>
  <si>
    <t>AttivitÃ  di musei</t>
  </si>
  <si>
    <t>AttivitÃ  di biblioteche ed archivi</t>
  </si>
  <si>
    <t>ATTIVITÃ€ DI BIBLIOTECHE, ARCHIVI, MUSEI ED ALTRE ATTIVITÃ€ CULTURALI</t>
  </si>
  <si>
    <t>Gestione di strutture artistiche</t>
  </si>
  <si>
    <t>Altre creazioni artistiche e letterarie</t>
  </si>
  <si>
    <t>AttivitÃ  di conservazione e restauro di opere d'arte</t>
  </si>
  <si>
    <t>AttivitÃ  dei giornalisti indipendenti</t>
  </si>
  <si>
    <t>Creazioni artistiche e letterarie</t>
  </si>
  <si>
    <t>Altre attivitÃ  di supporto alle rappresentazioni artistiche</t>
  </si>
  <si>
    <t>AttivitÃ  nel campo della regia</t>
  </si>
  <si>
    <t>Noleggio con operatore di strutture ed attrezzature per manifestazioni e spettacoli</t>
  </si>
  <si>
    <t>AttivitÃ  di supporto alle rappresentazioni artistiche</t>
  </si>
  <si>
    <t>Altre rappresentazioni artistiche</t>
  </si>
  <si>
    <t>AttivitÃ  nel campo della recitazione</t>
  </si>
  <si>
    <t>Rappresentazioni artistiche</t>
  </si>
  <si>
    <t>ATTIVITÃ€ CREATIVE, ARTISTICHE E DI INTRATTENIMENTO</t>
  </si>
  <si>
    <t>Altre attivitÃ  di assistenza sociale non residenziale nca</t>
  </si>
  <si>
    <t>Servizi di asili nido e assistenza diurna per minori disabili</t>
  </si>
  <si>
    <t>ALTRE ATTIVITÃ€ DI ASSISTENZA SOCIALE NON RESIDENZIALE</t>
  </si>
  <si>
    <t>ASSISTENZA SOCIALE NON RESIDENZIALE PER ANZIANI E DISABILI</t>
  </si>
  <si>
    <t>ASSISTENZA SOCIALE NON RESIDENZIALE</t>
  </si>
  <si>
    <t>ALTRE STRUTTURE DI ASSISTENZA SOCIALE RESIDENZIALE</t>
  </si>
  <si>
    <t>STRUTTURE DI ASSISTENZA RESIDENZIALE PER ANZIANI E DISABILI</t>
  </si>
  <si>
    <t>STRUTTURE DI ASSISTENZA RESIDENZIALE PER PERSONE AFFETTE DA RITARDI MENTALI, DISTURBI MENTALI O CHE ABUSANO DI SOSTANZE STUPEFACENTI</t>
  </si>
  <si>
    <t>STRUTTURE DI ASSISTENZA INFERMIERISTICA RESIDENZIALE</t>
  </si>
  <si>
    <t>SERVIZI DI ASSISTENZA SOCIALE RESIDENZIALE</t>
  </si>
  <si>
    <t>Servizi di ambulanza, delle banche del sangue e altri servizi sanitari nca</t>
  </si>
  <si>
    <t>AttivitÃ  degli ambulatori tricologici</t>
  </si>
  <si>
    <t>AttivitÃ  svolta da psicologi</t>
  </si>
  <si>
    <t>Altre attivitÃ  paramediche indipendenti nca</t>
  </si>
  <si>
    <t>Fisioterapia</t>
  </si>
  <si>
    <t>AttivitÃ  paramediche indipendenti</t>
  </si>
  <si>
    <t>Laboratori di igiene e profilassi</t>
  </si>
  <si>
    <t>Laboratori di analisi cliniche</t>
  </si>
  <si>
    <t>Laboratori radiografici</t>
  </si>
  <si>
    <t>Laboratori di analisi cliniche, laboratori radiografici ed altri centri di diagnostica per immagini</t>
  </si>
  <si>
    <t>ALTRI SERVIZI DI ASSISTENZA SANITARIA</t>
  </si>
  <si>
    <t>AttivitÃ  degli studi odontoiatrici</t>
  </si>
  <si>
    <t>Altri studi medici specialistici e poliambulatori</t>
  </si>
  <si>
    <t>Centri di medicina estetica</t>
  </si>
  <si>
    <t>Studi di omeopatia e di agopuntura</t>
  </si>
  <si>
    <t>AttivitÃ  dei centri di dialisi</t>
  </si>
  <si>
    <t>AttivitÃ  dei centri di radioterapia</t>
  </si>
  <si>
    <t>Ambulatori e poliambulatori del Servizio Sanitario Nazionale</t>
  </si>
  <si>
    <t>Prestazioni sanitarie svolte da chirurghi</t>
  </si>
  <si>
    <t>Servizi degli studi medici specialistici</t>
  </si>
  <si>
    <t>Servizi degli studi medici di medicina generale</t>
  </si>
  <si>
    <t>SERVIZI DEGLI STUDI MEDICI E ODONTOIATRICI</t>
  </si>
  <si>
    <t>Ospedali e case di cura per lunga degenza</t>
  </si>
  <si>
    <t>Istituti, cliniche e policlinici universitari</t>
  </si>
  <si>
    <t>Ospedali e case di cura specialistici</t>
  </si>
  <si>
    <t>Ospedali e case di cura generici</t>
  </si>
  <si>
    <t>SERVIZI OSPEDALIERI</t>
  </si>
  <si>
    <t>ASSISTENZA SANITARIA</t>
  </si>
  <si>
    <t>Altre attivitÃ  di supporto all'istruzione</t>
  </si>
  <si>
    <t>Consulenza scolastica e servizi di orientamento scolastico</t>
  </si>
  <si>
    <t>ATTIVITÃ€ DI SUPPORTO ALL'ISTRUZIONE</t>
  </si>
  <si>
    <t>Altri servizi di istruzione nca</t>
  </si>
  <si>
    <t>Scuole e corsi di lingua</t>
  </si>
  <si>
    <t>Corsi di formazione e corsi di aggiornamento professionale</t>
  </si>
  <si>
    <t>UniversitÃ  popolare</t>
  </si>
  <si>
    <t>AttivitÃ  delle scuole guida</t>
  </si>
  <si>
    <t>Altra formazione culturale</t>
  </si>
  <si>
    <t>Corsi di danza</t>
  </si>
  <si>
    <t>Formazione culturale</t>
  </si>
  <si>
    <t>Corsi sportivi e ricreativi</t>
  </si>
  <si>
    <t>ALTRI SERVIZI DI ISTRUZIONE</t>
  </si>
  <si>
    <t>Istruzione universitaria e post-universitaria; accademie e conservatori</t>
  </si>
  <si>
    <t xml:space="preserve"> Istruzione post-secondaria non universitaria</t>
  </si>
  <si>
    <t>ISTRUZIONE POST-SECONDARIA UNIVERSITARIA E NON UNIVERSITARIA</t>
  </si>
  <si>
    <t>Altra istruzione secondaria di secondo grado di formazione tecnica, professionale e artistica</t>
  </si>
  <si>
    <t>Scuole di guida professionale per autisti, ad esempio di autocarri, di autobus e di pullman</t>
  </si>
  <si>
    <t>Scuole di volo che rilasciano brevetti o patenti commerciali</t>
  </si>
  <si>
    <t>Scuole di vela e navigazione che rilasciano brevetti o patenti commerciali</t>
  </si>
  <si>
    <t>Istruzione secondaria tecnica e professionale</t>
  </si>
  <si>
    <t>Istruzione secondaria di secondo grado di formazione generale: licei</t>
  </si>
  <si>
    <t>Istruzione secondaria di primo grado: scuole medie</t>
  </si>
  <si>
    <t>Istruzione secondaria di formazione generale</t>
  </si>
  <si>
    <t>ISTRUZIONE SECONDARIA</t>
  </si>
  <si>
    <t>ISTRUZIONE PRIMARIA</t>
  </si>
  <si>
    <t>ISTRUZIONE PRESCOLASTICA</t>
  </si>
  <si>
    <t>ISTRUZIONE</t>
  </si>
  <si>
    <t>ASSICURAZIONE SOCIALE OBBLIGATORIA</t>
  </si>
  <si>
    <t>AttivitÃ  di protezione civile</t>
  </si>
  <si>
    <t>AttivitÃ  dei vigili del fuoco</t>
  </si>
  <si>
    <t>AttivitÃ  dei vigili del fuoco e della protezione civile</t>
  </si>
  <si>
    <t>Ordine pubblico e sicurezza nazionale</t>
  </si>
  <si>
    <t>Giustizia ed attivitÃ  giudiziarie</t>
  </si>
  <si>
    <t>Difesa nazionale</t>
  </si>
  <si>
    <t>Affari esteri</t>
  </si>
  <si>
    <t>SERVIZI COLLETTIVI DELLE AMMINISTRAZIONI PUBBLICHE</t>
  </si>
  <si>
    <t>Regolamentazione di altri affari e servizi economici</t>
  </si>
  <si>
    <t>Regolamentazione degli affari e servizi concernenti il turismo</t>
  </si>
  <si>
    <t>Regolamentazione degli affari e servizi concernenti il commercio interno</t>
  </si>
  <si>
    <t>Regolamentazione degli affari e servizi concernenti i trasporti e le comunicazioni</t>
  </si>
  <si>
    <t>Regolamentazione degli affari e servizi concernenti la costruzione di opere per la navigazione interna e marittima</t>
  </si>
  <si>
    <t>Regolamentazione degli affari e servizi concernenti la costruzione di strade</t>
  </si>
  <si>
    <t>Regolamentazione degli affari e dei servizi concernenti le industrie estrattive e le risorse minerarie (eccetto i combustibili) le industrie manifatturiere, le costruzioni e le opere pubbliche ad eccezione delle strade e opere per la navigazione</t>
  </si>
  <si>
    <t>Regolamentazione degli affari e servizi concernenti l'agricoltura, silvicoltura, caccia e pesca</t>
  </si>
  <si>
    <t>Regolamentazione degli affari concernenti i combustibili e l'energia</t>
  </si>
  <si>
    <t>Regolamentazione delle attivitÃ  che contribuiscono ad una piÃ¹ efficiente gestione delle attivitÃ  economiche</t>
  </si>
  <si>
    <t>Regolamentazione dell'attivitÃ  degli organismi preposti ai servizi ricreativi, culturali e sociali vari</t>
  </si>
  <si>
    <t>Regolamentazione dell'attivitÃ  degli organismi preposti alla gestione di progetti per l'edilizia abitativa e l'assetto del territorio e per la tutela dell'ambiente</t>
  </si>
  <si>
    <t>Regolamentazione dell'attivitÃ  degli organismi preposti all'istruzione</t>
  </si>
  <si>
    <t>Regolamentazione dell'attivitÃ  degli organismi preposti alla sanitÃ </t>
  </si>
  <si>
    <t>Regolamentazione delle attivitÃ  relative alla fornitura di servizi di assistenza sanitaria, dell'istruzione, di servizi culturali e ad altri servizi sociali (esclusa l'assicurazione sociale obbligatoria)</t>
  </si>
  <si>
    <t>AttivitÃ  di pianificazione generale e servizi statistici generali</t>
  </si>
  <si>
    <t>AttivitÃ  degli organi legislativi ed esecutivi, centrali e locali; amministrazione finanziaria; amministrazioni regionali, provinciali e comunali</t>
  </si>
  <si>
    <t>AttivitÃ  generali di amministrazione pubblica</t>
  </si>
  <si>
    <t>AMMINISTRAZIONE PUBBLICA: AMMINISTRAZIONE GENERALE, ECONOMICA E SOCIALE</t>
  </si>
  <si>
    <t>AMMINISTRAZIONE PUBBLICA E DIFESA; ASSICURAZIONE SOCIALE OBBLIGATORIA</t>
  </si>
  <si>
    <t>Altri servizi di supporto alle imprese nca</t>
  </si>
  <si>
    <t>Servizi di stenotipia</t>
  </si>
  <si>
    <t>Richiesta certificati e disbrigo pratiche</t>
  </si>
  <si>
    <t>Servizi di gestione di pubblici mercati e pese pubbliche</t>
  </si>
  <si>
    <t>Agenzie di distribuzione di libri, giornali e riviste</t>
  </si>
  <si>
    <t>Imprese di gestione esattoriale</t>
  </si>
  <si>
    <t>Confezionamento di generi non alimentari</t>
  </si>
  <si>
    <t>Imballaggio e confezionamento di generi alimentari</t>
  </si>
  <si>
    <t>AttivitÃ  di imballaggio e confezionamento per conto terzi</t>
  </si>
  <si>
    <t>Agenzie di informazioni commerciali</t>
  </si>
  <si>
    <t>AttivitÃ  di agenzie di recupero crediti</t>
  </si>
  <si>
    <t>AttivitÃ  di agenzie di recupero crediti; agenzie di informazioni commerciali</t>
  </si>
  <si>
    <t>SERVIZI DI SUPPORTO ALLE IMPRESE NCA</t>
  </si>
  <si>
    <t>ORGANIZZAZIONE DI CONVEGNI E FIERE</t>
  </si>
  <si>
    <t>ATTIVITÃ€ DEI CALL CENTER</t>
  </si>
  <si>
    <t>Servizi di fotocopiatura, preparazione di documenti e altre attivitÃ  di supporto specializzate per le funzioni d'ufficio</t>
  </si>
  <si>
    <t>Spedizione di materiale propagandistico, compilazione e gestione di indirizzi</t>
  </si>
  <si>
    <t>Gestione di uffici temporanei, uffici residence</t>
  </si>
  <si>
    <t>Servizi integrati di supporto per le funzioni d'ufficio</t>
  </si>
  <si>
    <t>ATTIVITÃ€ DI SUPPORTO PER LE FUNZIONI D'UFFICIO</t>
  </si>
  <si>
    <t>ATTIVITÃ€ DI SUPPORTO PER LE FUNZIONI D'UFFICIO E ALTRI SERVIZI DI SUPPORTO ALLE IMPRESE</t>
  </si>
  <si>
    <t>CURA E MANUTENZIONE DEL PAESAGGIO</t>
  </si>
  <si>
    <t>Altre attivitÃ  di pulizia nca</t>
  </si>
  <si>
    <t>Pulizia e lavaggio di aree pubbliche, rimozione di neve e ghiaccio</t>
  </si>
  <si>
    <t>Altre attivitÃ  di pulizia</t>
  </si>
  <si>
    <t>Servizi di disinfestazione</t>
  </si>
  <si>
    <t>Altre attivitÃ  di pulizia specializzata di edifici e di impianti e macchinari industriali</t>
  </si>
  <si>
    <t>AttivitÃ  di sterilizzazione di attrezzature medico sanitarie</t>
  </si>
  <si>
    <t>AttivitÃ  di pulizia specializzata di edifici e di impianti e macchinari industriali</t>
  </si>
  <si>
    <t>Pulizia generale (non specializzata) di edifici</t>
  </si>
  <si>
    <t>ATTIVITÃ€ DI PULIZIA E DISINFESTAZIONE</t>
  </si>
  <si>
    <t>SERVIZI INTEGRATI DI GESTIONE AGLI EDIFICI</t>
  </si>
  <si>
    <t>ATTIVITÃ€ DI SERVIZI PER EDIFICI E PAESAGGIO</t>
  </si>
  <si>
    <t>SERVIZI INVESTIGATIVI PRIVATI</t>
  </si>
  <si>
    <t>SERVIZI CONNESSI AI SISTEMI DI VIGILANZA</t>
  </si>
  <si>
    <t>SERVIZI DI VIGILANZA PRIVATA</t>
  </si>
  <si>
    <t>SERVIZI DI VIGILANZA E INVESTIGAZIONE</t>
  </si>
  <si>
    <t>AttivitÃ  delle guide e degli accompagnatori turistici</t>
  </si>
  <si>
    <t>Altri servizi di prenotazione e altre attivitÃ  di assistenza turistica non svolte dalle agenzie di viaggio nca</t>
  </si>
  <si>
    <t>Servizi di biglietteria per eventi teatrali, sportivi ed altri eventi ricreativi e d'intrattenimento</t>
  </si>
  <si>
    <t>Altri servizi di prenotazione e altre attivitÃ  di assistenza turistica non svolte dalle agenzie di viaggio</t>
  </si>
  <si>
    <t>ALTRI SERVIZI DI PRENOTAZIONE E ATTIVITÃ€ CONNESSE</t>
  </si>
  <si>
    <t>AttivitÃ  dei tour operator</t>
  </si>
  <si>
    <t>AttivitÃ  delle agenzie di viaggio</t>
  </si>
  <si>
    <t>ATTIVITÃ€ DELLE AGENZIE DI VIAGGIO E DEI TOUR OPERATOR</t>
  </si>
  <si>
    <t>ATTIVITÃ€ DEI SERVIZI DELLE AGENZIE DI VIAGGIO, DEI TOUR OPERATOR E SERVIZI DI PRENOTAZIONE E ATTIVITÃ€ CONNESSE</t>
  </si>
  <si>
    <t>ALTRE ATTIVITÃ€ DI FORNITURA E GESTIONE DI RISORSE UMANE</t>
  </si>
  <si>
    <t>ATTIVITÃ€ DELLE AGENZIE DI LAVORO TEMPORANEO (INTERINALE)</t>
  </si>
  <si>
    <t>ATTIVITÃ€ DI AGENZIE DI COLLOCAMENTO</t>
  </si>
  <si>
    <t>ATTIVITÃ€ DI RICERCA, SELEZIONE, FORNITURA DI PERSONALE</t>
  </si>
  <si>
    <t>CONCESSIONE DEI DIRITTI DI SFRUTTAMENTO DI PROPRIETÃ€ INTELLETTUALE E PRODOTTI SIMILI (ESCLUSE LE OPERE PROTETTE DAL COPYRIGHT)</t>
  </si>
  <si>
    <t>Noleggio senza operatore di altre macchine ed attrezzature nca</t>
  </si>
  <si>
    <t>Noleggio di strutture ed attrezzature per manifestazioni e spettacoli: impianti luce ed audio senza operatore, palchi, stand ed addobbi luminosi</t>
  </si>
  <si>
    <t>Noleggio senza operatore di attrezzature di sollevamento e movimentazione merci: carrelli elevatori, pallet eccetera</t>
  </si>
  <si>
    <t>Noleggio di container per diverse modalitÃ  di trasporto</t>
  </si>
  <si>
    <t>Noleggio di container adibiti ad alloggi o ad uffici</t>
  </si>
  <si>
    <t>Noleggio di altre macchine e attrezzature</t>
  </si>
  <si>
    <t>Noleggio di altri mezzi di trasporto terrestri</t>
  </si>
  <si>
    <t>Noleggio di altre macchine, attrezzature e beni materiali nca</t>
  </si>
  <si>
    <t>Noleggio di mezzi di trasporto aereo</t>
  </si>
  <si>
    <t>Noleggio di mezzi di trasporto marittimo e fluviale</t>
  </si>
  <si>
    <t>Noleggio di macchine e attrezzature per ufficio (inclusi i computer)</t>
  </si>
  <si>
    <t>Noleggio di macchine e attrezzature per lavori edili e di genio civile</t>
  </si>
  <si>
    <t>Noleggio di macchine e attrezzature agricole</t>
  </si>
  <si>
    <t>NOLEGGIO DI ALTRE MACCHINE, ATTREZZATURE E BENI MATERIALI</t>
  </si>
  <si>
    <t>Noleggio di altri beni per uso personale e domestico nca (escluse le attrezzature sportive e ricreative)</t>
  </si>
  <si>
    <t>Noleggio di biancheria da tavola, da letto, da bagno e di articoli di vestiario</t>
  </si>
  <si>
    <t>Noleggio di altri beni per uso personale e domestico (escluse le attrezzature sportive e ricreative)</t>
  </si>
  <si>
    <t>Noleggio di videocassette e dischi</t>
  </si>
  <si>
    <t>Noleggio di altre attrezzature sportive e ricreative</t>
  </si>
  <si>
    <t>Noleggio senza equipaggio di imbarcazioni da diporto (inclusi i pedalÃ²)</t>
  </si>
  <si>
    <t>Noleggio di biciclette</t>
  </si>
  <si>
    <t>Noleggio di attrezzature sportive e ricreative</t>
  </si>
  <si>
    <t>NOLEGGIO DI BENI PER USO PERSONALE E PER LA CASA</t>
  </si>
  <si>
    <t>Noleggio di autocarri e di altri veicoli pesanti</t>
  </si>
  <si>
    <t>Noleggio di autovetture ed autoveicoli leggeri</t>
  </si>
  <si>
    <t>NOLEGGIO DI AUTOVEICOLI</t>
  </si>
  <si>
    <t>ATTIVITÃ€ DI NOLEGGIO E LEASING OPERATIVO</t>
  </si>
  <si>
    <t>SERVIZI VETERINARI</t>
  </si>
  <si>
    <t>Altre attivitÃ  professionali nca</t>
  </si>
  <si>
    <t>Agenzie ed agenti o procuratori per lo spettacolo e lo sport</t>
  </si>
  <si>
    <t>Altre attivitÃ  di consulenza tecnica nca</t>
  </si>
  <si>
    <t>AttivitÃ  riguardanti le previsioni meteorologiche</t>
  </si>
  <si>
    <t>AttivitÃ  tecniche svolte da periti industriali</t>
  </si>
  <si>
    <t>Altre attivitÃ  professionali, scientifiche e tecniche nca</t>
  </si>
  <si>
    <t>Altra attivitÃ  di consulenza in materia di sicurezza</t>
  </si>
  <si>
    <t>Consulenza sulla sicurezza ed igiene dei posti di lavoro</t>
  </si>
  <si>
    <t>Consulenza in materia di sicurezza</t>
  </si>
  <si>
    <t>Consulenza agraria fornita da agrotecnici e periti agrari</t>
  </si>
  <si>
    <t>Consulenza agraria fornita da agronomi</t>
  </si>
  <si>
    <t>Consulenza agraria</t>
  </si>
  <si>
    <t>ALTRE ATTIVITÃ€ PROFESSIONALI, SCIENTIFICHE E TECNICHE NCA</t>
  </si>
  <si>
    <t>TRADUZIONE E INTERPRETARIATO</t>
  </si>
  <si>
    <t>Laboratori fotografici per lo sviluppo e la stampa</t>
  </si>
  <si>
    <t>Altre attivitÃ  di riprese fotografiche</t>
  </si>
  <si>
    <t>AttivitÃ  di riprese aeree nel campo della fotografia</t>
  </si>
  <si>
    <t>AttivitÃ  di fotoreporter</t>
  </si>
  <si>
    <t>AttivitÃ  di riprese fotografiche</t>
  </si>
  <si>
    <t>ATTIVITÃ€ FOTOGRAFICHE</t>
  </si>
  <si>
    <t>Altre attivitÃ  di design</t>
  </si>
  <si>
    <t>AttivitÃ  dei disegnatori tecnici</t>
  </si>
  <si>
    <t>Altre attivitÃ  dei disegnatori grafici</t>
  </si>
  <si>
    <t>AttivitÃ  dei disegnatori grafici di pagine web</t>
  </si>
  <si>
    <t>AttivitÃ  dei disegnatori grafici</t>
  </si>
  <si>
    <t>AttivitÃ  di design di moda e design industriale</t>
  </si>
  <si>
    <t>ATTIVITÃ€ DI DESIGN SPECIALIZZATE</t>
  </si>
  <si>
    <t>ALTRE ATTIVITÃ€ PROFESSIONALI, SCIENTIFICHE E TECNICHE</t>
  </si>
  <si>
    <t>RICERCHE DI MERCATO E SONDAGGI DI OPINIONE</t>
  </si>
  <si>
    <t>AttivitÃ  delle concessionarie pubblicitarie</t>
  </si>
  <si>
    <t>Conduzione di campagne di marketing e altri servizi pubblicitari</t>
  </si>
  <si>
    <t>Ideazione di campagne pubblicitarie</t>
  </si>
  <si>
    <t>Agenzie pubblicitarie</t>
  </si>
  <si>
    <t>PUBBLICITÃ€</t>
  </si>
  <si>
    <t>PUBBLICITÃ€ E RICERCHE DI MERCATO</t>
  </si>
  <si>
    <t>RICERCA E SVILUPPO SPERIMENTALE NEL CAMPO DELLE SCIENZE SOCIALI E UMANISTICHE</t>
  </si>
  <si>
    <t>Ricerca e sviluppo sperimentale nel campo delle altre scienze naturali e dell'ingegneria</t>
  </si>
  <si>
    <t>Ricerca e sviluppo sperimentale nel campo della geologia</t>
  </si>
  <si>
    <t>Altre attivitÃ  di ricerca e sviluppo sperimentale nel campo delle scienze naturali e dell'ingegneria</t>
  </si>
  <si>
    <t>Ricerca e sviluppo sperimentale nel campo delle biotecnologie</t>
  </si>
  <si>
    <t>RICERCA E SVILUPPO SPERIMENTALE NEL CAMPO DELLE SCIENZE NATURALI E DELL'INGEGNERIA</t>
  </si>
  <si>
    <t>RICERCA SCIENTIFICA E SVILUPPO</t>
  </si>
  <si>
    <t>AttivitÃ  per la tutela di beni di produzione controllata</t>
  </si>
  <si>
    <t>Controllo di qualitÃ  e certificazione di prodotti, processi e sistemi</t>
  </si>
  <si>
    <t>Collaudi e analisi tecniche di prodotti</t>
  </si>
  <si>
    <t>COLLAUDI ED ANALISI TECNICHE</t>
  </si>
  <si>
    <t>AttivitÃ  di studio geologico e di prospezione geognostica e mineraria</t>
  </si>
  <si>
    <t>AttivitÃ  di cartografia e aerofotogrammetria</t>
  </si>
  <si>
    <t>AttivitÃ  tecniche svolte da geometri</t>
  </si>
  <si>
    <t>Servizi di progettazione di ingegneria integrata</t>
  </si>
  <si>
    <t>AttivitÃ  degli studi di ingegneria</t>
  </si>
  <si>
    <t>AttivitÃ  degli studi d'ingegneria ed altri studi tecnici</t>
  </si>
  <si>
    <t>AttivitÃ  degli studi di architettura</t>
  </si>
  <si>
    <t>ATTIVITÃ€ DEGLI STUDI DI ARCHITETTURA, INGEGNERIA ED ALTRI STUDI TECNICI</t>
  </si>
  <si>
    <t>ATTIVITÃ€ DEGLI STUDI DI ARCHITETTURA E D'INGEGNERIA; COLLAUDI ED ANALISI TECNICHE</t>
  </si>
  <si>
    <t>Altre attivitÃ  di consulenza imprenditoriale e altra consulenza amministrativo-gestionale e pianificazione aziendale</t>
  </si>
  <si>
    <t>AttivitÃ  di consulenza per la gestione della logistica aziendale</t>
  </si>
  <si>
    <t>Consulenza imprenditoriale e altra consulenza amministrativo-gestionale</t>
  </si>
  <si>
    <t>Pubbliche relazioni e comunicazione</t>
  </si>
  <si>
    <t>ATTIVITÃ€ DI CONSULENZA GESTIONALE</t>
  </si>
  <si>
    <t>ATTIVITÃ€ DI DIREZIONE AZIENDALE</t>
  </si>
  <si>
    <t>ATTIVITÃ€ DI DIREZIONE AZIENDALE E DI CONSULENZA GESTIONALE</t>
  </si>
  <si>
    <t>AttivitÃ  dei consulenti del lavoro</t>
  </si>
  <si>
    <t>AttivitÃ  delle societÃ  di revisione e certificazione di bilanci</t>
  </si>
  <si>
    <t>Gestione ed amministrazione del personale per conto terzi</t>
  </si>
  <si>
    <t>AttivitÃ  svolta dai Centri di assistenza fiscale (Caf)</t>
  </si>
  <si>
    <t>Servizi forniti da revisori contabili, periti, consulenti ed altri soggetti che svolgono attivitÃ  in materia di amministrazione, contabilitÃ  e tributi</t>
  </si>
  <si>
    <t>Servizi forniti da ragionieri e periti commerciali</t>
  </si>
  <si>
    <t>Servizi forniti da dottori commercialisti</t>
  </si>
  <si>
    <t>AttivitÃ  degli studi commerciali, tributari e revisione contabile</t>
  </si>
  <si>
    <t>CONTABILITÃ€, CONTROLLO E REVISIONE CONTABILE, CONSULENZA IN MATERIA FISCALE E DEL LAVORO</t>
  </si>
  <si>
    <t>AttivitÃ  degli studi notarili</t>
  </si>
  <si>
    <t>AttivitÃ  degli studi legali</t>
  </si>
  <si>
    <t>ATTIVITÃ€ DEGLI STUDI LEGALI</t>
  </si>
  <si>
    <t>ATTIVITÃ€ LEGALI E CONTABILITÃ€</t>
  </si>
  <si>
    <t>Gestione di immobili per conto terzi</t>
  </si>
  <si>
    <t>AttivitÃ  di mediazione immobiliare</t>
  </si>
  <si>
    <t>ATTIVITÃ€ IMMOBILIARI PER CONTO TERZI</t>
  </si>
  <si>
    <t>Affitto di aziende</t>
  </si>
  <si>
    <t>Locazione immobiliare di beni propri</t>
  </si>
  <si>
    <t>AFFITTO E GESTIONE DI  IMMOBILI DI PROPRIETÃ€ O IN LEASING</t>
  </si>
  <si>
    <t>COMPRAVENDITA DI BENI IMMOBILI EFFETTUATA SU BENI PROPRI</t>
  </si>
  <si>
    <t>ATTIVITÃ€ IMMOBILIARI</t>
  </si>
  <si>
    <t>ATTIVITÃ€ DI GESTIONE DEI FONDI</t>
  </si>
  <si>
    <t>Altre attivitÃ  ausiliarie delle assicurazioni e dei fondi pensione</t>
  </si>
  <si>
    <t>AutoritÃ  centrali di vigilanza su assicurazioni e fondi pensione</t>
  </si>
  <si>
    <t>Produttori, procacciatori ed altri intermediari delle assicurazioni</t>
  </si>
  <si>
    <t>Sub-agenti di assicurazioni</t>
  </si>
  <si>
    <t>Agenti di assicurazioni</t>
  </si>
  <si>
    <t>Broker di assicurazioni</t>
  </si>
  <si>
    <t>AttivitÃ  di agenti e mediatori di assicurazioni</t>
  </si>
  <si>
    <t>Valutazione dei rischi e dei danni</t>
  </si>
  <si>
    <t>ATTIVITÃ€ AUSILIARIE DELLE ASSICURAZIONI E DEI FONDI PENSIONE</t>
  </si>
  <si>
    <t>Servizi di trasferimento di denaro (money transfer)</t>
  </si>
  <si>
    <t>AttivitÃ  di Bancoposta</t>
  </si>
  <si>
    <t>AttivitÃ  delle societÃ  fiduciarie di amministrazione</t>
  </si>
  <si>
    <t>Agenti, mediatori e procacciatori in prodotti finanziari</t>
  </si>
  <si>
    <t>Promotori finanziari</t>
  </si>
  <si>
    <t>AttivitÃ  di promotori e mediatori finanziari</t>
  </si>
  <si>
    <t>AttivitÃ  di gestione ed elaborazione di pagamenti tramite carta di credito</t>
  </si>
  <si>
    <t>Altre attivitÃ  ausiliarie dei servizi finanziari (escluse le assicurazioni e i fondi pensione)</t>
  </si>
  <si>
    <t>AttivitÃ  di negoziazione di contratti relativi a titoli e merci</t>
  </si>
  <si>
    <t>Amministrazione di mercati finanziari</t>
  </si>
  <si>
    <t>ATTIVITÃ€ AUSILIARIE DEI SERVIZI FINANZIARI (ESCLUSE LE ASSICURAZIONI E I FONDI PENSIONE)</t>
  </si>
  <si>
    <t>ATTIVITÃ€ AUSILIARIE DEI SERVIZI FINANZIARI E DELLE ATTIVITÃ€ ASSICURATIVE</t>
  </si>
  <si>
    <t>AttivitÃ  dei fondi pensione preesistenti</t>
  </si>
  <si>
    <t>AttivitÃ  dei fondi pensione negoziali</t>
  </si>
  <si>
    <t>AttivitÃ  dei fondi pensione aperti</t>
  </si>
  <si>
    <t>FONDI PENSIONE</t>
  </si>
  <si>
    <t>RIASSICURAZIONI</t>
  </si>
  <si>
    <t>Assicurazioni diverse da quelle sulla vita</t>
  </si>
  <si>
    <t>Assicurazioni sulla vita</t>
  </si>
  <si>
    <t>ASSICURAZIONI</t>
  </si>
  <si>
    <t>ASSICURAZIONI, RIASSICURAZIONI E FONDI PENSIONE (ESCLUSE LE ASSICURAZIONI SOCIALI OBBLIGATORIE)</t>
  </si>
  <si>
    <t>Altre intermediazioni finanziarie nca</t>
  </si>
  <si>
    <t>AttivitÃ  di intermediazione in cambi</t>
  </si>
  <si>
    <t>AttivitÃ  delle societÃ  veicolo</t>
  </si>
  <si>
    <t>AttivitÃ  di merchant bank</t>
  </si>
  <si>
    <t>AttivitÃ  di factoring</t>
  </si>
  <si>
    <t>AttivitÃ  di intermediazione mobiliare</t>
  </si>
  <si>
    <t>Altre attivitÃ  di servizi finanziari nca (escluse le assicurazioni e i fondi pensione)</t>
  </si>
  <si>
    <t>Altre attivitÃ  creditizie nca</t>
  </si>
  <si>
    <t>AttivitÃ  dei consorzi di garanzia collettiva fidi</t>
  </si>
  <si>
    <t>Altre attivitÃ  creditizie</t>
  </si>
  <si>
    <t>Leasing finanziario</t>
  </si>
  <si>
    <t>ALTRE ATTIVITÃ€ DI SERVIZI FINANZIARI (ESCLUSE LE ASSICURAZIONI E I FONDI PENSIONE)</t>
  </si>
  <si>
    <t>Sicav (SocietÃ  di investimento a capitale variabile)</t>
  </si>
  <si>
    <t>Fondi comuni di investimento (aperti e chiusi, immobiliari, di mercato mobiliare)</t>
  </si>
  <si>
    <t>SOCIETÃ€ FIDUCIARIE, FONDI E ALTRE SOCIETÃ€ SIMILI</t>
  </si>
  <si>
    <t>ATTIVITÃ€ DELLE SOCIETÃ€ DI PARTECIPAZIONE (HOLDING)</t>
  </si>
  <si>
    <t>Cassa Depositi e Prestiti</t>
  </si>
  <si>
    <t>Istituti di moneta elettronica (Imel)</t>
  </si>
  <si>
    <t>Fondi comuni di investimento monetario</t>
  </si>
  <si>
    <t>Intermediazione monetaria di istituti monetari diverse dalle Banche centrali</t>
  </si>
  <si>
    <t>Altre intermediazioni monetarie</t>
  </si>
  <si>
    <t>AttivitÃ  delle banche centrali</t>
  </si>
  <si>
    <t>INTERMEDIAZIONE MONETARIA</t>
  </si>
  <si>
    <t>ATTIVITÃ€ DI SERVIZI FINANZIARI (ESCLUSE LE ASSICURAZIONI E I FONDI PENSIONE)</t>
  </si>
  <si>
    <t>Altre attivitÃ  dei servizi di informazione nca</t>
  </si>
  <si>
    <t>AttivitÃ  delle agenzie di stampa</t>
  </si>
  <si>
    <t>ALTRE ATTIVITÃ€ DEI SERVIZI D'INFORMAZIONE</t>
  </si>
  <si>
    <t>Portali web</t>
  </si>
  <si>
    <t>Hosting e fornitura di servizi applicativi (ASP)</t>
  </si>
  <si>
    <t>Gestione database (attivitÃ  delle banche dati)</t>
  </si>
  <si>
    <t>Altre elaborazioni elettroniche di dati</t>
  </si>
  <si>
    <t>Elaborazione elettronica di dati contabili (esclusi i Centri di assistenza fiscale - Caf)</t>
  </si>
  <si>
    <t>Elaborazione dati</t>
  </si>
  <si>
    <t>Elaborazione dei dati, hosting e attivitÃ  connesse</t>
  </si>
  <si>
    <t>ELABORAZIONE DEI DATI, HOSTING E ATTIVITÃ€ CONNESSE; PORTALI WEB</t>
  </si>
  <si>
    <t>ATTIVITÃ€ DEI SERVIZI D'INFORMAZIONE E ALTRI SERVIZI INFORMATICI</t>
  </si>
  <si>
    <t>Altre attivitÃ  dei servizi connessi alle tecnologie dell'informatica nca</t>
  </si>
  <si>
    <t>Configurazione di personal computer</t>
  </si>
  <si>
    <t>Altre attivitÃ  dei servizi connessi alle tecnologie dell'informatica</t>
  </si>
  <si>
    <t>Gestione di strutture informatizzate</t>
  </si>
  <si>
    <t>Consulenza nel settore delle tecnologie dell'informatica</t>
  </si>
  <si>
    <t>Produzione di software non connesso all'edizione</t>
  </si>
  <si>
    <t>PRODUZIONE DI SOFTWARE, CONSULENZA INFORMATICA E ATTIVITÃ€ CONNESSE</t>
  </si>
  <si>
    <t>Altre attivitÃ  connesse alle telecomunicazioni nca</t>
  </si>
  <si>
    <t>Intermediazione in servizi di telecomunicazione e trasmissione dati</t>
  </si>
  <si>
    <t>Altre attivitÃ  connesse alle telecomunicazioni</t>
  </si>
  <si>
    <t>Posto telefonico pubblico ed Internet Point</t>
  </si>
  <si>
    <t>Erogazione di servizi di accesso ad internet (ISP)</t>
  </si>
  <si>
    <t>ALTRE ATTIVITÃ€ DI TELECOMUNICAZIONE</t>
  </si>
  <si>
    <t>TELECOMUNICAZIONI SATELLITARI</t>
  </si>
  <si>
    <t>TELECOMUNICAZIONI MOBILI</t>
  </si>
  <si>
    <t>TELECOMUNICAZIONI FISSE</t>
  </si>
  <si>
    <t>TELECOMUNICAZIONI</t>
  </si>
  <si>
    <t>ATTIVITÃ€ DI PROGRAMMAZIONE E TRASMISSIONI TELEVISIVE</t>
  </si>
  <si>
    <t>TRASMISSIONI RADIOFONICHE</t>
  </si>
  <si>
    <t>ATTIVITÃ€ DI PROGRAMMAZIONE E TRASMISSIONE</t>
  </si>
  <si>
    <t>Studi di registrazione sonora</t>
  </si>
  <si>
    <t>Edizione di musica stampata</t>
  </si>
  <si>
    <t>Edizione di registrazioni sonore</t>
  </si>
  <si>
    <t>ATTIVITÃ€ DI REGISTRAZIONE SONORA E DI EDITORIA MUSICALE</t>
  </si>
  <si>
    <t>AttivitÃ  di proiezione cinematografica</t>
  </si>
  <si>
    <t>AttivitÃ  di distribuzione cinematografica, di video e di programmi televisivi</t>
  </si>
  <si>
    <t>AttivitÃ  di post-produzione cinematografica, di video e di programmi televisivi</t>
  </si>
  <si>
    <t>AttivitÃ  di produzione cinematografica, di video e di programmi televisivi</t>
  </si>
  <si>
    <t>ATTIVITÃ€ DI PRODUZIONE CINEMATOGRAFICA, DI VIDEO E DI PROGRAMMI TELEVISIVI</t>
  </si>
  <si>
    <t>ATTIVITÃ€ DI PRODUZIONE CINEMATOGRAFICA, DI VIDEO E DI PROGRAMMI TELEVISIVI, DI REGISTRAZIONI MUSICALI E SONORE</t>
  </si>
  <si>
    <t>Edizione di altri software</t>
  </si>
  <si>
    <t>Edizione di giochi per computer</t>
  </si>
  <si>
    <t>EDIZIONE DI SOFTWARE</t>
  </si>
  <si>
    <t>Altre attivitÃ  editoriali</t>
  </si>
  <si>
    <t>Edizione di riviste e periodici</t>
  </si>
  <si>
    <t>Edizione di quotidiani</t>
  </si>
  <si>
    <t>Pubblicazione di mailing list</t>
  </si>
  <si>
    <t>Pubblicazione di elenchi</t>
  </si>
  <si>
    <t>Pubblicazione di elenchi e mailing list</t>
  </si>
  <si>
    <t>Edizione di libri</t>
  </si>
  <si>
    <t>EDIZIONE DI LIBRI, PERIODICI ED ALTRE ATTIVITÃ€ EDITORIALI</t>
  </si>
  <si>
    <t>ATTIVITÃ€ EDITORIALI</t>
  </si>
  <si>
    <t>BAR E ALTRI ESERCIZI SIMILI SENZA CUCINA</t>
  </si>
  <si>
    <t>Catering continuativo su base contrattuale</t>
  </si>
  <si>
    <t>Mense</t>
  </si>
  <si>
    <t>Mense e catering continuativo su base contrattuale</t>
  </si>
  <si>
    <t>Fornitura di pasti preparati (catering per eventi)</t>
  </si>
  <si>
    <t>FORNITURA DI PASTI PREPARATI (CATERING) E ALTRI SERVIZI DI RISTORAZIONE</t>
  </si>
  <si>
    <t>Ristorazione su treni e navi</t>
  </si>
  <si>
    <t>Ristorazione ambulante</t>
  </si>
  <si>
    <t>Gelaterie e pasticcerie ambulanti</t>
  </si>
  <si>
    <t>Ristorazione ambulante e gelaterie ambulanti</t>
  </si>
  <si>
    <t>Gelaterie e pasticcerie</t>
  </si>
  <si>
    <t>Ristorazione senza somministrazione con preparazione di cibi da asporto</t>
  </si>
  <si>
    <t>AttivitÃ  di ristorazione connesse alle aziende agricole</t>
  </si>
  <si>
    <t>Ristorazione con somministrazione</t>
  </si>
  <si>
    <t>RISTORANTI E ATTIVITÃ€ DI RISTORAZIONE MOBILE</t>
  </si>
  <si>
    <t>ATTIVITÃ€ DEI SERVIZI DI RISTORAZIONE</t>
  </si>
  <si>
    <t>TURISMO</t>
  </si>
  <si>
    <t>Alloggi per studenti e lavoratori con servizi accessori di tipo alberghiero</t>
  </si>
  <si>
    <t>Gestione di vagoni letto</t>
  </si>
  <si>
    <t>ALTRI ALLOGGI</t>
  </si>
  <si>
    <t>AREE DI CAMPEGGIO E AREE ATTREZZATE PER CAMPER E ROULOTTE</t>
  </si>
  <si>
    <t>AttivitÃ  di alloggio connesse alle aziende agricole</t>
  </si>
  <si>
    <t>Affittacamere per brevi soggiorni, case ed appartamenti per vacanze, bed and breakfast, residence</t>
  </si>
  <si>
    <t>Colonie marine e montane</t>
  </si>
  <si>
    <t>Rifugi di montagna</t>
  </si>
  <si>
    <t>Ostelli della gioventÃ¹</t>
  </si>
  <si>
    <t>Villaggi turistici</t>
  </si>
  <si>
    <t>ALLOGGI PER VACANZE E ALTRE STRUTTURE PER BREVI SOGGIORNI</t>
  </si>
  <si>
    <t>ALBERGHI E STRUTTURE SIMILI</t>
  </si>
  <si>
    <t>ALLOGGIO</t>
  </si>
  <si>
    <t>COMMERCIO</t>
  </si>
  <si>
    <t>ALTRE ATTIVITÃ€ POSTALI E DI CORRIERE</t>
  </si>
  <si>
    <t>ATTIVITÃ€ POSTALI CON OBBLIGO DI SERVIZIO UNIVERSALE</t>
  </si>
  <si>
    <t>SERVIZI POSTALI E ATTIVITÃ€ DI CORRIERE</t>
  </si>
  <si>
    <t>Servizi logistici relativi alla distribuzione delle merci</t>
  </si>
  <si>
    <t>Intermediari dei trasporti</t>
  </si>
  <si>
    <t>Spedizionieri e agenzie di operazioni doganali</t>
  </si>
  <si>
    <t>Altre attivitÃ  di supporto connesse ai trasporti</t>
  </si>
  <si>
    <t>Movimento merci relativo ad altri trasporti terrestri</t>
  </si>
  <si>
    <t>Movimento merci relativo a trasporti ferroviari</t>
  </si>
  <si>
    <t>Movimento merci relativo a trasporti marittimi e fluviali</t>
  </si>
  <si>
    <t>Movimento merci relativo a trasporti aerei</t>
  </si>
  <si>
    <t>Movimentazione merci</t>
  </si>
  <si>
    <t>AttivitÃ  dei servizi connessi al trasporto aereo</t>
  </si>
  <si>
    <t>Altre attivitÃ  dei servizi connessi al trasporto marittimo e per vie d'acqua</t>
  </si>
  <si>
    <t>Liquefazione e rigassificazione di gas a scopo di trasporto marittimo e per vie d'acqua effettuata al di fuori del sito di estrazione</t>
  </si>
  <si>
    <t>AttivitÃ  dei servizi connessi al trasporto marittimo e per vie d'acqua</t>
  </si>
  <si>
    <t>Altre attivitÃ  connesse ai trasporti terrestri nca</t>
  </si>
  <si>
    <t>AttivitÃ  di traino e soccorso stradale</t>
  </si>
  <si>
    <t>Gestione di parcheggi e autorimesse</t>
  </si>
  <si>
    <t>Gestione di centri di movimentazione merci (interporti)</t>
  </si>
  <si>
    <t>Gestione di stazioni per autobus</t>
  </si>
  <si>
    <t>Gestione di strade, ponti, gallerie</t>
  </si>
  <si>
    <t>Gestione di infrastrutture ferroviarie</t>
  </si>
  <si>
    <t>AttivitÃ  dei servizi connessi ai trasporti terrestri</t>
  </si>
  <si>
    <t>ATTIVITÃ€ DI SUPPORTO AI TRASPORTI</t>
  </si>
  <si>
    <t>Magazzini frigoriferi per conto terzi</t>
  </si>
  <si>
    <t>Magazzini di custodia e deposito per conto terzi</t>
  </si>
  <si>
    <t>MAGAZZINAGGIO E CUSTODIA</t>
  </si>
  <si>
    <t>MAGAZZINAGGIO E ATTIVITÃ€ DI SUPPORTO AI TRASPORTI</t>
  </si>
  <si>
    <t>Trasporto spaziale</t>
  </si>
  <si>
    <t>Trasporto aereo di merci</t>
  </si>
  <si>
    <t>TRASPORTO AEREO DI MERCI E TRASPORTO SPAZIALE</t>
  </si>
  <si>
    <t>Trasporto aereo non di linea di passeggeri; voli charter</t>
  </si>
  <si>
    <t>Trasporto aereo di linea di passeggeri</t>
  </si>
  <si>
    <t>TRASPORTO AEREO DI PASSEGGERI</t>
  </si>
  <si>
    <t>TRASPORTO AEREO</t>
  </si>
  <si>
    <t>TRASPORTO DI MERCI PER VIE D'ACQUA INTERNE</t>
  </si>
  <si>
    <t>TRASPORTO DI PASSEGGERI PER VIE D'ACQUA INTERNE</t>
  </si>
  <si>
    <t>TRASPORTO MARITTIMO E COSTIERO DI MERCI</t>
  </si>
  <si>
    <t>TRASPORTO MARITTIMO E COSTIERO DI PASSEGGERI</t>
  </si>
  <si>
    <t>TRASPORTO MARITTIMO E PER VIE D'ACQUA</t>
  </si>
  <si>
    <t>Trasporto mediante condotte di liquidi</t>
  </si>
  <si>
    <t>Trasporto mediante condotte di gas</t>
  </si>
  <si>
    <t>TRASPORTO MEDIANTE CONDOTTE</t>
  </si>
  <si>
    <t>Servizi di trasloco</t>
  </si>
  <si>
    <t>Trasporto di merci su strada</t>
  </si>
  <si>
    <t>TRASPORTO DI MERCI SU STRADA E SERVIZI DI TRASLOCO</t>
  </si>
  <si>
    <t>Altre attivitÃ  di trasporti terrestri di passeggeri nca</t>
  </si>
  <si>
    <t>Gestioni di funicolari, ski-lift e seggiovie se non facenti parte dei sistemi di transito urbano o sub-urbano</t>
  </si>
  <si>
    <t>Altri trasporti terrestri di passeggeri nca</t>
  </si>
  <si>
    <t>Trasporto mediante noleggio di autovetture da rimessa con conducente</t>
  </si>
  <si>
    <t>Trasporto con taxi</t>
  </si>
  <si>
    <t>Trasporto con taxi, noleggio di autovetture con conducente</t>
  </si>
  <si>
    <t>Trasporto terrestre di passeggeri in aree urbane e suburbane</t>
  </si>
  <si>
    <t>ALTRI TRASPORTI TERRESTRI DI PASSEGGERI</t>
  </si>
  <si>
    <t>TRASPORTO FERROVIARIO DI MERCI</t>
  </si>
  <si>
    <t>TRASPORTO FERROVIARIO DI PASSEGGERI (INTERURBANO)</t>
  </si>
  <si>
    <t>TRASPORTO TERRESTRE E TRASPORTO MEDIANTE CONDOTTE</t>
  </si>
  <si>
    <t>Commercio effettuato per mezzo di distributori automatici</t>
  </si>
  <si>
    <t>Commercio al dettaglio di prodotti vari, mediante l'intervento di un dimostratore o di un incaricato alla vendita (porta a porta)</t>
  </si>
  <si>
    <t>Altro commercio al dettaglio al di fuori di negozi, banchi o mercati</t>
  </si>
  <si>
    <t>Commercio al dettaglio di qualsiasi tipo di prodotto per corrispondenza, radio, telefono</t>
  </si>
  <si>
    <t>Commercio al dettaglio di qualsiasi tipo di prodotto effettuato per televisione</t>
  </si>
  <si>
    <t>Commercio al dettaglio di qualsiasi tipo di prodotto effettuato via internet</t>
  </si>
  <si>
    <t>Commercio al dettaglio per corrispondenza o attraverso internet</t>
  </si>
  <si>
    <t>COMMERCIO AL DETTAGLIO AL DI FUORI DI NEGOZI, BANCHI E MERCATI</t>
  </si>
  <si>
    <t>Commercio al dettaglio ambulante di altri prodotti nca</t>
  </si>
  <si>
    <t>Commercio al dettaglio ambulante di arredamenti per giardino; mobili; tappeti e stuoie; articoli casalinghi; elettrodomestici; materiale elettrico</t>
  </si>
  <si>
    <t>Commercio al dettaglio ambulante di chincaglieria e bigiotteria</t>
  </si>
  <si>
    <t>Commercio al dettaglio ambulante di profumi e cosmetici; saponi, detersivi ed altri detergenti per qualsiasi uso</t>
  </si>
  <si>
    <t>Commercio al dettaglio ambulante di macchine, attrezzature e prodotti per l'agricoltura; attrezzature per il giardinaggio</t>
  </si>
  <si>
    <t>Commercio al dettaglio ambulante di fiori, piante, bulbi, semi e fertilizzanti</t>
  </si>
  <si>
    <t>PON/In PARZ AMM.LE</t>
  </si>
  <si>
    <t>Commercio al dettaglio ambulante di altri prodotti</t>
  </si>
  <si>
    <t>Commercio al dettaglio ambulante a posteggio fisso di calzature e pelletterie</t>
  </si>
  <si>
    <t>Commercio al dettaglio ambulante di tessuti, articoli tessili per la casa, articoli di abbigliamento</t>
  </si>
  <si>
    <t>Commercio al dettaglio ambulante di prodotti tessili, abbigliamento e calzature</t>
  </si>
  <si>
    <t>Commercio al dettaglio ambulante di altri prodotti alimentari e bevande nca</t>
  </si>
  <si>
    <t>Commercio al dettaglio ambulante di carne</t>
  </si>
  <si>
    <t>Commercio al dettaglio ambulante di prodotti ittici</t>
  </si>
  <si>
    <t>Commercio al dettaglio ambulante di prodotti ortofrutticoli</t>
  </si>
  <si>
    <t>Commercio al dettaglio ambulante di prodotti alimentari e bevande</t>
  </si>
  <si>
    <t>COMMERCIO AL DETTAGLIO AMBULANTE</t>
  </si>
  <si>
    <t>Case d'asta al dettaglio (escluse aste via internet)</t>
  </si>
  <si>
    <t>Commercio al dettaglio di indumenti e altri oggetti usati</t>
  </si>
  <si>
    <t>Commercio al dettaglio di mobili usati e oggetti di antiquariato</t>
  </si>
  <si>
    <t>Commercio al dettaglio di libri di seconda mano</t>
  </si>
  <si>
    <t>Commercio al dettaglio di articoli di seconda mano in negozi</t>
  </si>
  <si>
    <t>Commercio al dettaglio di altri prodotti non alimentari nca</t>
  </si>
  <si>
    <t>Commercio al dettaglio di articoli per adulti (sexy shop)</t>
  </si>
  <si>
    <t>Commercio al dettaglio di articoli funerari e cimiteriali</t>
  </si>
  <si>
    <t>Commercio al dettaglio di spaghi, cordami, tele e sacchi di juta e prodotti per l'imballaggio (esclusi quelli in carta e cartone)</t>
  </si>
  <si>
    <t>Commercio al dettaglio di filatelia, numismatica e articoli da collezionismo</t>
  </si>
  <si>
    <t>Commercio al dettaglio di saponi, detersivi, prodotti per la lucidatura e affini</t>
  </si>
  <si>
    <t>Commercio al dettaglio di armi e munizioni, articoli militari</t>
  </si>
  <si>
    <t>Commercio al dettaglio di combustibile per uso domestico e per riscaldamento</t>
  </si>
  <si>
    <t>Commercio al dettaglio di articoli per le belle arti</t>
  </si>
  <si>
    <t>Commercio al dettaglio di chincaglieria e bigiotteria (inclusi gli oggetti ricordo e gli articoli di promozione pubblicitaria)</t>
  </si>
  <si>
    <t>Commercio al dettaglio di bomboniere</t>
  </si>
  <si>
    <t>Commercio al dettaglio di articoli da regalo e per fumatori</t>
  </si>
  <si>
    <t>Commercio al dettaglio di arredi sacri ed articoli religiosi</t>
  </si>
  <si>
    <t>Commercio al dettaglio di oggetti d'artigianato</t>
  </si>
  <si>
    <t>Commercio al dettaglio di oggetti d'arte (incluse le gallerie d'arte)</t>
  </si>
  <si>
    <t>Commercio al dettaglio di oggetti d'arte di culto e di decorazione, chincaglieria e bigiotteria</t>
  </si>
  <si>
    <t>Commercio al dettaglio di materiale per ottica e fotografia</t>
  </si>
  <si>
    <t>Commercio al dettaglio di mobili per ufficio</t>
  </si>
  <si>
    <t>Commercio al dettaglio di altri prodotti (esclusi quelli di seconda mano) in esercizi specializzati</t>
  </si>
  <si>
    <t>Commercio al dettaglio di orologi e articoli di gioielleria in esercizi specializzati</t>
  </si>
  <si>
    <t>Commercio al dettaglio di piccoli animali domestici</t>
  </si>
  <si>
    <t>Commercio al dettaglio di fiori e piante</t>
  </si>
  <si>
    <t>Commercio al dettaglio di fiori, piante, semi, fertilizzanti, animali domestici e alimenti per animali domestici in esercizi specializzati</t>
  </si>
  <si>
    <t>Erboristerie</t>
  </si>
  <si>
    <t>Commercio al dettaglio di articoli di profumeria, prodotti per toletta e per l'igiene personale</t>
  </si>
  <si>
    <t>Commercio al dettaglio di cosmetici, di articoli di profumeria e di erboristeria in esercizi specializzati</t>
  </si>
  <si>
    <t>Commercio al dettaglio di articoli medicali e ortopedici in esercizi specializzati</t>
  </si>
  <si>
    <t>Commercio al dettaglio in altri esercizi specializzati di medicinali non soggetti a prescrizione medica</t>
  </si>
  <si>
    <t>Farmacie</t>
  </si>
  <si>
    <t>Commercio al dettaglio di medicinali in esercizi specializzati</t>
  </si>
  <si>
    <t>Commercio al dettaglio di articoli di pelletteria e da viaggio</t>
  </si>
  <si>
    <t>Commercio al dettaglio di calzature e accessori</t>
  </si>
  <si>
    <t>Commercio al dettaglio di calzature e articoli in pelle in esercizi specializzati</t>
  </si>
  <si>
    <t>Commercio al dettaglio di cappelli, ombrelli, guanti e cravatte</t>
  </si>
  <si>
    <t>Commercio al dettaglio di pellicce e di abbigliamento in pelle</t>
  </si>
  <si>
    <t>Commercio al dettaglio di biancheria personale, maglieria, camicie</t>
  </si>
  <si>
    <t>Commercio al dettaglio di confezioni per bambini e neonati</t>
  </si>
  <si>
    <t>Commercio al dettaglio di confezioni per adulti</t>
  </si>
  <si>
    <t>Commercio al dettaglio di articoli di abbigliamento in esercizi specializzati</t>
  </si>
  <si>
    <t>COMMERCIO AL DETTAGLIO DI ALTRI PRODOTTI IN ESERCIZI SPECIALIZZATI</t>
  </si>
  <si>
    <t>Commercio al dettaglio di giochi e giocattoli in esercizi specializzati</t>
  </si>
  <si>
    <t>Commercio al dettaglio di natanti e accessori</t>
  </si>
  <si>
    <t>Commercio al dettaglio di articoli sportivi, biciclette e articoli per il tempo libero</t>
  </si>
  <si>
    <t>Commercio al dettaglio di articoli sportivi in esercizi specializzati</t>
  </si>
  <si>
    <t>Commercio al dettaglio di registrazioni musicali e video in esercizi specializzati</t>
  </si>
  <si>
    <t>Commercio al dettaglio di articoli di cartoleria e forniture per ufficio</t>
  </si>
  <si>
    <t>Commercio al dettaglio di giornali, riviste e periodici</t>
  </si>
  <si>
    <t>Commercio al dettaglio di giornali e articoli di cartoleria in esercizi specializzati</t>
  </si>
  <si>
    <t>Commercio al dettaglio di libri in esercizi specializzati</t>
  </si>
  <si>
    <t>COMMERCIO AL DETTAGLIO DI ARTICOLI CULTURALI E RICREATIVI IN ESERCIZI SPECIALIZZATI</t>
  </si>
  <si>
    <t>Commercio al dettaglio di altri articoli per uso domestico nca</t>
  </si>
  <si>
    <t>Commercio al dettaglio di articoli in legno, sughero, vimini e articoli in plastica per uso domestico</t>
  </si>
  <si>
    <t>Commercio al dettaglio di altri articoli diversi per uso domestico nca</t>
  </si>
  <si>
    <t>Commercio al dettaglio di strumenti musicali e spartiti</t>
  </si>
  <si>
    <t>Commercio al dettaglio di sistemi di sicurezza</t>
  </si>
  <si>
    <t>Commercio al dettaglio di macchine per cucire e per maglieria per uso domestico</t>
  </si>
  <si>
    <t>Commercio al dettaglio di articoli per l'illuminazione</t>
  </si>
  <si>
    <t>Commercio al dettaglio di utensili per la casa, di cristallerie e vasellame</t>
  </si>
  <si>
    <t>Commercio al dettaglio di mobili per la casa</t>
  </si>
  <si>
    <t>Commercio al dettaglio di mobili, di articoli per l'illuminazione e altri articoli per la casa in esercizi specializzati</t>
  </si>
  <si>
    <t>Commercio al dettaglio di elettrodomestici in esercizi specializzati</t>
  </si>
  <si>
    <t>Commercio al dettaglio di carta da parati e rivestimenti per pavimenti (moquette e linoleum)</t>
  </si>
  <si>
    <t>Commercio al dettaglio di tappeti</t>
  </si>
  <si>
    <t>Commercio al dettaglio di tende e tendine</t>
  </si>
  <si>
    <t>Commercio al dettaglio di tappeti, scendiletto e rivestimenti per pavimenti e pareti (moquette, linoleum) in esercizi specializzati</t>
  </si>
  <si>
    <t>Commercio al dettaglio di macchine, attrezzature e prodotti per l'agricoltura; macchine e attrezzature per il giardinaggio</t>
  </si>
  <si>
    <t>Commercio al dettaglio di materiali da costruzione, ceramiche e piastrelle</t>
  </si>
  <si>
    <t>Commercio al dettaglio di articoli igienico-sanitari</t>
  </si>
  <si>
    <t>Commercio al dettaglio di ferramenta, vernici, vetro piano e materiale elettrico e termoidraulico</t>
  </si>
  <si>
    <t>Commercio al dettaglio di ferramenta, vernici, vetro piano e materiali da costruzione in esercizi specializzati</t>
  </si>
  <si>
    <t>Commercio al dettaglio di filati per maglieria e merceria</t>
  </si>
  <si>
    <t>Commercio al dettaglio di tessuti per l'abbigliamento, l'arredamento e di biancheria per la casa</t>
  </si>
  <si>
    <t>Commercio al dettaglio di prodotti tessili in esercizi specializzati</t>
  </si>
  <si>
    <t>COMMERCIO AL DETTAGLIO DI ALTRI PRODOTTI PER USO DOMESTICO IN ESERCIZI SPECIALIZZATI</t>
  </si>
  <si>
    <t>Commercio al dettaglio di apparecchiature audio e video in esercizi specializzati</t>
  </si>
  <si>
    <t>Commercio al dettaglio di apparecchiature per le telecomunicazioni e la telefonia in esercizi specializzati</t>
  </si>
  <si>
    <t>Commercio al dettaglio di computer, unitÃ  periferiche, software e attrezzature per ufficio in esercizi specializzati</t>
  </si>
  <si>
    <t>COMMERCIO AL DETTAGLIO DI APPARECCHIATURE INFORMATICHE E PER LE TELECOMUNICAZIONI (ICT) IN ESERCIZI SPECIALIZZATI</t>
  </si>
  <si>
    <t>COMMERCIO AL DETTAGLIO DI CARBURANTE PER AUTOTRAZIONE IN ESERCIZI SPECIALIZZATI</t>
  </si>
  <si>
    <t>Commercio al dettaglio di altri prodotti alimentari in esercizi specializzati nca</t>
  </si>
  <si>
    <t>Commercio al dettaglio di prodotti macrobiotici e dietetici</t>
  </si>
  <si>
    <t>Commercio al dettaglio di caffÃ¨ torrefatto</t>
  </si>
  <si>
    <t>Commercio al dettaglio di latte e di prodotti lattiero-caseari</t>
  </si>
  <si>
    <t>Commercio al dettaglio di altri prodotti alimentari in esercizi specializzati</t>
  </si>
  <si>
    <t>Commercio al dettaglio di prodotti del tabacco in esercizi specializzati</t>
  </si>
  <si>
    <t>Commercio al dettaglio di bevande in esercizi specializzati</t>
  </si>
  <si>
    <t>Commercio al dettaglio di torte, dolciumi, confetteria</t>
  </si>
  <si>
    <t>Commercio al dettaglio di pane</t>
  </si>
  <si>
    <t>Commercio al dettaglio di pane, torte, dolciumi e confetteria in esercizi specializzati</t>
  </si>
  <si>
    <t>Commercio al dettaglio di pesci, crostacei e molluschi in esercizi specializzati</t>
  </si>
  <si>
    <t>Commercio al dettaglio di carni e di prodotti a base di carne in esercizi specializzati</t>
  </si>
  <si>
    <t>Commercio al dettaglio di frutta e verdura preparata e conservata</t>
  </si>
  <si>
    <t>Commercio al dettaglio di frutta e verdura fresca</t>
  </si>
  <si>
    <t>Commercio al dettaglio di frutta e verdura in esercizi specializzati</t>
  </si>
  <si>
    <t>COMMERCIO AL DETTAGLIO DI PRODOTTI ALIMENTARI, BEVANDE E TABACCO IN ESERCIZI SPECIALIZZATI</t>
  </si>
  <si>
    <t>Empori ed altri negozi non specializzati di vari prodotti non alimentari</t>
  </si>
  <si>
    <t>Commercio al dettaglio in esercizi non specializzati di computer, periferiche, attrezzature per le telecomunicazioni, elettronica di consumo audio e video, elettrodomestici</t>
  </si>
  <si>
    <t>Grandi magazzini</t>
  </si>
  <si>
    <t>Commercio al dettaglio in altri esercizi non specializzati</t>
  </si>
  <si>
    <t>Commercio al dettaglio di prodotti surgelati</t>
  </si>
  <si>
    <t>Minimercati ed altri esercizi non specializzati di alimentari vari</t>
  </si>
  <si>
    <t>Discount di alimentari</t>
  </si>
  <si>
    <t>Supermercati</t>
  </si>
  <si>
    <t>Ipermercati</t>
  </si>
  <si>
    <t>Commercio al dettaglio in esercizi non specializzati con prevalenza di prodotti alimentari e bevande</t>
  </si>
  <si>
    <t>COMMERCIO AL DETTAGLIO IN ESERCIZI NON SPECIALIZZATI</t>
  </si>
  <si>
    <t>COMMERCIO AL DETTAGLIO (ESCLUSO QUELLO DI AUTOVEICOLI E DI MOTOCICLI)</t>
  </si>
  <si>
    <t>COMMERCIO ALL'INGROSSO NON SPECIALIZZATO</t>
  </si>
  <si>
    <t>Commercio all'ingrosso di altri materiali di recupero non metallici (vetro, carta, cartoni eccetera)</t>
  </si>
  <si>
    <t>Commercio all'ingrosso di rottami e sottoprodotti della lavorazione industriale metallici</t>
  </si>
  <si>
    <t>Commercio all'ingrosso di rottami e cascami</t>
  </si>
  <si>
    <t>Commercio all'ingrosso di altri prodotti intermedi</t>
  </si>
  <si>
    <t>Commercio all'ingrosso di imballaggi</t>
  </si>
  <si>
    <t>Commercio all'ingrosso di gomma greggia, materie plastiche in forme primarie e semilavorati</t>
  </si>
  <si>
    <t>Commercio all'ingrosso di fibre tessili gregge e semilavorate</t>
  </si>
  <si>
    <t>Commercio all'ingrosso di prodotti chimici per l'industria</t>
  </si>
  <si>
    <t>Commercio all'ingrosso di fertilizzanti e di altri prodotti chimici per l'agricoltura</t>
  </si>
  <si>
    <t>Commercio all'ingrosso di prodotti chimici</t>
  </si>
  <si>
    <t>Commercio all'ingrosso di apparecchi e accessori per impianti idraulici, di riscaldamento e di condizionamento</t>
  </si>
  <si>
    <t>Commercio all'ingrosso di articoli in ferro e in altri metalli (ferramenta)</t>
  </si>
  <si>
    <t>Commercio all'ingrosso di ferramenta, di apparecchi e accessori per impianti idraulici e di riscaldamento</t>
  </si>
  <si>
    <t>Commercio all'ingrosso di carta da parati, colori e vernici</t>
  </si>
  <si>
    <t>Commercio all'ingrosso di vetro piano</t>
  </si>
  <si>
    <t>Commercio all'ingrosso di altri materiali da costruzione</t>
  </si>
  <si>
    <t>Commercio all'ingrosso di infissi e di articoli di arredo urbano</t>
  </si>
  <si>
    <t>Commercio all'ingrosso di altri materiali per rivestimenti (inclusi gli apparecchi igienico-sanitari)</t>
  </si>
  <si>
    <t>Commercio all'ingrosso di moquette e linoleum</t>
  </si>
  <si>
    <t>Commercio all'ingrosso di materiali da costruzione (inclusi gli apparecchi igienico-sanitari)</t>
  </si>
  <si>
    <t>Commercio all'ingrosso di legname, semilavorati in legno e legno artificiale</t>
  </si>
  <si>
    <t>Commercio all'ingrosso di legname e di materiali da costruzione, apparecchi igienico-sanitari, vetro piano, vernici e colori</t>
  </si>
  <si>
    <t>Commercio all'ingrosso di metalli non ferrosi e prodotti semilavorati</t>
  </si>
  <si>
    <t>Commercio all'ingrosso di minerali metalliferi, di metalli ferrosi e prodotti semilavorati</t>
  </si>
  <si>
    <t>Commercio all'ingrosso di metalli e di minerali metalliferi</t>
  </si>
  <si>
    <t>Commercio all'ingrosso di combustibili solidi, liquidi, gassosi e di prodotti derivati</t>
  </si>
  <si>
    <t>COMMERCIO ALL'INGROSSO SPECIALIZZATO DI ALTRI PRODOTTI</t>
  </si>
  <si>
    <t>Commercio all'ingrosso di altre macchine ed attrezzature per l'industria, il commercio e la navigazione nca</t>
  </si>
  <si>
    <t>Commercio all'ingrosso di articoli antincendio e antinfortunistici</t>
  </si>
  <si>
    <t>Commercio all'ingrosso di giochi per luna-park e videogiochi per pubblici esercizi</t>
  </si>
  <si>
    <t>Commercio all'ingrosso di strumenti e attrezzature di misurazione per uso non scientifico</t>
  </si>
  <si>
    <t>Commercio all'ingrosso di strumenti e attrezzature di misurazione per uso scientifico</t>
  </si>
  <si>
    <t>Commercio all'ingrosso di altre macchine e attrezzature per l'industria, il commercio e la navigazione</t>
  </si>
  <si>
    <t>Commercio all'ingrosso di apparecchiature per parrucchieri, palestre, solarium e centri estetici</t>
  </si>
  <si>
    <t>Commercio all'ingrosso di materiale elettrico per impianti di uso industriale</t>
  </si>
  <si>
    <t>Commercio all'ingrosso di altri mezzi ed attrezzature di trasporto</t>
  </si>
  <si>
    <t>Commercio all'ingrosso di imbarcazioni da diporto</t>
  </si>
  <si>
    <t>Commercio all'ingrosso di mezzi ed attrezzature di trasporto</t>
  </si>
  <si>
    <t>Commercio all'ingrosso di altri macchinari e attrezzature</t>
  </si>
  <si>
    <t>Commercio all'ingrosso di altre macchine e attrezzature per ufficio</t>
  </si>
  <si>
    <t>Commercio all'ingrosso di mobili per ufficio e negozi</t>
  </si>
  <si>
    <t>Commercio all'ingrosso di macchinari per l'industria tessile, di macchine per cucire e per maglieria</t>
  </si>
  <si>
    <t>Commercio all'ingrosso di macchinari per l'estrazione, l'edilizia e l'ingegneria civile</t>
  </si>
  <si>
    <t>Commercio all'ingrosso di macchine utensili</t>
  </si>
  <si>
    <t>Commercio all'ingrosso di macchinari, attrezzature e forniture agricole</t>
  </si>
  <si>
    <t>COMMERCIO ALL'INGROSSO DI ALTRI MACCHINARI, ATTREZZATURE E FORNITURE</t>
  </si>
  <si>
    <t>Commercio all'ingrosso di altre apparecchiature elettroniche per telecomunicazioni e di altri componenti elettronici</t>
  </si>
  <si>
    <t>Commercio all'ingrosso di nastri non registrati</t>
  </si>
  <si>
    <t>Commercio all'ingrosso di apparecchi e materiali telefonici</t>
  </si>
  <si>
    <t>Commercio all'ingrosso di apparecchiature elettroniche per telecomunicazioni e componenti elettronici</t>
  </si>
  <si>
    <t>Commercio all'ingrosso di computer, apparecchiature informatiche periferiche e di software</t>
  </si>
  <si>
    <t>COMMERCIO ALL'INGROSSO DI APPARECCHIATURE ICT</t>
  </si>
  <si>
    <t>Commercio all'ingrosso di vari prodotti di consumo non alimentare nca</t>
  </si>
  <si>
    <t>Commercio all'ingrosso di articoli in pelle; articoli da viaggio in qualsiasi materiale</t>
  </si>
  <si>
    <t>Commercio all'ingrosso di articoli sportivi (incluse le biciclette)</t>
  </si>
  <si>
    <t>Commercio all'ingrosso di giochi e giocattoli</t>
  </si>
  <si>
    <t>Commercio all'ingrosso di libri, riviste e giornali</t>
  </si>
  <si>
    <t>Commercio all'ingrosso di carta, cartone e articoli di cartoleria</t>
  </si>
  <si>
    <t>Commercio all'ingrosso di altri beni di consumo</t>
  </si>
  <si>
    <t>Commercio all'ingrosso di orologi e di gioielleria</t>
  </si>
  <si>
    <t>Commercio all'ingrosso di articoli per l'illuminazione; materiale elettrico vario per uso domestico</t>
  </si>
  <si>
    <t>Commercio all'ingrosso di tappeti</t>
  </si>
  <si>
    <t>Commercio all'ingrosso di mobili di qualsiasi materiale</t>
  </si>
  <si>
    <t>Commercio all'ingrosso di mobili, tappeti e articoli per l'illuminazione</t>
  </si>
  <si>
    <t>Commercio all'ingrosso di articoli medicali ed ortopedici</t>
  </si>
  <si>
    <t>Commercio all'ingrosso di prodotti botanici per uso farmaceutico</t>
  </si>
  <si>
    <t>Commercio all'ingrosso di medicinali</t>
  </si>
  <si>
    <t>Commercio all'ingrosso di prodotti farmaceutici</t>
  </si>
  <si>
    <t>Commercio all'ingrosso di profumi e cosmetici</t>
  </si>
  <si>
    <t>Commercio all'ingrosso di coltelleria, posateria e pentolame</t>
  </si>
  <si>
    <t>Commercio all'ingrosso di saponi, detersivi e altri prodotti per la pulizia</t>
  </si>
  <si>
    <t>Commercio all'ingrosso di ceramiche e porcellana</t>
  </si>
  <si>
    <t>Commercio all'ingrosso di vetreria e cristalleria</t>
  </si>
  <si>
    <t>Commercio all'ingrosso di articoli di porcellana, di vetro e di prodotti per la pulizia</t>
  </si>
  <si>
    <t>Commercio all'ingrosso di articoli per fotografia, cinematografia e ottica</t>
  </si>
  <si>
    <t>Commercio all'ingrosso di supporti registrati, audio, video (Cd, Dvd e altri supporti)</t>
  </si>
  <si>
    <t>Commercio all'ingrosso di elettrodomestici, di elettronica di consumo audio e video</t>
  </si>
  <si>
    <t>Commercio all'ingrosso di elettrodomestici, elettronica di consumo audio e video; articoli per fotografia, cinematografia e ottica</t>
  </si>
  <si>
    <t>Commercio all'ingrosso di calzature e accessori</t>
  </si>
  <si>
    <t>Commercio all'ingrosso di camicie, biancheria intima, maglieria e simili</t>
  </si>
  <si>
    <t>Commercio all'ingrosso di articoli in pelliccia</t>
  </si>
  <si>
    <t>Commercio all'ingrosso di abbigliamento e accessori</t>
  </si>
  <si>
    <t>Commercio all'ingrosso di abbigliamento e di calzature</t>
  </si>
  <si>
    <t>Commercio all'ingrosso di altri articoli tessili</t>
  </si>
  <si>
    <t>Commercio all'ingrosso di articoli di merceria, filati e passamaneria</t>
  </si>
  <si>
    <t>Commercio all'ingrosso di tessuti</t>
  </si>
  <si>
    <t>Commercio all'ingrosso di prodotti tessili</t>
  </si>
  <si>
    <t>COMMERCIO ALL'INGROSSO DI BENI DI CONSUMO FINALE</t>
  </si>
  <si>
    <t>Commercio all'ingrosso non specializzato di prodotti alimentari, bevande e tabacco</t>
  </si>
  <si>
    <t>Commercio all'ingrosso non specializzato di prodotti surgelati</t>
  </si>
  <si>
    <t>Commercio all'ingrosso di altri prodotti alimentari</t>
  </si>
  <si>
    <t>Commercio all'ingrosso di pasti e piatti pronti</t>
  </si>
  <si>
    <t>Commercio all'ingrosso di prodotti della pesca congelati, surgelati, conservati, secchi</t>
  </si>
  <si>
    <t>Commercio all'ingrosso di prodotti della pesca freschi</t>
  </si>
  <si>
    <t>Commercio all'ingrosso di altri prodotti alimentari, inclusi pesci, crostacei e molluschi</t>
  </si>
  <si>
    <t>Commercio all'ingrosso di tÃ¨, cacao e spezie</t>
  </si>
  <si>
    <t>Commercio all'ingrosso di caffÃ¨</t>
  </si>
  <si>
    <t>Commercio all'ingrosso di caffÃ¨, tÃ¨, cacao e spezie</t>
  </si>
  <si>
    <t>Commercio all'ingrosso di zucchero, cioccolato, dolciumi e prodotti da forno</t>
  </si>
  <si>
    <t>Commercio all'ingrosso di prodotti del tabacco</t>
  </si>
  <si>
    <t>Commercio all'ingrosso di bevande non alcoliche</t>
  </si>
  <si>
    <t>Commercio all'ingrosso di bevande alcoliche</t>
  </si>
  <si>
    <t>Commercio all'ingrosso di bevande</t>
  </si>
  <si>
    <t>Commercio all'ingrosso di oli e grassi alimentari di origine vegetale o animale</t>
  </si>
  <si>
    <t>Commercio all'ingrosso di prodotti lattiero-caseari e di uova</t>
  </si>
  <si>
    <t>Commercio all'ingrosso di prodotti lattiero-caseari, uova, oli e grassi commestibili</t>
  </si>
  <si>
    <t>Commercio all'ingrosso di prodotti di salumeria</t>
  </si>
  <si>
    <t>Commercio all'ingrosso di carne fresca, congelata e surgelata</t>
  </si>
  <si>
    <t>Commercio all'ingrosso di carne e di prodotti a base di carne</t>
  </si>
  <si>
    <t>Commercio all'ingrosso di frutta e ortaggi conservati</t>
  </si>
  <si>
    <t>Commercio all'ingrosso di frutta e ortaggi freschi</t>
  </si>
  <si>
    <t>Commercio all'ingrosso di frutta e ortaggi freschi o conservati</t>
  </si>
  <si>
    <t>COMMERCIO ALL'INGROSSO DI PRODOTTI ALIMENTARI, BEVANDE E PRODOTTI DEL TABACCO</t>
  </si>
  <si>
    <t>Commercio all'ingrosso di pelli gregge e lavorate per pellicceria</t>
  </si>
  <si>
    <t>Commercio all'ingrosso di cuoio e pelli gregge e lavorate (escluse le pelli per pellicceria)</t>
  </si>
  <si>
    <t>Commercio all'ingrosso di pelli e cuoio</t>
  </si>
  <si>
    <t>Commercio all'ingrosso di animali vivi</t>
  </si>
  <si>
    <t>Commercio all'ingrosso di fiori e piante</t>
  </si>
  <si>
    <t>Commercio all'ingrosso di sementi e alimenti per il bestiame (mangimi), piante officinali, semi oleosi, patate da semina</t>
  </si>
  <si>
    <t>Commercio all'ingrosso di tabacco grezzo</t>
  </si>
  <si>
    <t>Commercio all'ingrosso di sementi e alimenti per il bestiame (mangimi), piante officinali, semi oleosi, patate da semina, tabacco grezzo</t>
  </si>
  <si>
    <t>Commercio all'ingrosso di cereali e legumi secchi</t>
  </si>
  <si>
    <t>Commercio all'ingrosso di cereali, tabacco grezzo, sementi e alimenti per il bestiame (mangimi)</t>
  </si>
  <si>
    <t>COMMERCIO ALL'INGROSSO DI MATERIE PRIME AGRICOLE E DI ANIMALI VIVI</t>
  </si>
  <si>
    <t>Gruppi di acquisto; mandatari agli acquisti; buyer</t>
  </si>
  <si>
    <t>Mediatori in vari prodotti senza prevalenza di alcuno</t>
  </si>
  <si>
    <t>Procacciatori d'affari di vari prodotti senza prevalenza di alcuno</t>
  </si>
  <si>
    <t>Agenti e rappresentanti di vari prodotti senza prevalenza di alcuno</t>
  </si>
  <si>
    <t>Intermediari del commercio di vari prodotti senza prevalenza di alcuno</t>
  </si>
  <si>
    <t>Mediatori in attrezzature sportive, biciclette e altri prodotti nca</t>
  </si>
  <si>
    <t>Procacciatori d'affari di attrezzature sportive, biciclette e altri prodotti nca</t>
  </si>
  <si>
    <t>Agenti e rappresentanti di altri prodotti non alimentari nca (inclusi gli imballaggi e gli articoli antinfortunistici, antincendio e pubblicitari)</t>
  </si>
  <si>
    <t>Agenti e rappresentanti di chincaglieria e bigiotteria</t>
  </si>
  <si>
    <t>Agenti e rappresentanti di giocattoli</t>
  </si>
  <si>
    <t>Agenti e rappresentanti di saponi, detersivi, candele e prodotti simili</t>
  </si>
  <si>
    <t>Agenti e rappresentanti di articoli fotografici, ottici e prodotti simili; strumenti scientifici e per laboratori di analisi</t>
  </si>
  <si>
    <t>Agenti e rappresentanti di orologi, oggetti e metalli preziosi</t>
  </si>
  <si>
    <t>Agenti e rappresentanti di attrezzature sportive; biciclette</t>
  </si>
  <si>
    <t>Intermediari del commercio di attrezzature sportive, biciclette e altri prodotti nca</t>
  </si>
  <si>
    <t>Mediatori in prodotti farmaceutici e cosmetici</t>
  </si>
  <si>
    <t>Procacciatori d'affari di prodotti farmaceutici e di cosmetici</t>
  </si>
  <si>
    <t>Agenti e rappresentanti di prodotti di profumeria e di cosmetica (inclusi articoli per parrucchieri); prodotti di erboristeria per uso cosmetico</t>
  </si>
  <si>
    <t>Agenti e rappresentanti di prodotti sanitari ed apparecchi medicali, chirurgici e ortopedici</t>
  </si>
  <si>
    <t>Agenti e rappresentanti di prodotti farmaceutici; prodotti di erboristeria per uso medico</t>
  </si>
  <si>
    <t>Intermediari del commercio di prodotti farmaceutici e di cosmetici</t>
  </si>
  <si>
    <t>Mediatori in prodotti di elettronica</t>
  </si>
  <si>
    <t>Procacciatori d'affari di prodotti di elettronica</t>
  </si>
  <si>
    <t>Agenti e rappresentanti di apparecchi elettrodomestici</t>
  </si>
  <si>
    <t>Agenti e rappresentanti di computer, periferiche, attrezzature per le telecomunicazioni, elettronica di consumo audio e video, materiale elettrico per uso domestico</t>
  </si>
  <si>
    <t>Intermediari del commercio di prodotti di elettronica</t>
  </si>
  <si>
    <t>Mediatori in prodotti di carta, cancelleria, libri</t>
  </si>
  <si>
    <t>Procacciatori d'affari di prodotti di carta, cancelleria, libri</t>
  </si>
  <si>
    <t>Agenti e rappresentanti di libri e altre pubblicazioni (inclusi i relativi abbonamenti)</t>
  </si>
  <si>
    <t>Agenti e rappresentanti di carta e cartone (esclusi gli imballaggi; articoli di cartoleria e cancelleria)</t>
  </si>
  <si>
    <t>Intermediari del commercio di prodotti di carta, cancelleria, libri</t>
  </si>
  <si>
    <t>Intermediari del commercio specializzato in altri prodotti</t>
  </si>
  <si>
    <t>Mediatori in prodotti alimentari, bevande e tabacco</t>
  </si>
  <si>
    <t>Procacciatori d'affari di prodotti alimentari, bevande e tabacco</t>
  </si>
  <si>
    <t>Agenti e rappresentanti di altri prodotti alimentari (incluse le uova e gli alimenti per gli animali domestici); tabacco</t>
  </si>
  <si>
    <t>Agenti e rappresentanti di prodotti ittici freschi, congelati, surgelati e conservati e secchi</t>
  </si>
  <si>
    <t>Agenti e rappresentanti di bevande e prodotti similari</t>
  </si>
  <si>
    <t>Agenti e rappresentanti di oli e grassi alimentari: olio d'oliva e di semi, margarina ed altri prodotti similari</t>
  </si>
  <si>
    <t>Agenti e rappresentanti di latte, burro e formaggi</t>
  </si>
  <si>
    <t>Agenti e rappresentanti di carni fresche, congelate, surgelate, conservate e secche; salumi</t>
  </si>
  <si>
    <t>Agenti e rappresentanti di prodotti ortofrutticoli freschi, congelati e surgelati</t>
  </si>
  <si>
    <t>Intermediari del commercio di prodotti alimentari, bevande e tabacco</t>
  </si>
  <si>
    <t>Mediatori in prodotti tessili, abbigliamento, pellicce, calzature e articoli in pelle</t>
  </si>
  <si>
    <t>Procacciatori d'affari di prodotti tessili, abbigliamento, pellicce, calzature e articoli in pelle</t>
  </si>
  <si>
    <t>Agenti e rappresentanti di articoli tessili per la casa, tappeti, stuoie e materassi</t>
  </si>
  <si>
    <t>Agenti e rappresentanti di pelletteria, valige ed articoli da viaggio</t>
  </si>
  <si>
    <t>Agenti e rappresentanti di calzature ed accessori</t>
  </si>
  <si>
    <t>Agenti e rappresentanti di camicie, biancheria e maglieria intima</t>
  </si>
  <si>
    <t>Agenti e rappresentanti di tessuti per abbigliamento ed arredamento (incluse merceria e passamaneria)</t>
  </si>
  <si>
    <t>Agenti e rappresentanti di pellicce</t>
  </si>
  <si>
    <t>Agenti e rappresentanti di vestiario ed accessori di abbigliamento</t>
  </si>
  <si>
    <t>Intermediari del commercio di prodotti tessili, abbigliamento, pellicce, calzature e articoli in pelle</t>
  </si>
  <si>
    <t>Mediatori in mobili, articoli per la casa e ferramenta</t>
  </si>
  <si>
    <t>Procacciatori d'affari di mobili, articoli per la casa e ferramenta</t>
  </si>
  <si>
    <t>Agenti e rappresentanti di mobili e oggetti di arredamento per la casa in canna, vimini, giunco, sughero, paglia; scope, spazzole, cesti e simili</t>
  </si>
  <si>
    <t>Agenti e rappresentanti di vernici, carte da parati, stucchi  e cornici decorativi</t>
  </si>
  <si>
    <t>Agenti e rappresentanti di articoli casalinghi, porcellane, articoli in vetro eccetera</t>
  </si>
  <si>
    <t>Agenti e rappresentanti di articoli di ferramenta e di bricolage</t>
  </si>
  <si>
    <t>Agenti e rappresentanti di mobili in legno, metallo e materie plastiche</t>
  </si>
  <si>
    <t>Intermediari del commercio di mobili, articoli per la casa e ferramenta</t>
  </si>
  <si>
    <t>Mediatori in macchinari, impianti industriali, navi e aeromobili, macchine agricole, macchine per ufficio e computer</t>
  </si>
  <si>
    <t>Procacciatori d'affari di macchinari, impianti industriali, navi e aeromobili, macchine agricole, macchine per ufficio e computer</t>
  </si>
  <si>
    <t>Agenti e rappresentanti di navi, aeromobili e altri veicoli (esclusi autoveicoli, motocicli, ciclomotori e biciclette)</t>
  </si>
  <si>
    <t>Agenti e rappresentanti di macchine ed attrezzature per uso agricolo (inclusi i trattori)</t>
  </si>
  <si>
    <t>Agenti e rappresentanti di macchine ed attrezzature per ufficio</t>
  </si>
  <si>
    <t>Agenti e rappresentanti di macchine per costruzioni edili e stradali</t>
  </si>
  <si>
    <t>Agenti e rappresentanti di macchine, attrezzature ed impianti per l'industria ed il commercio; materiale e apparecchi elettrici ed elettronici per uso non domestico</t>
  </si>
  <si>
    <t>Intermediari del commercio di macchinari, impianti industriali, navi e aeromobili</t>
  </si>
  <si>
    <t>Mediatori in legname e materiali da costruzione</t>
  </si>
  <si>
    <t>Procacciatori d'affari di legname e materiali da costruzione</t>
  </si>
  <si>
    <t>Agenti e rappresentanti di apparecchi idraulico-sanitari, apparecchi ed accessori per riscaldamento e condizionamento e altri prodotti similari (esclusi i condizionatori per uso domestico)</t>
  </si>
  <si>
    <t>Agenti e rappresentanti di materiale da costruzione (inclusi gli infissi e gli articoli igienico-sanitari); vetro piano</t>
  </si>
  <si>
    <t>Agenti e rappresentanti di legname, semilavorati in legno e legno artificiale</t>
  </si>
  <si>
    <t>Intermediari del commercio di legname e materiali da costruzione</t>
  </si>
  <si>
    <t>Mediatori in combustibili, minerali, metalli (esclusi i metalli preziosi) e prodotti chimici</t>
  </si>
  <si>
    <t>Procacciatori d'affari di combustibili, minerali, metalli (esclusi i metalli preziosi) e prodotti chimici</t>
  </si>
  <si>
    <t>Agenti e rappresentanti di prodotti chimici per l'agricoltura (inclusi i fertilizzanti)</t>
  </si>
  <si>
    <t>Agenti e rappresentanti di prodotti chimici per l'industria</t>
  </si>
  <si>
    <t>Agenti e rappresentanti di minerali, metalli e prodotti semilavorati (esclusi i metalli preziosi)</t>
  </si>
  <si>
    <t>Agenti e rappresentanti di combustibili solidi</t>
  </si>
  <si>
    <t>Agenti e rappresentanti di carburanti, gpl, gas in bombole e simili; lubrificanti</t>
  </si>
  <si>
    <t>Intermediari del commercio di combustibili, minerali, metalli e prodotti chimici</t>
  </si>
  <si>
    <t>Mediatori in animali vivi</t>
  </si>
  <si>
    <t>Mediatori in materie prime agricole, materie prime e semilavorati tessili; pelli grezze</t>
  </si>
  <si>
    <t>Procacciatori d'affari di materie prime agricole, animali vivi, materie prime e semilavorati tessili; pelli grezze</t>
  </si>
  <si>
    <t>Agenti e rappresentanti di fibre tessili gregge e semilavorate, cuoio e pelli</t>
  </si>
  <si>
    <t>Agenti e rappresentanti di animali vivi</t>
  </si>
  <si>
    <t>Agenti e rappresentanti di fiori e piante</t>
  </si>
  <si>
    <t>Agenti e rappresentanti di materie prime agricole</t>
  </si>
  <si>
    <t>Intermediari del commercio di materie prime agricole, di animali vivi, di materie prime tessili e di semilavorati</t>
  </si>
  <si>
    <t>INTERMEDIARI DEL COMMERCIO</t>
  </si>
  <si>
    <t>COMMERCIO ALL'INGROSSO (ESCLUSO QUELLO DI AUTOVEICOLI E DI MOTOCICLI)</t>
  </si>
  <si>
    <t>Manutenzione e riparazione di motocicli e ciclomotori (inclusi i pneumatici)</t>
  </si>
  <si>
    <t>Intermediari del commercio di parti ed accessori di motocicli e ciclomotori</t>
  </si>
  <si>
    <t>Commercio all'ingrosso e al dettaglio di parti e accessori per motocicli e ciclomotori</t>
  </si>
  <si>
    <t>Intermediari del commercio di motocicli e ciclomotori</t>
  </si>
  <si>
    <t>Commercio all'ingrosso e al dettaglio di motocicli e ciclomotori</t>
  </si>
  <si>
    <t>COMMERCIO, MANUTENZIONE E RIPARAZIONE DI MOTOCICLI E RELATIVE PARTI ED ACCESSORI</t>
  </si>
  <si>
    <t>Commercio al dettaglio di parti e accessori di autoveicoli</t>
  </si>
  <si>
    <t>Intermediari del commercio di parti ed accessori di autoveicoli</t>
  </si>
  <si>
    <t>Commercio all'ingrosso di parti e accessori di autoveicoli</t>
  </si>
  <si>
    <t>COMMERCIO DI PARTI E ACCESSORI DI AUTOVEICOLI</t>
  </si>
  <si>
    <t>Altre attivitÃ  di manutenzione e di riparazione di autoveicoli</t>
  </si>
  <si>
    <t>Lavaggio auto</t>
  </si>
  <si>
    <t>Autolavaggio e altre attivitÃ  di manutenzione</t>
  </si>
  <si>
    <t>Riparazione e sostituzione di pneumatici per autoveicoli</t>
  </si>
  <si>
    <t>Riparazione di impianti elettrici e di alimentazione per autoveicoli</t>
  </si>
  <si>
    <t>Riparazione di carrozzerie di autoveicoli</t>
  </si>
  <si>
    <t>Riparazioni meccaniche di autoveicoli</t>
  </si>
  <si>
    <t>MANUTENZIONE E RIPARAZIONE DI AUTOVEICOLI</t>
  </si>
  <si>
    <t>Intermediari del commercio di altri autoveicoli (incluse le agenzie di compravendita)</t>
  </si>
  <si>
    <t>Commercio all'ingrosso e al dettaglio di altri autoveicoli</t>
  </si>
  <si>
    <t>Commercio di altri autoveicoli</t>
  </si>
  <si>
    <t>Intermediari del commercio di autovetture e di autoveicoli leggeri (incluse le agenzie di compravendita)</t>
  </si>
  <si>
    <t>Commercio all'ingrosso e al dettaglio di autovetture e di autoveicoli leggeri</t>
  </si>
  <si>
    <t>Commercio di autovetture e di autoveicoli leggeri</t>
  </si>
  <si>
    <t>COMMERCIO DI AUTOVEICOLI</t>
  </si>
  <si>
    <t>COMMERCIO ALL'INGROSSO E AL DETTAGLIO E RIPARAZIONE DI AUTOVEICOLI E MOTOCICLI</t>
  </si>
  <si>
    <t>INDUSTRIA</t>
  </si>
  <si>
    <t>INDUSTRIA MANIFATTURIERA, EDILIZIA, ALBERGHI (SOCIETA' ALBERGHIERE PROPRIETARIE DELL'IMMOBILE), PESCA</t>
  </si>
  <si>
    <t>Altre attivitÃ  di lavori specializzati di costruzione nca</t>
  </si>
  <si>
    <t>Noleggio di gru ed altre attrezzature con operatore per la costruzione o la demolizione</t>
  </si>
  <si>
    <t>Pulizia a vapore, sabbiatura e attivitÃ  simili per pareti esterne di edifici</t>
  </si>
  <si>
    <t>Altri lavori specializzati di costruzione nca</t>
  </si>
  <si>
    <t>Realizzazione di coperture</t>
  </si>
  <si>
    <t>ALTRI LAVORI SPECIALIZZATI DI COSTRUZIONE</t>
  </si>
  <si>
    <t>Altri lavori di completamento e di finitura degli edifici nca</t>
  </si>
  <si>
    <t>AttivitÃ  non specializzate di lavori edili (muratori)</t>
  </si>
  <si>
    <t>Altri lavori di completamento e di finitura degli edifici</t>
  </si>
  <si>
    <t>Tinteggiatura e posa in opera di vetri</t>
  </si>
  <si>
    <t>Rivestimento di pavimenti e di muri</t>
  </si>
  <si>
    <t>Posa in opera di infissi, arredi, controsoffitti, pareti mobili e simili</t>
  </si>
  <si>
    <t>Posa in opera di casseforti, forzieri, porte blindate</t>
  </si>
  <si>
    <t>Posa in opera di infissi</t>
  </si>
  <si>
    <t>Intonacatura</t>
  </si>
  <si>
    <t>COMPLETAMENTO E FINITURA DI EDIFICI</t>
  </si>
  <si>
    <t>Altri lavori di costruzione e installazione nca</t>
  </si>
  <si>
    <t>Lavori di isolamento termico, acustico o antivibrazioni</t>
  </si>
  <si>
    <t>Installazione, riparazione e manutenzione di ascensori e scale mobili</t>
  </si>
  <si>
    <t>Altri lavori di costruzione e installazione</t>
  </si>
  <si>
    <t>Installazione di impianti di irrigazione per giardini (inclusa manutenzione e riparazione)</t>
  </si>
  <si>
    <t>Installazione di impianti di depurazione per piscine (inclusa manutenzione e riparazione)</t>
  </si>
  <si>
    <t>Installazione di impianti di spegnimento antincendio (inclusi quelli integrati e la manutenzione e riparazione)</t>
  </si>
  <si>
    <t>Installazione di impianti per la distribuzione del gas (inclusa manutenzione e riparazione)</t>
  </si>
  <si>
    <t>Installazione di impianti idraulici, di riscaldamento e di condizionamento dell'aria (inclusa manutenzione e riparazione) in edifici o in altre opere di costruzione</t>
  </si>
  <si>
    <t>Installazione di impianti idraulici, di riscaldamento e di condizionamento dell'aria</t>
  </si>
  <si>
    <t>Installazione impianti di illuminazione stradale e dispositivi elettrici di segnalazione, illuminazione delle piste degli aeroporti (inclusa manutenzione e riparazione)</t>
  </si>
  <si>
    <t>Installazione di impianti elettronici (inclusa manutenzione e riparazione)</t>
  </si>
  <si>
    <t>Installazione di impianti elettrici in edifici o in altre opere di costruzione (inclusa manutenzione e riparazione)</t>
  </si>
  <si>
    <t>Installazione di impianti elettrici</t>
  </si>
  <si>
    <t>INSTALLAZIONE DI IMPIANTI ELETTRICI, IDRAULICI ED ALTRI LAVORI DI COSTRUZIONE E INSTALLAZIONE</t>
  </si>
  <si>
    <t>Trivellazioni e perforazioni</t>
  </si>
  <si>
    <t>Preparazione del cantiere edile</t>
  </si>
  <si>
    <t>Demolizione</t>
  </si>
  <si>
    <t>DEMOLIZIONE E PREPARAZIONE DEL CANTIERE EDILE</t>
  </si>
  <si>
    <t>LAVORI DI COSTRUZIONE SPECIALIZZATI</t>
  </si>
  <si>
    <t>Altre attivitÃ  di costruzione di altre opere di ingegneria civile nca</t>
  </si>
  <si>
    <t>Lottizzazione dei terreni connessa con l'urbanizzazione</t>
  </si>
  <si>
    <t>Costruzione di altre opere di ingegneria civile nca</t>
  </si>
  <si>
    <t>Costruzione di opere idrauliche</t>
  </si>
  <si>
    <t>COSTRUZIONE DI ALTRE OPERE DI INGEGNERIA CIVILE</t>
  </si>
  <si>
    <t>Costruzione di opere di pubblica utilitÃ  per l'energia elettrica e le telecomunicazioni</t>
  </si>
  <si>
    <t>Costruzione di opere di pubblica utilitÃ  per il trasporto di fluidi</t>
  </si>
  <si>
    <t>COSTRUZIONE DI OPERE DI PUBBLICA UTILITÃ€</t>
  </si>
  <si>
    <t>Costruzione di ponti e gallerie</t>
  </si>
  <si>
    <t>Costruzione di linee ferroviarie e metropolitane</t>
  </si>
  <si>
    <t>Costruzione di strade e autostrade</t>
  </si>
  <si>
    <t>COSTRUZIONE DI STRADE E FERROVIE</t>
  </si>
  <si>
    <t>INGEGNERIA CIVILE</t>
  </si>
  <si>
    <t>COSTRUZIONE DI EDIFICI RESIDENZIALI E NON RESIDENZIALI</t>
  </si>
  <si>
    <t>SVILUPPO DI PROGETTI IMMOBILIARI</t>
  </si>
  <si>
    <t>COSTRUZIONE DI EDIFICI</t>
  </si>
  <si>
    <t>Altre attivitÃ  di risanamento e altri servizi di gestione dei rifiuti</t>
  </si>
  <si>
    <t>AttivitÃ  di rimozione di strutture ed elementi in amianto specializzata per l'edilizia</t>
  </si>
  <si>
    <t>ATTIVITÃ€ DI RISANAMENTO E ALTRI SERVIZI DI GESTIONE DEI RIFIUTI</t>
  </si>
  <si>
    <t>Recupero e preparazione per il riciclaggio dei rifiuti solidi urbani, industriali e biomasse</t>
  </si>
  <si>
    <t>Recupero e preparazione per il riciclaggio di materiale plastico per produzione di materie prime plastiche, resine sintetiche</t>
  </si>
  <si>
    <t>Recupero e preparazione per il riciclaggio di cascami e rottami metallici</t>
  </si>
  <si>
    <t>Recupero e cernita di materiali</t>
  </si>
  <si>
    <t>Cantieri di demolizione navali</t>
  </si>
  <si>
    <t>Demolizione di carcasse</t>
  </si>
  <si>
    <t>RECUPERO DEI MATERIALI</t>
  </si>
  <si>
    <t>Trattamento e smaltimento di rifiuti pericolosi</t>
  </si>
  <si>
    <t>Trattamento e smaltimento di altri rifiuti non pericolosi</t>
  </si>
  <si>
    <t>Produzione di compost</t>
  </si>
  <si>
    <t>Trattamento e smaltimento di rifiuti non pericolosi</t>
  </si>
  <si>
    <t>TRATTAMENTO E SMALTIMENTO DEI RIFIUTI</t>
  </si>
  <si>
    <t>Raccolta di rifiuti pericolosi</t>
  </si>
  <si>
    <t>Raccolta di rifiuti non pericolosi</t>
  </si>
  <si>
    <t>RACCOLTA DEI RIFIUTI</t>
  </si>
  <si>
    <t>ATTIVITÃ€ DI RACCOLTA, TRATTAMENTO E SMALTIMENTO DEI RIFIUTI; RECUPERO DEI MATERIALI</t>
  </si>
  <si>
    <t>GESTIONE DELLE RETI FOGNARIE</t>
  </si>
  <si>
    <t>RACCOLTA, TRATTAMENTO E FORNITURA DI ACQUA</t>
  </si>
  <si>
    <t>FORNITURA DI VAPORE E ARIA CONDIZIONATA</t>
  </si>
  <si>
    <t>Commercio di gas distribuito mediante condotte</t>
  </si>
  <si>
    <t>Distribuzione di combustibili gassosi mediante condotte</t>
  </si>
  <si>
    <t>Produzione di gas</t>
  </si>
  <si>
    <t>PRODUZIONE DI GAS; DISTRIBUZIONE DI COMBUSTIBILI GASSOSI MEDIANTE CONDOTTE</t>
  </si>
  <si>
    <t>Commercio di energia elettrica</t>
  </si>
  <si>
    <t>Distribuzione di energia elettrica</t>
  </si>
  <si>
    <t>Trasmissione di energia elettrica</t>
  </si>
  <si>
    <t>Produzione di energia elettrica</t>
  </si>
  <si>
    <t>PRODUZIONE, TRASMISSIONE E DISTRIBUZIONE DI ENERGIA ELETTRICA</t>
  </si>
  <si>
    <t>FORNITURA DI ENERGIA ELETTRICA, GAS, VAPORE E ARIA CONDIZIONATA</t>
  </si>
  <si>
    <t>Installazione di altre macchine ed apparecchiature industriali</t>
  </si>
  <si>
    <t>Installazione di apparecchi elettromedicali</t>
  </si>
  <si>
    <t>Installazione di apparecchi medicali per diagnosi, di apparecchi e strumenti per odontoiatria</t>
  </si>
  <si>
    <t>Installazione di macchine per ufficio, di mainframe e computer simili</t>
  </si>
  <si>
    <t>Installazione di generatori di vapore (escluse le caldaie per il riscaldamento centrale ad acqua calda)</t>
  </si>
  <si>
    <t>Installazione di cisterne, serbatoi e contenitori in metallo</t>
  </si>
  <si>
    <t>Installazione di strumenti ed apparecchi di misurazione, controllo, prova, navigazione e simili (incluse le apparecchiature di controllo dei processi industriali)</t>
  </si>
  <si>
    <t>Installazione di apparecchi elettrici ed elettronici per telecomunicazioni, di apparecchi trasmittenti radiotelevisivi, di impianti di apparecchiature elettriche ed elettroniche (esclusa l'installazione all'interno degli edifici)</t>
  </si>
  <si>
    <t>Installazione di motori, generatori e trasformatori elettrici; di apparecchiature per la distribuzione e il controllo dell'elettricitÃ  (esclusa l'installazione all'interno degli edifici)</t>
  </si>
  <si>
    <t>INSTALLAZIONE DI MACCHINE ED APPARECCHIATURE INDUSTRIALI</t>
  </si>
  <si>
    <t>Riparazione di altre apparecchiature nca</t>
  </si>
  <si>
    <t>Riparazioni di altri prodotti in legno nca</t>
  </si>
  <si>
    <t>Riparazione di articoli in vetro</t>
  </si>
  <si>
    <t>Riparazione di prodotti in gomma</t>
  </si>
  <si>
    <t>Riparazioni di pallets e contenitori in legno per trasporto</t>
  </si>
  <si>
    <t>Riparazione di altre apparecchiature</t>
  </si>
  <si>
    <t>Riparazione e manutenzione di locomotive e di materiale rotabile ferro-tranviario (esclusi i loro motori)</t>
  </si>
  <si>
    <t>Riparazione e manutenzione di aeromobili e di veicoli spaziali</t>
  </si>
  <si>
    <t>Riparazione e manutenzione di navi e imbarcazioni (esclusi i loro motori)</t>
  </si>
  <si>
    <t>Riparazione e manutenzione di altre apparecchiature elettriche (esclusi gli elettrodomestici)</t>
  </si>
  <si>
    <t>Riparazione e manutenzione di attrezzature elettriche professionali</t>
  </si>
  <si>
    <t>Riparazione e manutenzione di apparecchiature elettriche</t>
  </si>
  <si>
    <t>Riparazione e manutenzione di altre apparecchiature elettroniche (escluse quelle per le telecomunicazioni ed i computer)</t>
  </si>
  <si>
    <t>Riparazione di apparati di distillazione per laboratori, di centrifughe per laboratori e di macchinari per pulizia ad ultrasuoni per laboratori</t>
  </si>
  <si>
    <t>Riparazione e manutenzione di apparecchi medicali per diagnosi, di materiale medico chirurgico e veterinario, di apparecchi e strumenti per odontoiatria</t>
  </si>
  <si>
    <t>Riparazione e manutenzione di apparecchiature ottiche e fotocinematografiche (escluse macchine fotografiche e videocamere)</t>
  </si>
  <si>
    <t>Riparazione e manutenzione di apparecchiature elettroniche ed ottiche</t>
  </si>
  <si>
    <t>Riparazione e manutenzione di altre macchine per impieghi speciali nca (incluse le macchine utensili)</t>
  </si>
  <si>
    <t>Riparazione e manutenzione di parti intercambiabili per macchine utensili</t>
  </si>
  <si>
    <t>Riparazione e manutenzione di altre macchine per impieghi speciali (incluse le macchine utensili)</t>
  </si>
  <si>
    <t>Riparazione e manutenzione di altre macchine per l'agricoltura, la silvicoltura e la zootecnia</t>
  </si>
  <si>
    <t>Riparazione e manutenzione di trattori agricoli</t>
  </si>
  <si>
    <t>Riparazione e manutenzione di altre macchine di impiego generale nca</t>
  </si>
  <si>
    <t>Riparazione e manutenzione di estintori (inclusa la ricarica)</t>
  </si>
  <si>
    <t>Riparazione e manutenzione di macchine per la dosatura, la confezione e l'imballaggio</t>
  </si>
  <si>
    <t>Riparazione e manutenzione di macchine per le industrie chimiche, petrolchimiche e petrolifere</t>
  </si>
  <si>
    <t>Riparazione e manutenzione di bilance e macchine automatiche per la vendita e la distribuzione</t>
  </si>
  <si>
    <t>Riparazione e manutenzione di macchine ed attrezzature per ufficio (esclusi computer, periferiche, fax)</t>
  </si>
  <si>
    <t>Riparazione e manutenzione di altre macchine di impiego generale</t>
  </si>
  <si>
    <t>Riparazione e manutenzione di attrezzature di uso non domestico per la refrigerazione e la ventilazione</t>
  </si>
  <si>
    <t>Riparazione e manutenzione di macchine e apparecchi di sollevamento e movimentazione (esclusi ascensori)</t>
  </si>
  <si>
    <t>Riparazione e manutenzione di forni, fornaci e bruciatori</t>
  </si>
  <si>
    <t>Riparazione e manutenzione di macchine di impiego generale</t>
  </si>
  <si>
    <t>Riparazione e manutenzione di macchinari</t>
  </si>
  <si>
    <t>Riparazione e manutenzione di altri prodotti in metallo</t>
  </si>
  <si>
    <t>Riparazione e manutenzione di carrelli per la spesa</t>
  </si>
  <si>
    <t>Riparazione e manutenzione di container</t>
  </si>
  <si>
    <t>Riparazione e manutenzione di armi bianche</t>
  </si>
  <si>
    <t>Riparazione e manutenzione di casseforti, forzieri, porte metalliche blindate</t>
  </si>
  <si>
    <t>Riparazione e manutenzione di armi, sistemi d'arma e munizioni</t>
  </si>
  <si>
    <t>Riparazione e manutenzione di utensileria ad azionamento manuale</t>
  </si>
  <si>
    <t>Riparazione e manutenzione di stampi, portastampi, sagome, forme per macchine</t>
  </si>
  <si>
    <t>Riparazione e manutenzione di prodotti in metallo</t>
  </si>
  <si>
    <t>RIPARAZIONE E MANUTENZIONE DI PRODOTTI IN METALLO, MACCHINE ED APPARECCHIATURE</t>
  </si>
  <si>
    <t>RIPARAZIONE, MANUTENZIONE ED INSTALLAZIONE DI MACCHINE ED APPARECCHIATURE</t>
  </si>
  <si>
    <t>Fabbricazione di altri articoli nca</t>
  </si>
  <si>
    <t>Fabbricazione di casse funebri</t>
  </si>
  <si>
    <t>Fabbricazione di oggetti di cancelleria</t>
  </si>
  <si>
    <t>Fabbricazione di ombrelli, bottoni, chiusure lampo, parrucche e affini</t>
  </si>
  <si>
    <t>Fabbricazione di altre attrezzature ed altri articoli di vestiario protettivi di sicurezza</t>
  </si>
  <si>
    <t>Fabbricazione di dispositivi per la respirazione artificiale (maschere a gas)</t>
  </si>
  <si>
    <t>Fabbricazione di articoli in metallo per la sicurezza personale</t>
  </si>
  <si>
    <t>Fabbricazione di articoli in plastica per la sicurezza personale</t>
  </si>
  <si>
    <t>Fabbricazione di articoli di vestiario ignifughi e protettivi di sicurezza</t>
  </si>
  <si>
    <t>Fabbricazione di attrezzature ed articoli di vestiario protettivi di sicurezza</t>
  </si>
  <si>
    <t>Altre industrie manifatturiere nca</t>
  </si>
  <si>
    <t>Fabbricazione di scope e spazzole</t>
  </si>
  <si>
    <t>INDUSTRIE MANIFATTURIERE NCA</t>
  </si>
  <si>
    <t>Fabbricazione di armature per occhiali di qualsiasi tipo; montatura in serie di occhiali comuni</t>
  </si>
  <si>
    <t>Fabbricazione di lenti oftalmiche</t>
  </si>
  <si>
    <t>Fabbricazione di protesi ortopediche, altre protesi ed ausili (inclusa riparazione)</t>
  </si>
  <si>
    <t>Fabbricazione di protesi dentarie (inclusa riparazione)</t>
  </si>
  <si>
    <t>Fabbricazione di centrifughe per laboratori</t>
  </si>
  <si>
    <t>Fabbricazione di mobili per uso medico, chirurgico, odontoiatrico e veterinario</t>
  </si>
  <si>
    <t>Fabbricazione di apparecchi e strumenti per odontoiatria e di apparecchi medicali per diagnosi (incluse parti staccate e accessori)</t>
  </si>
  <si>
    <t>Fabbricazione di materiale medico-chirurgico e veterinario</t>
  </si>
  <si>
    <t>Fabbricazione di mobili per uso medico, apparecchi medicali per diagnosi, di materiale medico-chirurgico e veterinario, di apparecchi e strumenti per odontoiatria (incluse parti staccate e accessori)</t>
  </si>
  <si>
    <t>FABBRICAZIONE DI STRUMENTI E FORNITURE MEDICHE E DENTISTICHE</t>
  </si>
  <si>
    <t>Fabbricazione di giocattoli (inclusi i tricicli e gli strumenti musicali giocattolo)</t>
  </si>
  <si>
    <t>Fabbricazione di giochi (inclusi i giochi elettronici)</t>
  </si>
  <si>
    <t>FABBRICAZIONE DI GIOCHI E GIOCATTOLI</t>
  </si>
  <si>
    <t>FABBRICAZIONE DI ARTICOLI SPORTIVI</t>
  </si>
  <si>
    <t>FABBRICAZIONE DI STRUMENTI MUSICALI</t>
  </si>
  <si>
    <t>Fabbricazione di bigiotteria e articoli simili nca</t>
  </si>
  <si>
    <t>Fabbricazione di cinturini metallici per orologi (esclusi quelli in metalli preziosi)</t>
  </si>
  <si>
    <t>Fabbricazione di bigiotteria e articoli simili</t>
  </si>
  <si>
    <t>Lavorazione di pietre preziose e semipreziose per gioielleria e per uso industriale</t>
  </si>
  <si>
    <t>Fabbricazione di oggetti di gioielleria ed oreficeria in metalli preziosi o rivestiti di metalli preziosi</t>
  </si>
  <si>
    <t>Fabbricazione di oggetti di gioielleria e oreficeria e articoli connessi</t>
  </si>
  <si>
    <t>Coniazione di monete</t>
  </si>
  <si>
    <t>FABBRICAZIONE DI GIOIELLERIA, BIGIOTTERIA E ARTICOLI CONNESSI; LAVORAZIONE DELLE PIETRE PREZIOSE</t>
  </si>
  <si>
    <t>ALTRE INDUSTRIE MANIFATTURIERE</t>
  </si>
  <si>
    <t>Fabbricazione di altri mobili (inclusi quelli per arredo esterno)</t>
  </si>
  <si>
    <t>Finitura di mobili</t>
  </si>
  <si>
    <t>Fabbricazione di parti e accessori di mobili</t>
  </si>
  <si>
    <t>Fabbricazione di poltrone e divani</t>
  </si>
  <si>
    <t>Fabbricazione di sedie e sedili (esclusi quelli per aeromobili, autoveicoli, navi, treni, ufficio e negozi)</t>
  </si>
  <si>
    <t>Fabbricazione di mobili per arredo domestico</t>
  </si>
  <si>
    <t>Fabbricazione di altri mobili</t>
  </si>
  <si>
    <t>Fabbricazione di materassi</t>
  </si>
  <si>
    <t>Fabbricazione di mobili per cucina</t>
  </si>
  <si>
    <t>Fabbricazione di altri mobili non metallici per ufficio e negozi</t>
  </si>
  <si>
    <t>Fabbricazione di altri mobili metallici per ufficio e negozi</t>
  </si>
  <si>
    <t>Fabbricazione di altri mobili per ufficio e negozi</t>
  </si>
  <si>
    <t>Fabbricazione di sedie e poltrone per ufficio e negozi</t>
  </si>
  <si>
    <t>Fabbricazione di mobili per ufficio e negozi</t>
  </si>
  <si>
    <t>FABBRICAZIONE DI MOBILI</t>
  </si>
  <si>
    <t>Fabbricazione di altri mezzi di trasporto nca</t>
  </si>
  <si>
    <t>Fabbricazione di carrozzine e passeggini per neonati</t>
  </si>
  <si>
    <t>Fabbricazione di veicoli per invalidi (incluse parti e accessori)</t>
  </si>
  <si>
    <t>Fabbricazione di parti ed accessori per biciclette</t>
  </si>
  <si>
    <t>Fabbricazione e montaggio di biciclette (incluse parti e accessori)</t>
  </si>
  <si>
    <t>Fabbricazione di biciclette e veicoli per invalidi</t>
  </si>
  <si>
    <t>Fabbricazione di accessori e pezzi staccati per motocicli e ciclomotori</t>
  </si>
  <si>
    <t>Fabbricazione di motocicli</t>
  </si>
  <si>
    <t>Fabbricazione di motori per motocicli</t>
  </si>
  <si>
    <t>Fabbricazione di motocicli e motoveicoli (inclusi i motori)</t>
  </si>
  <si>
    <t>Fabbricazione di motocicli (inclusi i motori)</t>
  </si>
  <si>
    <t>FABBRICAZIONE DI MEZZI DI TRASPORTO NCA</t>
  </si>
  <si>
    <t>FABBRICAZIONE DI VEICOLI MILITARI DA COMBATTIMENTO</t>
  </si>
  <si>
    <t>Fabbricazione di aeromobili, di veicoli spaziali e dei relativi dispositivi nca</t>
  </si>
  <si>
    <t>Fabbricazione di missili balistici</t>
  </si>
  <si>
    <t>Fabbricazione di sedili per aeromobili</t>
  </si>
  <si>
    <t>FABBRICAZIONE DI AEROMOBILI, DI VEICOLI SPAZIALI E DEI RELATIVI DISPOSITIVI</t>
  </si>
  <si>
    <t>Costruzione di altro materiale rotabile ferroviario, tranviario, filoviario, per metropolitane e per miniere</t>
  </si>
  <si>
    <t>Fabbricazione di sedili per tram, filovie e metropolitane</t>
  </si>
  <si>
    <t>COSTRUZIONE DI LOCOMOTIVE E DI MATERIALE ROTABILE FERRO-TRANVIARIO</t>
  </si>
  <si>
    <t>Costruzione di imbarcazioni da diporto e sportive</t>
  </si>
  <si>
    <t>Cantieri navali per costruzioni metalliche e non metalliche (esclusi i sedili per navi)</t>
  </si>
  <si>
    <t>Fabbricazione di sedili per navi</t>
  </si>
  <si>
    <t>Costruzione di navi e di strutture galleggianti</t>
  </si>
  <si>
    <t>COSTRUZIONE DI NAVI E IMBARCAZIONI</t>
  </si>
  <si>
    <t>FABBRICAZIONE DI ALTRI MEZZI DI TRASPORTO</t>
  </si>
  <si>
    <t>Fabbricazione di altre parti ed accessori per autoveicoli e loro motori nca</t>
  </si>
  <si>
    <t>Fabbricazione di sedili per autoveicoli</t>
  </si>
  <si>
    <t>Fabbricazione di altre parti ed accessori per autoveicoli e loro motori</t>
  </si>
  <si>
    <t>Fabbricazione di apparecchiature elettriche ed elettroniche per autoveicoli e loro motori</t>
  </si>
  <si>
    <t>FABBRICAZIONE DI PARTI ED ACCESSORI PER AUTOVEICOLI E LORO MOTORI</t>
  </si>
  <si>
    <t>FABBRICAZIONE DI CARROZZERIE PER AUTOVEICOLI, RIMORCHI E SEMIRIMORCHI</t>
  </si>
  <si>
    <t>FABBRICAZIONE DI AUTOVEICOLI</t>
  </si>
  <si>
    <t>FABBRICAZIONE DI AUTOVEICOLI, RIMORCHI E SEMIRIMORCHI</t>
  </si>
  <si>
    <t>Fabbricazione di altre macchine per impieghi speciali nca (incluse parti e accessori)</t>
  </si>
  <si>
    <t>Fabbricazione di apparecchiature per l'allineamento e il bilanciamento delle ruote; altre apparecchiature per il bilanciamento</t>
  </si>
  <si>
    <t>Fabbricazione di giostre, altalene ed altre attrezzature per parchi di divertimento</t>
  </si>
  <si>
    <t>Fabbricazione di apparecchiature per il lancio di aeromobili, catapulte per portaerei e apparecchiature simili</t>
  </si>
  <si>
    <t>Fabbricazione di apparecchi per istituti di bellezza e centri di benessere</t>
  </si>
  <si>
    <t>Fabbricazione di robot industriali per usi molteplici (incluse parti e accessori)</t>
  </si>
  <si>
    <t>Fabbricazione di macchine per la stampa e la legatoria (incluse parti e accessori)</t>
  </si>
  <si>
    <t>Fabbricazione di macchine per l'industria delle materie plastiche e della gomma (incluse parti e accessori)</t>
  </si>
  <si>
    <t>Fabbricazione di macchine per l'industria della carta e del cartone (incluse parti e accessori)</t>
  </si>
  <si>
    <t>Fabbricazione di apparecchiature e di macchine per lavanderie e stirerie (incluse parti e accessori)</t>
  </si>
  <si>
    <t>Fabbricazione di macchine e apparecchi per l'industria delle pelli, del cuoio e delle calzature (incluse parti e accessori)</t>
  </si>
  <si>
    <t>Fabbricazione di macchine tessili, di macchine e di impianti per il trattamento ausiliario dei tessili, di macchine per cucire e per maglieria (incluse parti e accessori)</t>
  </si>
  <si>
    <t>Fabbricazione di macchine per le industrie tessili, dell'abbigliamento e del cuoio (incluse parti e accessori)</t>
  </si>
  <si>
    <t>Fabbricazione di macchine per l'industria alimentare, delle bevande e del tabacco</t>
  </si>
  <si>
    <t>Fabbricazione di altre macchine da miniera, cava e cantiere (incluse parti e accessori)</t>
  </si>
  <si>
    <t>Fabbricazione di macchine per il trasporto a cassone ribaltabile per impiego specifico in miniere, cave e cantieri</t>
  </si>
  <si>
    <t>Fabbricazione di macchine da miniera, cava e cantiere</t>
  </si>
  <si>
    <t>Fabbricazione di macchine per la metallurgia</t>
  </si>
  <si>
    <t>FABBRICAZIONE DI ALTRE MACCHINE PER IMPIEGHI SPECIALI</t>
  </si>
  <si>
    <t>Fabbricazione di altre macchine utensili (incluse parti e accessori) nca</t>
  </si>
  <si>
    <t>Fabbricazione di macchine per la galvanostegia</t>
  </si>
  <si>
    <t>Fabbricazione di altre macchine utensili</t>
  </si>
  <si>
    <t>Fabbricazione di macchine utensili per la formatura dei metalli</t>
  </si>
  <si>
    <t>FABBRICAZIONE DI MACCHINE PER LA FORMATURA DEI METALLI E DI ALTRE MACCHINE UTENSILI</t>
  </si>
  <si>
    <t>Fabbricazione di altre macchine per l'agricoltura, la silvicoltura e la zootecnia</t>
  </si>
  <si>
    <t>Fabbricazione di trattori agricoli</t>
  </si>
  <si>
    <t>FABBRICAZIONE DI MACCHINE PER L'AGRICOLTURA E LA SILVICOLTURA</t>
  </si>
  <si>
    <t>Fabbricazione di altro materiale meccanico e di altre macchine di impiego generale nca</t>
  </si>
  <si>
    <t>Fabbricazione di livelle, metri doppi a nastro e utensili simili, strumenti di precisione per meccanica (esclusi quelli ottici)</t>
  </si>
  <si>
    <t>Fabbricazione di macchine per la pulizia (incluse le lavastoviglie) per uso non domestico</t>
  </si>
  <si>
    <t>Fabbricazione di apparecchi per depurare e filtrare liquidi e gas per uso non domestico</t>
  </si>
  <si>
    <t>Fabbricazione di macchine di impiego generale ed altro materiale meccanico nca</t>
  </si>
  <si>
    <t>Fabbricazione di macchine automatiche per la dosatura, la confezione e per l'imballaggio (incluse parti e accessori)</t>
  </si>
  <si>
    <t>Fabbricazione di macchine e apparecchi per le industrie chimiche, petrolchimiche e petrolifere (incluse parti e accessori)</t>
  </si>
  <si>
    <t>Fabbricazione di bilance e di macchine automatiche per la vendita e la distribuzione (incluse parti staccate e accessori)</t>
  </si>
  <si>
    <t>Fabbricazione di altre macchine di impiego generale nca</t>
  </si>
  <si>
    <t>Fabbricazione di attrezzature di uso non domestico per la refrigerazione e la ventilazione</t>
  </si>
  <si>
    <t>Fabbricazione di utensili portatili a motore</t>
  </si>
  <si>
    <t>Fabbricazione di macchine ed altre attrezzature per ufficio (esclusi computer e periferiche)</t>
  </si>
  <si>
    <t>Fabbricazione di cartucce toner</t>
  </si>
  <si>
    <t>Fabbricazione di macchine ed attrezzature per ufficio (esclusi computer e unitÃ  periferiche)</t>
  </si>
  <si>
    <t>Fabbricazione di altre macchine e apparecchi di sollevamento e movimentazione</t>
  </si>
  <si>
    <t>Fabbricazione di carriole</t>
  </si>
  <si>
    <t>Fabbricazione di gru, argani, verricelli a mano e a motore, carrelli trasbordatori, carrelli elevatori e piattaforme girevoli</t>
  </si>
  <si>
    <t>Fabbricazione di ascensori, montacarichi e scale mobili</t>
  </si>
  <si>
    <t>Fabbricazione di macchine e apparecchi di sollevamento e movimentazione</t>
  </si>
  <si>
    <t>Fabbricazione di altre caldaie per riscaldamento</t>
  </si>
  <si>
    <t>Fabbricazione di caldaie per riscaldamento centrale</t>
  </si>
  <si>
    <t>Fabbricazione di caldaie per riscaldamento</t>
  </si>
  <si>
    <t>Fabbricazione di forni, fornaci e bruciatori</t>
  </si>
  <si>
    <t>Fabbricazione di forni, bruciatori e sistemi di riscaldamento</t>
  </si>
  <si>
    <t>FABBRICAZIONE DI ALTRE MACCHINE DI IMPIEGO GENERALE</t>
  </si>
  <si>
    <t>Fabbricazione di cuscinetti a sfere</t>
  </si>
  <si>
    <t>Fabbricazione di organi di trasmissione (esclusi quelli idraulici e quelli per autoveicoli, aeromobili e motocicli)</t>
  </si>
  <si>
    <t>Fabbricazione di cuscinetti, ingranaggi e organi di trasmissione (esclusi quelli idraulici)</t>
  </si>
  <si>
    <t>Fabbricazione di altri rubinetti e valvole</t>
  </si>
  <si>
    <t>Fabbricazione di altre pompe e compressori</t>
  </si>
  <si>
    <t>Fabbricazione di apparecchiature fluidodinamiche</t>
  </si>
  <si>
    <t>Fabbricazione di turbine e turboalternatori (incluse parti e accessori)</t>
  </si>
  <si>
    <t>Fabbricazione di pistoni, fasce elastiche, carburatori e parti simili di motori a combustione interna</t>
  </si>
  <si>
    <t>Fabbricazione di motori a combustione interna (esclusi i motori destinati ai mezzi di trasporto su strada e ad aeromobili)</t>
  </si>
  <si>
    <t>Fabbricazione di motori a combustione interna (incluse parti e accessori ed esclusi i motori destinati ai mezzi di trasporto su strada e ad aeromobili)</t>
  </si>
  <si>
    <t>Fabbricazione di motori e turbine (esclusi i motori per aeromobili, veicoli e motocicli)</t>
  </si>
  <si>
    <t>FABBRICAZIONE DI MACCHINE DI IMPIEGO GENERALE</t>
  </si>
  <si>
    <t>FABBRICAZIONE DI MACCHINARI ED APPARECCHIATURE NCA</t>
  </si>
  <si>
    <t>Fabbricazione di altre apparecchiature elettriche nca</t>
  </si>
  <si>
    <t>Fabbricazione di capacitatori elettrici, resistenze, condensatori e simili, acceleratori</t>
  </si>
  <si>
    <t>Fabbricazione di insegne luminose e apparecchiature elettriche di segnalazione</t>
  </si>
  <si>
    <t>Fabbricazione di apparecchiature elettriche per saldature e brasature</t>
  </si>
  <si>
    <t>FABBRICAZIONE DI ALTRE APPARECCHIATURE ELETTRICHE</t>
  </si>
  <si>
    <t>Fabbricazione di apparecchi per uso domestico non elettrici</t>
  </si>
  <si>
    <t>Fabbricazione di elettrodomestici</t>
  </si>
  <si>
    <t>FABBRICAZIONE DI APPARECCHI PER USO DOMESTICO</t>
  </si>
  <si>
    <t>Fabbricazione di altre apparecchiature per illuminazione</t>
  </si>
  <si>
    <t>Fabbricazione di apparecchiature di illuminazione e segnalazione per mezzi di trasporto</t>
  </si>
  <si>
    <t>FABBRICAZIONE DI APPARECCHIATURE PER ILLUMINAZIONE</t>
  </si>
  <si>
    <t>Fabbricazione di altre attrezzature per cablaggio</t>
  </si>
  <si>
    <t>Fabbricazione di apparecchiature in plastica non conduttiva</t>
  </si>
  <si>
    <t>Fabbricazione di attrezzature per cablaggio</t>
  </si>
  <si>
    <t>Fabbricazione di altri fili e cavi elettrici ed elettronici</t>
  </si>
  <si>
    <t>Fabbricazione di fibre ottiche</t>
  </si>
  <si>
    <t>Fabbricazione di cavi a fibra ottica per la trasmissione di dati o di immagini</t>
  </si>
  <si>
    <t>Fabbricazione di cavi a fibra ottica</t>
  </si>
  <si>
    <t>FABBRICAZIONE DI CABLAGGI E APPARECCHIATURE DI CABLAGGIO</t>
  </si>
  <si>
    <t>FABBRICAZIONE DI BATTERIE DI PILE ED ACCUMULATORI ELETTRICI</t>
  </si>
  <si>
    <t>Fabbricazione di apparecchiature per le reti di distribuzione e il controllo dell'elettricitÃ </t>
  </si>
  <si>
    <t>Fabbricazione di motori, generatori e trasformatori elettrici</t>
  </si>
  <si>
    <t>FABBRICAZIONE DI MOTORI, GENERATORI E TRASFORMATORI ELETTRICI E DI APPARECCHIATURE PER LA DISTRIBUZIONE E IL CONTROLLO DELL'ELETTRICITÃ€</t>
  </si>
  <si>
    <t>FABBRICAZIONE DI APPARECCHIATURE ELETTRICHE ED APPARECCHIATURE PER USO DOMESTICO NON ELETTRICHE</t>
  </si>
  <si>
    <t>FABBRICAZIONE DI SUPPORTI MAGNETICI ED OTTICI</t>
  </si>
  <si>
    <t>Fabbricazione di apparecchiature fotografiche e cinematografiche</t>
  </si>
  <si>
    <t>Fabbricazione di attrezzature ottiche di misurazione e controllo</t>
  </si>
  <si>
    <t>Fabbricazione di elementi ottici e strumenti ottici di precisione</t>
  </si>
  <si>
    <t>Fabbricazione di elementi ottici e strumenti ottici di misura, controllo e precisione</t>
  </si>
  <si>
    <t>FABBRICAZIONE DI STRUMENTI OTTICI E ATTREZZATURE FOTOGRAFICHE</t>
  </si>
  <si>
    <t>Fabbricazione di altri strumenti per irradiazione ed altre apparecchiature elettroterapeutiche</t>
  </si>
  <si>
    <t>Fabbricazione di apparecchi elettromedicali (incluse parti staccate e accessori)</t>
  </si>
  <si>
    <t>Fabbricazione di apparecchiature di irradiazione per alimenti e latte</t>
  </si>
  <si>
    <t>FABBRICAZIONE DI STRUMENTI PER IRRADIAZIONE, APPARECCHIATURE ELETTROMEDICALI ED ELETTROTERAPEUTICHE</t>
  </si>
  <si>
    <t>Fabbricazione di orologi</t>
  </si>
  <si>
    <t>Fabbricazione di altri apparecchi di misura e regolazione, di contatori di elettricitÃ , gas, acqua ed altri liquidi, di bilance analitiche di precisione (incluse parti staccate ed accessori)</t>
  </si>
  <si>
    <t>Fabbricazione di rilevatori di fiamma e combustione, di mine, di movimento, generatori d'impulso e metal detector</t>
  </si>
  <si>
    <t>Fabbricazione di contatori di elettricitÃ , gas, acqua ed altri liquidi, di bilance analitiche di precisione, di apparecchi di misura e regolazione (incluse parti staccate e accessori)</t>
  </si>
  <si>
    <t>Fabbricazione di strumenti per navigazione, idrologia, geofisica e meteorologia</t>
  </si>
  <si>
    <t>Fabbricazione di strumenti e apparecchi di misurazione, prova e navigazione (esclusi quelli ottici)</t>
  </si>
  <si>
    <t>FABBRICAZIONE DI STRUMENTI E APPARECCHI DI MISURAZIONE, PROVA E NAVIGAZIONE; OROLOGI</t>
  </si>
  <si>
    <t>Fabbricazione di console per videogiochi (esclusi i giochi elettronici)</t>
  </si>
  <si>
    <t>Fabbricazione di apparecchi per la riproduzione e registrazione del suono e delle immagini</t>
  </si>
  <si>
    <t>FABBRICAZIONE DI PRODOTTI DI ELETTRONICA DI CONSUMO AUDIO E VIDEO</t>
  </si>
  <si>
    <t>Fabbricazione di altri apparecchi elettrici ed elettronici per telecomunicazioni</t>
  </si>
  <si>
    <t>Fabbricazione di sistemi antifurto e antincendio</t>
  </si>
  <si>
    <t>Fabbricazione di apparecchi elettrici ed elettronici per telecomunicazioni</t>
  </si>
  <si>
    <t>Fabbricazione di apparecchi trasmittenti radiotelevisivi (incluse le telecamere)</t>
  </si>
  <si>
    <t>FABBRICAZIONE DI APPARECCHIATURE PER LE TELECOMUNICAZIONI</t>
  </si>
  <si>
    <t>FABBRICAZIONE DI COMPUTER E UNITÃ€ PERIFERICHE</t>
  </si>
  <si>
    <t>Fabbricazione di schede elettroniche assemblate</t>
  </si>
  <si>
    <t>Fabbricazione di altri componenti elettronici</t>
  </si>
  <si>
    <t>Fabbricazione di diodi, transistor e relativi congegni elettronici</t>
  </si>
  <si>
    <t>Fabbricazione di  componenti elettronici</t>
  </si>
  <si>
    <t>FABBRICAZIONE DI COMPONENTI ELETTRONICI E SCHEDE ELETTRONICHE</t>
  </si>
  <si>
    <t>FABBRICAZIONE DI COMPUTER E PRODOTTI DI ELETTRONICA  E OTTICA; APPARECCHI ELETTROMEDICALI, APPARECCHI DI MISURAZIONE E DI OROLOGI</t>
  </si>
  <si>
    <t>Fabbricazione di altri articoli metallici e minuteria metallica nca</t>
  </si>
  <si>
    <t>Fabbricazione di magneti metallici permanenti</t>
  </si>
  <si>
    <t>Fabbricazione di altri articoli metallici e minuteria metallica</t>
  </si>
  <si>
    <t>Fabbricazione di oggetti in ferro, in rame ed altri metalli</t>
  </si>
  <si>
    <t>Fabbricazione di casseforti, forzieri, porte metalliche blindate</t>
  </si>
  <si>
    <t>Fabbricazione di stoviglie, pentolame, vasellame, attrezzi da cucina e altri accessori casalinghi non elettrici, articoli metallici per l'arredamento di stanze da bagno</t>
  </si>
  <si>
    <t>Fabbricazione di caraffe e bottiglie isolate in metallo</t>
  </si>
  <si>
    <t>Fabbricazione di stoviglie, pentolame, vasellame, attrezzi da cucina e accessori casalinghi non elettrici, articoli metallici per l'arredamento di stanze da bagno</t>
  </si>
  <si>
    <t>Fabbricazione di altri prodotti in metallo nca</t>
  </si>
  <si>
    <t>Fabbricazione di articoli di bulloneria</t>
  </si>
  <si>
    <t>Fabbricazione di catene fucinate senza saldatura e stampate</t>
  </si>
  <si>
    <t>Fabbricazione di molle</t>
  </si>
  <si>
    <t>Fabbricazione di prodotti fabbricati con fili metallici</t>
  </si>
  <si>
    <t>Fabbricazione di prodotti fabbricati con fili metallici, catene e molle</t>
  </si>
  <si>
    <t>Fabbricazione di imballaggi leggeri in metallo</t>
  </si>
  <si>
    <t>Fabbricazione di bidoni in acciaio e di contenitori analoghi</t>
  </si>
  <si>
    <t>FABBRICAZIONE DI ALTRI PRODOTTI IN METALLO</t>
  </si>
  <si>
    <t>Fabbricazione di stampi, portastampi, sagome, forme per macchine</t>
  </si>
  <si>
    <t>Fabbricazione di parti intercambiabili per macchine utensili</t>
  </si>
  <si>
    <t>Fabbricazione di utensileria ad azionamento manuale</t>
  </si>
  <si>
    <t>Fabbricazione di utensileria ad azionamento manuale; parti intercambiabili per macchine utensili</t>
  </si>
  <si>
    <t>Fabbricazione di utensileria</t>
  </si>
  <si>
    <t>Fabbricazione di serrature e cerniere</t>
  </si>
  <si>
    <t>Fabbricazione di articoli di coltelleria e posateria</t>
  </si>
  <si>
    <t>FABBRICAZIONE DI ARTICOLI DI COLTELLERIA, UTENSILI E OGGETTI DI FERRAMENTA</t>
  </si>
  <si>
    <t>Lavori di meccanica generale</t>
  </si>
  <si>
    <t>Trattamento e rivestimento dei metalli</t>
  </si>
  <si>
    <t>TRATTAMENTO E RIVESTIMENTO DEI METALLI; LAVORI DI MECCANICA GENERALE</t>
  </si>
  <si>
    <t>FUCINATURA, IMBUTITURA, STAMPAGGIO E PROFILATURA DEI METALLI; METALLURGIA DELLE POLVERI</t>
  </si>
  <si>
    <t>FABBRICAZIONE DI ARMI E MUNIZIONI</t>
  </si>
  <si>
    <t>FABBRICAZIONE DI GENERATORI DI VAPORE (ESCLUSI I CONTENITORI IN METALLO PER CALDAIE PER IL RISCALDAMENTO CENTRALE AD ACQUA CALDA)</t>
  </si>
  <si>
    <t>Fabbricazione di altre cisterne, serbatoi e contenitori in metallo</t>
  </si>
  <si>
    <t>Fabbricazione di radiatori e contenitori in metallo per caldaie per il riscaldamento centrale</t>
  </si>
  <si>
    <t>FABBRICAZIONE DI CISTERNE, SERBATOI, RADIATORI E CONTENITORI IN METALLO</t>
  </si>
  <si>
    <t>Fabbricazione di strutture metalliche per tende da sole, tende alla veneziana e simili</t>
  </si>
  <si>
    <t>Fabbricazione di porte, finestre e loro telai, imposte e cancelli metallici</t>
  </si>
  <si>
    <t>Fabbricazione di porte e finestre in metallo</t>
  </si>
  <si>
    <t>Fabbricazione di strutture metalliche e di parti di strutture</t>
  </si>
  <si>
    <t>FABBRICAZIONE DI ELEMENTI DA COSTRUZIONE IN METALLO</t>
  </si>
  <si>
    <t>FABBRICAZIONE DI PRODOTTI IN METALLO (ESCLUSI MACCHINARI E ATTREZZATURE)</t>
  </si>
  <si>
    <t>Fusione di altri metalli non ferrosi</t>
  </si>
  <si>
    <t>Fusione di metalli leggeri</t>
  </si>
  <si>
    <t>Fusione di acciaio</t>
  </si>
  <si>
    <t>Fusione di ghisa</t>
  </si>
  <si>
    <t>FONDERIE</t>
  </si>
  <si>
    <t>Trattamento dei combustibili nucleari</t>
  </si>
  <si>
    <t>Produzione di altri metalli non ferrosi</t>
  </si>
  <si>
    <t>Produzione di rame</t>
  </si>
  <si>
    <t>Produzione di piombo, zinco e stagno e semilavorati</t>
  </si>
  <si>
    <t>Produzione di alluminio</t>
  </si>
  <si>
    <t>Produzione di metalli preziosi</t>
  </si>
  <si>
    <t>PRODUZIONE DI METALLI DI BASE PREZIOSI E ALTRI METALLI NON FERROSI, TRATTAMENTO DEI COMBUSTIBILI NUCLEARI</t>
  </si>
  <si>
    <t>Trafilatura a freddo</t>
  </si>
  <si>
    <t>Profilatura mediante formatura o piegatura a freddo</t>
  </si>
  <si>
    <t>Fabbricazione di pannelli stratificati in acciaio</t>
  </si>
  <si>
    <t>Laminazione a freddo di nastri</t>
  </si>
  <si>
    <t>Stiratura a freddo di barre</t>
  </si>
  <si>
    <t>FABBRICAZIONE DI ALTRI PRODOTTI DELLA PRIMA TRASFORMAZIONE DELL'ACCIAIO</t>
  </si>
  <si>
    <t>Fabbricazione di tubi e condotti saldati e simili</t>
  </si>
  <si>
    <t>Fabbricazione di tubi e condotti senza saldatura</t>
  </si>
  <si>
    <t>FABBRICAZIONE DI TUBI, CONDOTTI, PROFILATI CAVI E RELATIVI ACCESSORI IN ACCIAIO (ESCLUSI QUELLI IN ACCIAIO COLATO)</t>
  </si>
  <si>
    <t>SIDERURGIA</t>
  </si>
  <si>
    <t>METALLURGIA</t>
  </si>
  <si>
    <t>Fabbricazione di altri prodotti in minerali non metalliferi nca</t>
  </si>
  <si>
    <t>Produzione di prodotti abrasivi</t>
  </si>
  <si>
    <t>FABBRICAZIONE DI PRODOTTI ABRASIVI E DI PRODOTTI IN MINERALI NON METALLIFERI NCA</t>
  </si>
  <si>
    <t>Frantumazione di pietre e minerali vari fuori della cava</t>
  </si>
  <si>
    <t>Lavorazione artistica del marmo e di altre pietre affini, lavori in mosaico</t>
  </si>
  <si>
    <t>Segagione e lavorazione delle pietre e del marmo</t>
  </si>
  <si>
    <t>TAGLIO, MODELLATURA E FINITURA DI PIETRE</t>
  </si>
  <si>
    <t>Fabbricazione di altri prodotti in calcestruzzo, gesso e cemento</t>
  </si>
  <si>
    <t>Fabbricazione di prodotti in fibrocemento</t>
  </si>
  <si>
    <t>Produzione di malta</t>
  </si>
  <si>
    <t>Produzione di calcestruzzo pronto per l'uso</t>
  </si>
  <si>
    <t>Fabbricazione di prodotti in gesso per l'edilizia</t>
  </si>
  <si>
    <t>Fabbricazione di prodotti in calcestruzzo per l'edilizia</t>
  </si>
  <si>
    <t>FABBRICAZIONE DI PRODOTTI IN CALCESTRUZZO, CEMENTO E GESSO</t>
  </si>
  <si>
    <t>Produzione di gesso</t>
  </si>
  <si>
    <t>Produzione di calce</t>
  </si>
  <si>
    <t>Produzione di calce e gesso</t>
  </si>
  <si>
    <t>Produzione di cemento</t>
  </si>
  <si>
    <t>PRODUZIONE DI CEMENTO, CALCE E GESSO</t>
  </si>
  <si>
    <t>Fabbricazione di altri prodotti in ceramica</t>
  </si>
  <si>
    <t>Fabbricazione di altri prodotti in ceramica per uso tecnico e industriale</t>
  </si>
  <si>
    <t>Fabbricazione di isolatori e di pezzi isolanti in ceramica</t>
  </si>
  <si>
    <t>Fabbricazione di articoli sanitari in ceramica</t>
  </si>
  <si>
    <t>Fabbricazione di prodotti in ceramica per usi domestici e ornamentali</t>
  </si>
  <si>
    <t>FABBRICAZIONE DI ALTRI PRODOTTI IN PORCELLANA E IN CERAMICA</t>
  </si>
  <si>
    <t>Fabbricazione di mattoni, tegole ed altri prodotti per l'edilizia in terracotta</t>
  </si>
  <si>
    <t>Fabbricazione di piastrelle in ceramica per pavimenti e rivestimenti</t>
  </si>
  <si>
    <t>FABBRICAZIONE DI MATERIALI DA COSTRUZIONE IN TERRACOTTA</t>
  </si>
  <si>
    <t>Fabbricazione di prodotti refrattari</t>
  </si>
  <si>
    <t>Fabbricazione di altri prodotti in vetro (inclusa la vetreria tecnica)</t>
  </si>
  <si>
    <t>Lavorazione di vetro a mano e a soffio artistico</t>
  </si>
  <si>
    <t>Fabbricazione di vetrerie per laboratori, per uso igienico, per farmacia</t>
  </si>
  <si>
    <t>Fabbricazione e lavorazione di altro vetro (incluso vetro per usi tecnici), lavorazione di vetro cavo</t>
  </si>
  <si>
    <t>Fabbricazione di fibre di vetro</t>
  </si>
  <si>
    <t>Fabbricazione di vetro cavo</t>
  </si>
  <si>
    <t>Lavorazione e trasformazione del vetro piano</t>
  </si>
  <si>
    <t>Fabbricazione di vetro piano</t>
  </si>
  <si>
    <t>FABBRICAZIONE DI VETRO E DI PRODOTTI IN VETRO</t>
  </si>
  <si>
    <t>FABBRICAZIONE DI ALTRI PRODOTTI DELLA LAVORAZIONE DI MINERALI NON METALLIFERI</t>
  </si>
  <si>
    <t>Fabbricazione di altri articoli in materie plastiche nca</t>
  </si>
  <si>
    <t>Fabbricazione di oggetti di cancelleria in plastica</t>
  </si>
  <si>
    <t>Fabbricazione di parti in plastica per calzature</t>
  </si>
  <si>
    <t>Fabbricazione di altri articoli in materie plastiche</t>
  </si>
  <si>
    <t>Fabbricazione di altri articoli in plastica per l'edilizia</t>
  </si>
  <si>
    <t>Fabbricazione di porte, finestre, intelaiature eccetera in plastica per l'edilizia</t>
  </si>
  <si>
    <t>Fabbricazione di rivestimenti elastici per pavimenti (vinile, linoleum eccetera)</t>
  </si>
  <si>
    <t>Fabbricazione di articoli in plastica per l'edilizia</t>
  </si>
  <si>
    <t>Fabbricazione di imballaggi in materie plastiche</t>
  </si>
  <si>
    <t>Fabbricazione di lastre, fogli, tubi e profilati in materie plastiche</t>
  </si>
  <si>
    <t>FABBRICAZIONE DI ARTICOLI IN MATERIE PLASTICHE</t>
  </si>
  <si>
    <t>Fabbricazione di altri prodotti in gomma nca</t>
  </si>
  <si>
    <t>Fabbricazione di suole di gomma e altre parti in gomma per calzature</t>
  </si>
  <si>
    <t>Fabbricazione di altri prodotti in gomma</t>
  </si>
  <si>
    <t>Rigenerazione e ricostruzione di pneumatici</t>
  </si>
  <si>
    <t>Fabbricazione di pneumatici e di camere d'aria</t>
  </si>
  <si>
    <t>Fabbricazione di pneumatici e camere d'aria; rigenerazione e ricostruzione di pneumatici</t>
  </si>
  <si>
    <t>FABBRICAZIONE DI ARTICOLI IN GOMMA</t>
  </si>
  <si>
    <t>FABBRICAZIONE DI ARTICOLI IN GOMMA E MATERIE PLASTICHE</t>
  </si>
  <si>
    <t>Fabbricazione di medicinali ed altri preparati farmaceutici</t>
  </si>
  <si>
    <t>Fabbricazione di sostanza diagnostiche radioattive in vivo</t>
  </si>
  <si>
    <t>FABBRICAZIONE DI MEDICINALI E PREPARATI FARMACEUTICI</t>
  </si>
  <si>
    <t>FABBRICAZIONE DI PRODOTTI FARMACEUTICI DI BASE</t>
  </si>
  <si>
    <t>FABBRICAZIONE DI PRODOTTI FARMACEUTICI DI BASE E DI PREPARATI FARMACEUTICI</t>
  </si>
  <si>
    <t>FABBRICAZIONE DI FIBRE SINTETICHE E ARTIFICIALI</t>
  </si>
  <si>
    <t>Fabbricazione di altri prodotti chimici nca</t>
  </si>
  <si>
    <t>Fabbricazione di prodotti elettrochimici (esclusa produzione di cloro, soda e potassa) ed elettrotermici</t>
  </si>
  <si>
    <t>Fabbricazione di prodotti ausiliari per le industrie tessili e del cuoio</t>
  </si>
  <si>
    <t>Fabbricazione di prodotti chimici impiegati per ufficio e per il consumo non industriale</t>
  </si>
  <si>
    <t>Fabbricazione di prodotti chimici vari per uso industriale (inclusi i preparati antidetonanti e antigelo)</t>
  </si>
  <si>
    <t>Trattamento chimico degli acidi grassi</t>
  </si>
  <si>
    <t>Fabbricazione di prodotti chimici organici ottenuti da prodotti di base derivati da processi di fermentazione o da materie prime vegetali</t>
  </si>
  <si>
    <t>Fabbricazione di prodotti chimici per uso fotografico</t>
  </si>
  <si>
    <t>Fabbricazione di oli essenziali</t>
  </si>
  <si>
    <t>Fabbricazione di colle</t>
  </si>
  <si>
    <t>Fabbricazione di articoli esplosivi</t>
  </si>
  <si>
    <t>Fabbricazione di fiammiferi</t>
  </si>
  <si>
    <t>Fabbricazione di esplosivi</t>
  </si>
  <si>
    <t>FABBRICAZIONE DI ALTRI PRODOTTI CHIMICI</t>
  </si>
  <si>
    <t>Fabbricazione di profumi e cosmetici</t>
  </si>
  <si>
    <t>Fabbricazione di specialitÃ  chimiche per uso domestico e per manutenzione</t>
  </si>
  <si>
    <t>Fabbricazione di saponi, detergenti e di agenti organici tensioattivi (esclusi i prodotti per toletta)</t>
  </si>
  <si>
    <t>Fabbricazione di saponi e detergenti, di prodotti per la pulizia e la lucidatura</t>
  </si>
  <si>
    <t>FABBRICAZIONE DI SAPONI E DETERGENTI, DI PRODOTTI PER LA PULIZIA E LA LUCIDATURA, DI PROFUMI E COSMETICI</t>
  </si>
  <si>
    <t>FABBRICAZIONE DI PITTURE, VERNICI E SMALTI, INCHIOSTRI DA STAMPA E ADESIVI SINTETICI</t>
  </si>
  <si>
    <t>FABBRICAZIONE DI AGROFARMACI E DI ALTRI PRODOTTI CHIMICI PER L'AGRICOLTURA</t>
  </si>
  <si>
    <t>Fabbricazione di gomma sintetica in forme primarie</t>
  </si>
  <si>
    <t>Fabbricazione di materie plastiche in forme primarie</t>
  </si>
  <si>
    <t>Fabbricazione di fertilizzanti e composti azotati</t>
  </si>
  <si>
    <t>Fabbricazione di altri prodotti chimici di base organici nca</t>
  </si>
  <si>
    <t>Fabbricazione di alcol etilico da materiali fermentati</t>
  </si>
  <si>
    <t>Fabbricazione di altri prodotti chimici di base organici</t>
  </si>
  <si>
    <t>Fabbricazione di altri prodotti chimici di base inorganici</t>
  </si>
  <si>
    <t>Fabbricazione di uranio e torio arricchito</t>
  </si>
  <si>
    <t>Fabbricazione di coloranti e pigmenti</t>
  </si>
  <si>
    <t>Fabbricazione di gas industriali</t>
  </si>
  <si>
    <t>FABBRICAZIONE DI PRODOTTI CHIMICI DI BASE, DI FERTILIZZANTI E COMPOSTI AZOTATI, DI MATERIE PLASTICHE E GOMMA SINTETICA IN FORME PRIMARIE</t>
  </si>
  <si>
    <t>FABBRICAZIONE DI PRODOTTI CHIMICI</t>
  </si>
  <si>
    <t>Fabbricazione di altri prodotti petroliferi raffinati</t>
  </si>
  <si>
    <t>Fabbricazione di emulsioni di bitume, di catrame e di leganti per uso stradale</t>
  </si>
  <si>
    <t>Miscelazione di gas petroliferi liquefatti (GPL) e loro imbottigliamento</t>
  </si>
  <si>
    <t>Preparazione o miscelazione di derivati del petrolio (esclusa la petrolchimica)</t>
  </si>
  <si>
    <t>Raffinerie di petrolio</t>
  </si>
  <si>
    <t>FABBRICAZIONE DI PRODOTTI DERIVANTI DALLA RAFFINAZIONE DEL PETROLIO</t>
  </si>
  <si>
    <t>Fabbricazione di altri prodotti di cokeria</t>
  </si>
  <si>
    <t>Fabbricazione di pece e coke di pece</t>
  </si>
  <si>
    <t>FABBRICAZIONE DI PRODOTTI DI COKERIA</t>
  </si>
  <si>
    <t>FABBRICAZIONE DI COKE E PRODOTTI DERIVANTI DALLA RAFFINAZIONE DEL PETROLIO</t>
  </si>
  <si>
    <t>RIPRODUZIONE DI SUPPORTI REGISTRATI</t>
  </si>
  <si>
    <t>Legatoria e servizi connessi</t>
  </si>
  <si>
    <t>Lavorazioni preliminari alla stampa e ai media</t>
  </si>
  <si>
    <t>Altra stampa</t>
  </si>
  <si>
    <t>Stampa di giornali</t>
  </si>
  <si>
    <t>STAMPA E SERVIZI CONNESSI ALLA STAMPA</t>
  </si>
  <si>
    <t>STAMPA E RIPRODUZIONE DI SUPPORTI REGISTRATI</t>
  </si>
  <si>
    <t>Fabbricazione di altri articoli di carta e cartone</t>
  </si>
  <si>
    <t>Fabbricazione di carta da parati</t>
  </si>
  <si>
    <t>Fabbricazione di altri prodotti cartotecnici</t>
  </si>
  <si>
    <t>Fabbricazione di prodotti cartotecnici scolastici e commerciali quando l'attivitÃ  di stampa non Ã¨ la principale caratteristica</t>
  </si>
  <si>
    <t>Fabbricazione di prodotti cartotecnici</t>
  </si>
  <si>
    <t>Fabbricazione di prodotti igienico-sanitari e per uso domestico in carta e ovatta di cellulosa</t>
  </si>
  <si>
    <t>Fabbricazione di carta e cartone ondulato e di imballaggi di carta e cartone</t>
  </si>
  <si>
    <t>FABBRICAZIONE DI ARTICOLI DI CARTA E CARTONE</t>
  </si>
  <si>
    <t>Fabbricazione di carta e cartone</t>
  </si>
  <si>
    <t>Fabbricazione di pasta-carta</t>
  </si>
  <si>
    <t>FABBRICAZIONE DI PASTA-CARTA, CARTA E CARTONE</t>
  </si>
  <si>
    <t>FABBRICAZIONE DI CARTA E DI PRODOTTI DI CARTA</t>
  </si>
  <si>
    <t>Laboratori di corniciai</t>
  </si>
  <si>
    <t>Fabbricazione di articoli in paglia e materiali da intreccio</t>
  </si>
  <si>
    <t>Fabbricazione dei prodotti della lavorazione del sughero</t>
  </si>
  <si>
    <t>Fabbricazione di altri prodotti vari in legno (esclusi i mobili)</t>
  </si>
  <si>
    <t>Fabbricazione di manici di ombrelli, bastoni e simile</t>
  </si>
  <si>
    <t>Fabbricazione di parti in legno per calzature</t>
  </si>
  <si>
    <t>Fabbricazione di prodotti vari in legno (esclusi i mobili)</t>
  </si>
  <si>
    <t>Fabbricazione di altri prodotti in legno, sughero, paglia e materiali da intreccio</t>
  </si>
  <si>
    <t>Fabbricazione di imballaggi in legno</t>
  </si>
  <si>
    <t>Fabbricazione di altri elementi in legno e di falegnameria per l'edilizia</t>
  </si>
  <si>
    <t>Fabbricazione di porte e finestre in legno (escluse porte blindate)</t>
  </si>
  <si>
    <t>Fabbricazione di altri prodotti di carpenteria in legno e falegnameria per l'edilizia</t>
  </si>
  <si>
    <t>Fabbricazione di pavimenti in parquet assemblato</t>
  </si>
  <si>
    <t>Fabbricazione di fogli da impiallacciatura e di pannelli a base di legno</t>
  </si>
  <si>
    <t>FABBRICAZIONE DI PRODOTTI IN LEGNO, SUGHERO, PAGLIA E MATERIALI DA INTRECCIO</t>
  </si>
  <si>
    <t>TAGLIO E PIALLATURA DEL LEGNO</t>
  </si>
  <si>
    <t>INDUSTRIA DEL LEGNO E DEI PRODOTTI IN LEGNO E SUGHERO (ESCLUSI I MOBILI); FABBRICAZIONE DI ARTICOLI IN PAGLIA E MATERIALI DA INTRECCIO</t>
  </si>
  <si>
    <t>Fabbricazione di parti in cuoio per calzature</t>
  </si>
  <si>
    <t>Fabbricazione di calzature</t>
  </si>
  <si>
    <t>FABBRICAZIONE DI CALZATURE</t>
  </si>
  <si>
    <t>Fabbricazione di altri articoli da viaggio, borse e simili, pelletteria e selleria</t>
  </si>
  <si>
    <t>Fabbricazione di frustini e scudisci per equitazione</t>
  </si>
  <si>
    <t>Fabbricazione di articoli da viaggio, borse e simili, pelletteria e selleria</t>
  </si>
  <si>
    <t>Preparazione e concia del cuoio; preparazione e tintura di pellicce</t>
  </si>
  <si>
    <t>PREPARAZIONE E CONCIA DEL CUOIO; FABBRICAZIONE DI ARTICOLI DA VIAGGIO, BORSE, PELLETTERIA E SELLERIA; PREPARAZIONE E TINTURA DI PELLICCE</t>
  </si>
  <si>
    <t>FABBRICAZIONE DI ARTICOLI IN PELLE E SIMILI</t>
  </si>
  <si>
    <t>Fabbricazione di altri articoli di maglieria</t>
  </si>
  <si>
    <t>Fabbricazione di articoli di calzetteria in maglia</t>
  </si>
  <si>
    <t>FABBRICAZIONE DI ARTICOLI DI MAGLIERIA</t>
  </si>
  <si>
    <t>CONFEZIONE DI ARTICOLI IN PELLICCIA</t>
  </si>
  <si>
    <t>Confezioni di abbigliamento sportivo o di altri indumenti particolari</t>
  </si>
  <si>
    <t>Fabbricazione di calzature realizzate in materiale tessile senza suole applicate</t>
  </si>
  <si>
    <t>Confezioni di abbigliamento sportivo o indumenti particolari</t>
  </si>
  <si>
    <t>Confezioni varie e accessori per l'abbigliamento</t>
  </si>
  <si>
    <t>Confezione di altri articoli di abbigliamento ed accessori</t>
  </si>
  <si>
    <t>Confezione di biancheria intima</t>
  </si>
  <si>
    <t>Sartoria e confezione su misura di abbigliamento esterno</t>
  </si>
  <si>
    <t>Confezione in serie di abbigliamento esterno</t>
  </si>
  <si>
    <t>Confezione di altro abbigliamento esterno</t>
  </si>
  <si>
    <t>Confezione di indumenti da lavoro</t>
  </si>
  <si>
    <t>Confezione di abbigliamento in pelle</t>
  </si>
  <si>
    <t>CONFEZIONE DI ARTICOLI DI ABBIGLIAMENTO (ESCLUSO ABBIGLIAMENTO IN PELLICCIA)</t>
  </si>
  <si>
    <t>CONFEZIONE DI ARTICOLI DI ABBIGLIAMENTO; CONFEZIONE DI ARTICOLI IN PELLE E PELLICCIA</t>
  </si>
  <si>
    <t>Fabbricazione di feltro e articoli tessili diversi</t>
  </si>
  <si>
    <t>Fabbricazione di tulle, pizzi e merletti</t>
  </si>
  <si>
    <t>Fabbricazione di ricami</t>
  </si>
  <si>
    <t>Fabbricazione di altri prodotti tessili nca</t>
  </si>
  <si>
    <t>Fabbricazione di altri articoli tessili tecnici ed industriali</t>
  </si>
  <si>
    <t>Fabbricazione di nastri, etichette e passamanerie di fibre tessili</t>
  </si>
  <si>
    <t>Fabbricazione di articoli tessili tecnici ed industriali</t>
  </si>
  <si>
    <t>Fabbricazione di tessuti non tessuti e di articoli in tali materie (esclusi gli articoli di abbigliamento)</t>
  </si>
  <si>
    <t>Fabbricazione di spago, corde, funi e reti</t>
  </si>
  <si>
    <t>Fabbricazione di tappeti e moquette</t>
  </si>
  <si>
    <t>Fabbricazione di articoli in materie tessili nca</t>
  </si>
  <si>
    <t>Confezionamento di biancheria da letto, da tavola e per l'arredamento</t>
  </si>
  <si>
    <t>Confezionamento di articoli tessili (esclusi gli articoli di abbigliamento)</t>
  </si>
  <si>
    <t>Fabbricazione di tessuti a maglia</t>
  </si>
  <si>
    <t>ALTRE INDUSTRIE TESSILI</t>
  </si>
  <si>
    <t>FINISSAGGIO DEI TESSILI</t>
  </si>
  <si>
    <t>TESSITURA</t>
  </si>
  <si>
    <t>PREPARAZIONE E FILATURA DI FIBRE TESSILI</t>
  </si>
  <si>
    <t>INDUSTRIE TESSILI</t>
  </si>
  <si>
    <t>INDUSTRIA DEL TABACCO</t>
  </si>
  <si>
    <t>Industria delle bibite analcoliche, delle acque minerali e di altre acque in bottiglia</t>
  </si>
  <si>
    <t>Produzione di malto</t>
  </si>
  <si>
    <t>Produzione di birra</t>
  </si>
  <si>
    <t>Produzione di altre bevande fermentate non distillate</t>
  </si>
  <si>
    <t>Produzione di sidro e di altri vini a base di frutta</t>
  </si>
  <si>
    <t>Produzione di vino spumante e altri vini speciali</t>
  </si>
  <si>
    <t>Produzione di vini da tavola e v.p.q.r.d.</t>
  </si>
  <si>
    <t>Produzione di vini da uve</t>
  </si>
  <si>
    <t>Distillazione, rettifica e miscelatura degli alcolici</t>
  </si>
  <si>
    <t>INDUSTRIA DELLE BEVANDE</t>
  </si>
  <si>
    <t>Produzione di prodotti per l'alimentazione degli animali da compagnia</t>
  </si>
  <si>
    <t>Produzione di mangimi per l'alimentazione degli animali da allevamento</t>
  </si>
  <si>
    <t>PRODUZIONE DI PRODOTTI PER L'ALIMENTAZIONE DEGLI ANIMALI</t>
  </si>
  <si>
    <t>Produzione di altri prodotti alimentari nca</t>
  </si>
  <si>
    <t>Produzione di estratti e succhi di carne</t>
  </si>
  <si>
    <t>Produzione di preparati omogeneizzati e di alimenti dietetici</t>
  </si>
  <si>
    <t>Produzione di pasti e piatti pronti di altri prodotti alimentari</t>
  </si>
  <si>
    <t>Produzione di piatti pronti a base di pasta</t>
  </si>
  <si>
    <t>Produzione di pizza confezionata</t>
  </si>
  <si>
    <t>Produzione di piatti pronti a base di ortaggi</t>
  </si>
  <si>
    <t>Produzione di piatti pronti a base di pesce, inclusi fish and chips</t>
  </si>
  <si>
    <t>Produzione di piatti pronti a base di carne e pollame</t>
  </si>
  <si>
    <t>Produzione di pasti e piatti preparati</t>
  </si>
  <si>
    <t>Produzione di condimenti e spezie</t>
  </si>
  <si>
    <t>Lavorazione del tÃ¨ e di altri preparati per infusi</t>
  </si>
  <si>
    <t>Lavorazione del caffÃ¨</t>
  </si>
  <si>
    <t>Lavorazione del tÃ¨ e del caffÃ¨</t>
  </si>
  <si>
    <t>Produzione di cacao, cioccolato, caramelle e confetterie</t>
  </si>
  <si>
    <t>Produzione di zucchero</t>
  </si>
  <si>
    <t>PRODUZIONE DI ALTRI PRODOTTI ALIMENTARI</t>
  </si>
  <si>
    <t>Produzione di paste alimentari, di cuscus e di prodotti farinacei simili</t>
  </si>
  <si>
    <t>Produzione di fette biscottate e di biscotti; produzione di prodotti di pasticceria conservati</t>
  </si>
  <si>
    <t>Produzione di pasticceria fresca</t>
  </si>
  <si>
    <t>Produzione di prodotti di panetteria freschi</t>
  </si>
  <si>
    <t>Produzione di pane; prodotti di pasticceria freschi</t>
  </si>
  <si>
    <t>PRODUZIONE DI PRODOTTI DA FORNO E FARINACEI</t>
  </si>
  <si>
    <t>Produzione di amidi e di prodotti amidacei</t>
  </si>
  <si>
    <t>Altre lavorazioni di semi e granaglie</t>
  </si>
  <si>
    <t>Lavorazione del riso</t>
  </si>
  <si>
    <t>Molitura di altri cereali</t>
  </si>
  <si>
    <t>Molitura del frumento</t>
  </si>
  <si>
    <t>Lavorazione delle granaglie</t>
  </si>
  <si>
    <t>LAVORAZIONE DELLE GRANAGLIE, PRODUZIONE DI AMIDI E DI PRODOTTI AMIDACEI</t>
  </si>
  <si>
    <t>Produzione di gelati</t>
  </si>
  <si>
    <t>Produzione dei derivati del latte</t>
  </si>
  <si>
    <t>Trattamento igienico del latte</t>
  </si>
  <si>
    <t>Industria lattiero-casearia, trattamento igienico, conservazione del latte</t>
  </si>
  <si>
    <t>INDUSTRIA LATTIERO-CASEARIA</t>
  </si>
  <si>
    <t>Produzione di margarina e di grassi commestibili simili</t>
  </si>
  <si>
    <t>Produzione di oli e grassi animali grezzi o raffinati</t>
  </si>
  <si>
    <t>Produzione di olio raffinato o grezzo da semi oleosi o frutti oleosi prevalentemente non di produzione propria</t>
  </si>
  <si>
    <t>Produzione di olio di oliva da olive prevalentemente non di produzione propria</t>
  </si>
  <si>
    <t>Produzione di oli e grassi</t>
  </si>
  <si>
    <t>PRODUZIONE DI OLI E GRASSI VEGETALI E ANIMALI</t>
  </si>
  <si>
    <t>Altra Lavorazione e conservazione di frutta e di ortaggi</t>
  </si>
  <si>
    <t>Produzione di succhi di frutta e di ortaggi</t>
  </si>
  <si>
    <t>Lavorazione e conservazione delle patate</t>
  </si>
  <si>
    <t>LAVORAZIONE E CONSERVAZIONE DI FRUTTA E ORTAGGI</t>
  </si>
  <si>
    <t>LAVORAZIONE E CONSERVAZIONE DI PESCE, CROSTACEI E MOLLUSCHI</t>
  </si>
  <si>
    <t>Produzione di prodotti a base di carne (inclusa la carne di volatili)</t>
  </si>
  <si>
    <t>Lavorazione e conservazione di carne di volatili</t>
  </si>
  <si>
    <t>Lavorazione e conservazione di carne (escluso volatili)</t>
  </si>
  <si>
    <t>LAVORAZIONE E CONSERVAZIONE DI CARNE E PRODUZIONE DI PRODOTTI A BASE DI CARNE</t>
  </si>
  <si>
    <t>INDUSTRIE ALIMENTARI</t>
  </si>
  <si>
    <t>Altre attivitÃ  di supporto all'estrazione</t>
  </si>
  <si>
    <t>AttivitÃ  di supporto all'estrazione di pietre ornamentali, da costruzione, da gesso, di anidrite, per calce e cementi, di dolomite, di ardesia, di ghiaia e sabbia, di argilla, di caolino, di pomice, di altri minerali e prodotti di cava</t>
  </si>
  <si>
    <t>ATTIVITÃ€ DI SUPPORTO PER L'ESTRAZIONE DA CAVE E MINIERE DI ALTRI MINERALI</t>
  </si>
  <si>
    <t>ATTIVITÃ€ DI SUPPORTO ALL'ESTRAZIONE DI PETROLIO E DI GAS NATURALE</t>
  </si>
  <si>
    <t>ATTIVITÃ€ DEI SERVIZI DI SUPPORTO ALL'ESTRAZIONE</t>
  </si>
  <si>
    <t>Estrazione di pomice e di altri minerali nca</t>
  </si>
  <si>
    <t>Estrazione di asfalto e bitume naturale</t>
  </si>
  <si>
    <t>Estrazione di altri minerali da cave e miniere nca</t>
  </si>
  <si>
    <t>Estrazione di sale</t>
  </si>
  <si>
    <t>Estrazione di torba</t>
  </si>
  <si>
    <t>Estrazione di minerali per l'industria chimica e per la produzione di fertilizzanti</t>
  </si>
  <si>
    <t>ESTRAZIONE DI MINERALI DA CAVE E MINIERE NCA</t>
  </si>
  <si>
    <t>Estrazione di ghiaia e sabbia; estrazione di argille e caolino</t>
  </si>
  <si>
    <t>Estrazione di pietre ornamentali e da costruzione, calcare, pietra da gesso, creta e ardesia</t>
  </si>
  <si>
    <t>ESTRAZIONE DI PIETRA, SABBIA E ARGILLA</t>
  </si>
  <si>
    <t>ALTRE ATTIVITÃ€ DI ESTRAZIONE DI MINERALI DA CAVE E MINIERE</t>
  </si>
  <si>
    <t>Estrazione di altri minerali metalliferi non ferrosi</t>
  </si>
  <si>
    <t>Estrazione di minerali di uranio e di torio</t>
  </si>
  <si>
    <t>ESTRAZIONE DI MINERALI METALLIFERI NON FERROSI</t>
  </si>
  <si>
    <t>ESTRAZIONE DI MINERALI METALLIFERI FERROSI</t>
  </si>
  <si>
    <t>ESTRAZIONE DI MINERALI METALLIFERI</t>
  </si>
  <si>
    <t>ESTRAZIONE DI GAS NATURALE</t>
  </si>
  <si>
    <t>ESTRAZIONE DI PETROLIO GREGGIO</t>
  </si>
  <si>
    <t>ESTRAZIONE DI PETROLIO GREGGIO E DI GAS NATURALE</t>
  </si>
  <si>
    <t>ESTRAZIONE DI LIGNITE</t>
  </si>
  <si>
    <t>ESTRAZIONE DI ANTRACITE</t>
  </si>
  <si>
    <t>ESTRAZIONE DI CARBONE (ESCLUSA TORBA)</t>
  </si>
  <si>
    <t>PESCA</t>
  </si>
  <si>
    <t>Acquacoltura in acque dolci</t>
  </si>
  <si>
    <t>Acquacoltura marina</t>
  </si>
  <si>
    <t>ACQUACOLTURA</t>
  </si>
  <si>
    <t>Pesca in acque dolci</t>
  </si>
  <si>
    <t>Pesca marina</t>
  </si>
  <si>
    <t>PESCA E ACQUACOLTURA</t>
  </si>
  <si>
    <t>AGRICOLTURA</t>
  </si>
  <si>
    <t>SERVIZI DI SUPPORTO PER LA SILVICOLTURA</t>
  </si>
  <si>
    <t>RACCOLTA DI PRODOTTI SELVATICI NON LEGNOSI</t>
  </si>
  <si>
    <t>UTILIZZO DI AREE FORESTALI</t>
  </si>
  <si>
    <t>SILVICOLTURA ED ALTRE ATTIVITÃ€ FORESTALI</t>
  </si>
  <si>
    <t>SILVICOLTURA ED UTILIZZO DI AREE FORESTALI</t>
  </si>
  <si>
    <t>CACCIA, CATTURA DI ANIMALI E SERVIZI CONNESSI</t>
  </si>
  <si>
    <t>Altre lavorazioni delle sementi per la semina</t>
  </si>
  <si>
    <t>Pulitura e cernita di semi e granaglie</t>
  </si>
  <si>
    <t>Lavorazione delle sementi per la semina</t>
  </si>
  <si>
    <t>AttivitÃ  successive alla raccolta</t>
  </si>
  <si>
    <t>Altre attivitÃ  di supporto alla produzione animale (esclusi i servizi veterinari)</t>
  </si>
  <si>
    <t>AttivitÃ  dei maniscalchi</t>
  </si>
  <si>
    <t>AttivitÃ  di supporto alla produzione animale</t>
  </si>
  <si>
    <t>AttivitÃ  di supporto alla produzione vegetale</t>
  </si>
  <si>
    <t>ATTIVITÃ€ DI SUPPORTO ALL'AGRICOLTURA E ATTIVITÃ€ SUCCESSIVE ALLA RACCOLTA</t>
  </si>
  <si>
    <t>COLTIVAZIONI AGRICOLE ASSOCIATE ALL'ALLEVAMENTO DI ANIMALI: ATTIVITÃ€ MISTA</t>
  </si>
  <si>
    <t>Allevamento di altri animali nca</t>
  </si>
  <si>
    <t>Bachicoltura</t>
  </si>
  <si>
    <t>Apicoltura</t>
  </si>
  <si>
    <t>Allevamento di animali da pelliccia</t>
  </si>
  <si>
    <t>Allevamento di conigli</t>
  </si>
  <si>
    <t>Allevamento di altri animali</t>
  </si>
  <si>
    <t>Allevamento di pollame</t>
  </si>
  <si>
    <t>Allevamento di suini</t>
  </si>
  <si>
    <t>Allevamento di ovini e caprini</t>
  </si>
  <si>
    <t>Allevamento di cammelli e camelidi</t>
  </si>
  <si>
    <t>Allevamento di cavalli e altri equini</t>
  </si>
  <si>
    <t>Allevamento di altri bovini e di bufalini</t>
  </si>
  <si>
    <t>Allevamento di bovini da latte</t>
  </si>
  <si>
    <t>ALLEVAMENTO DI ANIMALI</t>
  </si>
  <si>
    <t>RIPRODUZIONE DELLE PIANTE</t>
  </si>
  <si>
    <t>Coltivazione di altre colture permanenti (inclusi alberi di Natale)</t>
  </si>
  <si>
    <t>Coltivazione di spezie, piante aromatiche e farmaceutiche</t>
  </si>
  <si>
    <t>Coltivazione di piante per la produzione di bevande</t>
  </si>
  <si>
    <t>Coltivazione di frutti oleosi</t>
  </si>
  <si>
    <t>Coltivazione di altri alberi da frutta, frutti di bosco e in guscio</t>
  </si>
  <si>
    <t>Coltivazione di pomacee e frutta a nocciolo</t>
  </si>
  <si>
    <t>Coltivazione di agrumi</t>
  </si>
  <si>
    <t>Coltivazione di frutta di origine tropicale e subtropicale</t>
  </si>
  <si>
    <t>Coltivazione di uva</t>
  </si>
  <si>
    <t>COLTIVAZIONE DI COLTURE PERMANENTI</t>
  </si>
  <si>
    <t>Coltivazione di piante da foraggio e di altre colture non permanenti</t>
  </si>
  <si>
    <t>Coltivazione di fiori in colture protette</t>
  </si>
  <si>
    <t>Coltivazione di fiori in piena aria</t>
  </si>
  <si>
    <t>Floricoltura e coltivazione di altre colture non permanenti</t>
  </si>
  <si>
    <t>Coltivazione di piante tessili</t>
  </si>
  <si>
    <t>Coltivazione di tabacco</t>
  </si>
  <si>
    <t>Coltivazione di canna da zucchero</t>
  </si>
  <si>
    <t>Coltivazione di patate</t>
  </si>
  <si>
    <t>Coltivazione di barbabietola da zucchero</t>
  </si>
  <si>
    <t>euro 200.000</t>
  </si>
  <si>
    <t>de minimis altro</t>
  </si>
  <si>
    <t>Coltivazione di ortaggi (inclusi i meloni) in foglia, a fusto, a frutto, in radici, bulbi e tuberi in colture protette (escluse barbabietola da zucchero e patate)</t>
  </si>
  <si>
    <t>euro 100.000</t>
  </si>
  <si>
    <t>de minimis trasp merci</t>
  </si>
  <si>
    <t>Coltivazione di ortaggi (inclusi i meloni) in foglia, a fusto, a frutto, in radici, bulbi e tuberi in piena aria (escluse barbabietola da zucchero e patate)</t>
  </si>
  <si>
    <t>euro 30.000</t>
  </si>
  <si>
    <t>de minimis pesca</t>
  </si>
  <si>
    <t>Coltivazione di ortaggi e meloni, radici e tuberi</t>
  </si>
  <si>
    <t>euro 15.000</t>
  </si>
  <si>
    <t>de minimis agricoltura</t>
  </si>
  <si>
    <t>Coltivazione di riso</t>
  </si>
  <si>
    <t>LIMITI DE MINIMIS</t>
  </si>
  <si>
    <t>Coltivazioni miste di cereali, legumi da granella e semi oleosi</t>
  </si>
  <si>
    <t>Coltivazione di legumi da granella</t>
  </si>
  <si>
    <t>Coltivazione di semi oleosi</t>
  </si>
  <si>
    <t>parzialmente ammissibile</t>
  </si>
  <si>
    <t>P:</t>
  </si>
  <si>
    <t>Coltivazione di cereali (escluso il riso)</t>
  </si>
  <si>
    <t>non ammissibile</t>
  </si>
  <si>
    <t>N:</t>
  </si>
  <si>
    <t>Coltivazione di cereali (escluso il riso), legumi da granella e semi oleosi</t>
  </si>
  <si>
    <t xml:space="preserve">ammissibile </t>
  </si>
  <si>
    <t>S:</t>
  </si>
  <si>
    <t>COLTIVAZIONE DI COLTURE AGRICOLE NON PERMANENTI</t>
  </si>
  <si>
    <t>ammissibile solo per Controgaranzia</t>
  </si>
  <si>
    <t>S (controg.):</t>
  </si>
  <si>
    <t>COLTIVAZIONI AGRICOLE E PRODUZIONE DI PRODOTTI ANIMALI, CACCIA E SERVIZI CONNESSI</t>
  </si>
  <si>
    <t>LEGENDA AMMISSIBILITA'</t>
  </si>
  <si>
    <t>BILANCIO</t>
  </si>
  <si>
    <t>de minimis</t>
  </si>
  <si>
    <t>Descrizione</t>
  </si>
  <si>
    <t>ATECO</t>
  </si>
  <si>
    <t>Codice</t>
  </si>
  <si>
    <t>DT_ESC</t>
  </si>
  <si>
    <t>DATA RILEVAZIONE</t>
  </si>
  <si>
    <t>REG. CONTABILE</t>
  </si>
  <si>
    <t>Reg. Contabile</t>
  </si>
  <si>
    <t>Ordinario</t>
  </si>
  <si>
    <t>Semplificato</t>
  </si>
  <si>
    <t>SI: REVOCA PRIMA DELLA SCADENZA</t>
  </si>
  <si>
    <t>REVOCA PRIMA DELLA SCADENZA</t>
  </si>
  <si>
    <t xml:space="preserve">ULTIMO ESERCIZIO APPROVATO </t>
  </si>
  <si>
    <t>AA</t>
  </si>
  <si>
    <t>BA</t>
  </si>
  <si>
    <t>AB</t>
  </si>
  <si>
    <t>BB</t>
  </si>
  <si>
    <t>AC</t>
  </si>
  <si>
    <t>CC</t>
  </si>
  <si>
    <t>SCORING</t>
  </si>
  <si>
    <t>FASCIA</t>
  </si>
  <si>
    <t>CB</t>
  </si>
  <si>
    <t>CA</t>
  </si>
  <si>
    <t>BC</t>
  </si>
  <si>
    <t>&lt;5%</t>
  </si>
  <si>
    <t>MP/TP 2 EXE</t>
  </si>
  <si>
    <t>POST DL FARE</t>
  </si>
  <si>
    <t>CHECK CONGRUENZA EVENTO REVOCA PRIMA SCADENZA</t>
  </si>
  <si>
    <t>CHECK CONGIUNTO EVENTO REVOCA - INA/PIANO</t>
  </si>
  <si>
    <t xml:space="preserve">CHECK </t>
  </si>
  <si>
    <t>check prima di rilevazione GAR DIR</t>
  </si>
  <si>
    <t>ESC CONF</t>
  </si>
  <si>
    <t>check prima di rilevazione CONTRO</t>
  </si>
  <si>
    <t>process</t>
  </si>
  <si>
    <t>check %</t>
  </si>
  <si>
    <t>check controllo</t>
  </si>
  <si>
    <t>ESISTE UN PRECEDENTE EVENTO DI RISCHIO?</t>
  </si>
  <si>
    <t>IMPORTO ESCUSSO CONFIDI</t>
  </si>
  <si>
    <t>CHECK UTILE IMPORTO RIDOTTO</t>
  </si>
  <si>
    <t xml:space="preserve">  </t>
  </si>
  <si>
    <t>ESPOSIZIONE FONDO</t>
  </si>
  <si>
    <t>ENTRO 36 MESI</t>
  </si>
  <si>
    <t>TOTALE</t>
  </si>
  <si>
    <t>FASCIA SCORING</t>
  </si>
  <si>
    <t>AUTO</t>
  </si>
  <si>
    <t>NO AUTO</t>
  </si>
  <si>
    <t>PREGIUDIZIEVOLI</t>
  </si>
  <si>
    <t>CE.RI/PREG</t>
  </si>
  <si>
    <t>OK</t>
  </si>
  <si>
    <t>KO - VEDI NOTE</t>
  </si>
  <si>
    <t>VEDI NOTE</t>
  </si>
  <si>
    <t>ALTRE GARANZIE</t>
  </si>
  <si>
    <t>FIDEJUSSIONI</t>
  </si>
  <si>
    <t>GARANZIE REALI</t>
  </si>
  <si>
    <t>CREDITI DI FIRMA</t>
  </si>
  <si>
    <t>ALTRO</t>
  </si>
  <si>
    <t>NON ACQUISITE</t>
  </si>
  <si>
    <t>SPECIFICARE TIPO GARANZIE</t>
  </si>
  <si>
    <t>ALLEGATO 25</t>
  </si>
  <si>
    <t>NON NECESSARIO</t>
  </si>
  <si>
    <t>DA RICHIEDERE</t>
  </si>
  <si>
    <t>ANZIANITÀ</t>
  </si>
  <si>
    <t xml:space="preserve">DATA INIZIO ATTIVITÀ </t>
  </si>
  <si>
    <t>MAGGIORAZIONE</t>
  </si>
  <si>
    <t>REQUISITO</t>
  </si>
  <si>
    <t>INCREMENTO</t>
  </si>
  <si>
    <t>LIMITE</t>
  </si>
  <si>
    <t>ADDETTI</t>
  </si>
  <si>
    <t>N° ADDETTI</t>
  </si>
  <si>
    <t>FIN. A FRONTE DI INV.</t>
  </si>
  <si>
    <t>IMPORTO FATTURE</t>
  </si>
  <si>
    <t>FIN. A FRONTE DI INV. DA EFFETTUARE</t>
  </si>
  <si>
    <t>IMPORTO PREVENTIVI/FATTURE</t>
  </si>
  <si>
    <t>CRESCITA DEL FATTURATO</t>
  </si>
  <si>
    <t>IMMOBILE AZIENDALE</t>
  </si>
  <si>
    <t>DI PROPRIETÀ</t>
  </si>
  <si>
    <t>ACQUISITO CON LOCAZIONE</t>
  </si>
  <si>
    <t>CONTRATTO LOCAZIONE</t>
  </si>
  <si>
    <t>AUTOMEZZO DI PROPRIETÀ - LOCAZIONE</t>
  </si>
  <si>
    <t>ACQUISITO</t>
  </si>
  <si>
    <t>CONFIDI RATING</t>
  </si>
  <si>
    <t>CONFIDI RATING +40% su somma</t>
  </si>
  <si>
    <t>AUTOMEZZO DI PROPRIETÀ - IN CORSO DI ACQUISIZIONE LEASING</t>
  </si>
  <si>
    <t>ANZIANITÀ: DATA INIZIO ATTIVITA'</t>
  </si>
  <si>
    <t>ADDETTI: N°ADDETTI</t>
  </si>
  <si>
    <t>FIN. A FRONTE DI INV.: FATTURE €</t>
  </si>
  <si>
    <t>FIN. A FRONTE DI INV. DA EFFETTUARE: PREVENTIVI / FATTURE €</t>
  </si>
  <si>
    <t>CRESCITA DEL FATTURATO: % CRESCITA</t>
  </si>
  <si>
    <t>IMMOBILE AZIENDALE: TIPO CONTRATTO</t>
  </si>
  <si>
    <t>IMMOBILE AZ</t>
  </si>
  <si>
    <t>TOTALE MAGGIORAZIONI</t>
  </si>
  <si>
    <t>ALTRE OPERAZIONI "IMPORTO RIDOTTO"</t>
  </si>
  <si>
    <t>IMPORTO BASE</t>
  </si>
  <si>
    <t>IMPORTO FIN.TO</t>
  </si>
  <si>
    <t>VERIFICA FINALE IMPORTO / MAGGIORAZIONI</t>
  </si>
  <si>
    <r>
      <rPr>
        <b/>
        <sz val="8"/>
        <color indexed="8"/>
        <rFont val="Calibri"/>
        <family val="2"/>
      </rPr>
      <t>Σ</t>
    </r>
    <r>
      <rPr>
        <b/>
        <sz val="8"/>
        <color indexed="8"/>
        <rFont val="Arial"/>
        <family val="2"/>
      </rPr>
      <t xml:space="preserve"> IMPORTO BASE + MAGGIORAZIONI</t>
    </r>
  </si>
  <si>
    <t>DATA ISCRIZIONE/REGISTRAZIONE SEZ SPECIALE CAMERA DI COMMERCIO/REA</t>
  </si>
  <si>
    <t>UTILE IMPORTO RIDOTTO (D.O. EDR/POST DL FARE/DL FARE)</t>
  </si>
  <si>
    <t>PERDITA/FATTURATO (D.O. EDR/POST DL FARE/DL FARE)</t>
  </si>
  <si>
    <t>FASCIA SCORING (D.O. EDR/POST DL FARE/DL FARE)</t>
  </si>
  <si>
    <t>REGIME DO AMMISSIONE</t>
  </si>
  <si>
    <t>VARIAZIONE FATTURATO (D.O. EDR/POST DL FARE/DL FARE/S.I.)</t>
  </si>
  <si>
    <t>S.I./2010</t>
  </si>
  <si>
    <t>CHECK VIS</t>
  </si>
  <si>
    <t>ESP FONDO SU FATTURATO (D.O. EDR/POST DL FARE/DL FARE/S.I. AUTO)</t>
  </si>
  <si>
    <t>S.I. NO AUTO/2010/ANTE 2010</t>
  </si>
  <si>
    <t>FASCIA SCORING (S.I./D.O. 2010/ ANTE 2010)</t>
  </si>
  <si>
    <t>F. Autotrasporto</t>
  </si>
  <si>
    <t>MAGGIORAZIONE IMPORTO RIDOTTO POST DL FARE (D.O. EDR/POST DL FARE/DL FARE/S.I./DO 2010/DO ANTE 2010)</t>
  </si>
  <si>
    <t>DATA  ATTO DI AVVIO PROCEDURE DI RECUPERO</t>
  </si>
  <si>
    <t>MICROCREDITO</t>
  </si>
  <si>
    <t>PROFESSIONISTI</t>
  </si>
  <si>
    <t>IMPRESE INDIVIDUALI</t>
  </si>
  <si>
    <t>ASSOCIAZIONI</t>
  </si>
  <si>
    <t>SOCIETA' DI PERSONE</t>
  </si>
  <si>
    <t>SOCIETA' COOPERATIVE</t>
  </si>
  <si>
    <t>SRL SEMPLIFICATA</t>
  </si>
  <si>
    <t>MAGGIORAZIONI IMPORTO RIDOTTO: IMPORTO MASSIMO FINANZIAMENTO</t>
  </si>
  <si>
    <t>DATA RILASCIO P.IVA</t>
  </si>
  <si>
    <t>NUMERO DIPENDENTI</t>
  </si>
  <si>
    <t>EROG. FRAZIONATA</t>
  </si>
  <si>
    <t>FINALITA'</t>
  </si>
  <si>
    <t>MENSILE</t>
  </si>
  <si>
    <t>BIMESTRALE</t>
  </si>
  <si>
    <t>TRIMESTRALE</t>
  </si>
  <si>
    <t>SEMESTRALE</t>
  </si>
  <si>
    <t>ANNUALE</t>
  </si>
  <si>
    <t>FREQ.ZA RATE</t>
  </si>
  <si>
    <t>FREQUENZA</t>
  </si>
  <si>
    <t>FORMAZIONE</t>
  </si>
  <si>
    <t>RETRIBUZIONE</t>
  </si>
  <si>
    <t>ACQ.TO BENI / SERVIZI</t>
  </si>
  <si>
    <t>SERV.ZI AUSILIARI</t>
  </si>
  <si>
    <t>STRATEGIA DI SVILUPPO</t>
  </si>
  <si>
    <t>TECNICHE DI AMM.NE</t>
  </si>
  <si>
    <t>DEFINIZIONE PREZZI / STRATEGIE</t>
  </si>
  <si>
    <t>SOL.NE PROBLEMI LEG / FISC / AMM.VI</t>
  </si>
  <si>
    <t>INDIVIDUAZIONE CRITICITA' PROGETTO</t>
  </si>
  <si>
    <t>INDEBITAMENTO</t>
  </si>
  <si>
    <t>ALTRE</t>
  </si>
  <si>
    <t>DIP</t>
  </si>
  <si>
    <t>VERIFICA PROCESS MICROCREDITO</t>
  </si>
  <si>
    <t>CHECK VIS PROCESS (MICROCREDITO/IMPORID)</t>
  </si>
  <si>
    <t>OPERAZIONI DI MICROCREDITO</t>
  </si>
  <si>
    <t>ISTRUTTORE:</t>
  </si>
  <si>
    <t>VALIDAZIONE:</t>
  </si>
  <si>
    <t>RESPONSABILE:</t>
  </si>
  <si>
    <t>I</t>
  </si>
  <si>
    <t>II</t>
  </si>
  <si>
    <t>III</t>
  </si>
  <si>
    <t>CHECK DOCUMENTALE</t>
  </si>
  <si>
    <t>N.N.</t>
  </si>
  <si>
    <t>INTEGRARE</t>
  </si>
  <si>
    <t>-15</t>
  </si>
  <si>
    <t>+15</t>
  </si>
  <si>
    <t>NON COMPLETO</t>
  </si>
  <si>
    <t>EVENTUALE</t>
  </si>
  <si>
    <t xml:space="preserve">Fatturato € </t>
  </si>
  <si>
    <t>Risultato d'esercizio €</t>
  </si>
  <si>
    <t>MOL €</t>
  </si>
  <si>
    <t>Mezzi propri €</t>
  </si>
  <si>
    <t>Totale Passivo SP €</t>
  </si>
  <si>
    <t>SI - Inattiva</t>
  </si>
  <si>
    <t>NO - VEDI NOTE</t>
  </si>
  <si>
    <t>CONGRUENZA NUOVA DATA SCADENZA FINANZIAMENTO POST ALL.TO</t>
  </si>
  <si>
    <t>EROG</t>
  </si>
  <si>
    <t>DURATA</t>
  </si>
  <si>
    <t>MAGG DURATA</t>
  </si>
  <si>
    <t>NUOVA SCAD</t>
  </si>
  <si>
    <t>PIU 1M</t>
  </si>
  <si>
    <t>MENO 1M</t>
  </si>
  <si>
    <t>SCAD CALCOLATA</t>
  </si>
  <si>
    <t>CONGRUENZA DATA SCADENZA</t>
  </si>
  <si>
    <t>SCADENZA</t>
  </si>
  <si>
    <t>SCAD CALC</t>
  </si>
  <si>
    <t>CHECK PROLUNGAMENTO CONTRO 6M DA AVVIO</t>
  </si>
  <si>
    <t>IMPORTO INTIMATO IN AVVIO PROCEDURE</t>
  </si>
  <si>
    <t>Ambito</t>
  </si>
  <si>
    <t>Descrizione breve</t>
  </si>
  <si>
    <t>Check 1</t>
  </si>
  <si>
    <t>Check 2</t>
  </si>
  <si>
    <t>Escussione - finanziamento</t>
  </si>
  <si>
    <t>Delibera bancaria di concessione del finanziamento</t>
  </si>
  <si>
    <t>Contratto di finanziamento-locazione finanziaria</t>
  </si>
  <si>
    <t>Atto di erogazione ovvero verbale di consegna</t>
  </si>
  <si>
    <t>Atto di stipula o perfezionamento finanziamento</t>
  </si>
  <si>
    <t>Piano d'ammortamento o di locazione finanziaria</t>
  </si>
  <si>
    <t>Delibera Confidi</t>
  </si>
  <si>
    <t>Tassi per Consolidamento</t>
  </si>
  <si>
    <t>Delibera Sottoscrizione Mini Bond</t>
  </si>
  <si>
    <t>Contratto di Sottoscrizione Mini Bond</t>
  </si>
  <si>
    <t>Contabile Versamento  Importo Sottoscritto Mini Bond</t>
  </si>
  <si>
    <t>Escussione - avvio procedure</t>
  </si>
  <si>
    <t>Atto di Intimazione/revoca inviato al Sogg. Beneficiario Finale</t>
  </si>
  <si>
    <t>Data certa invio atto di avvio delle procedure</t>
  </si>
  <si>
    <t>Avvio procedure - Atti equivalenti (proc concorsuali)</t>
  </si>
  <si>
    <t>Comunicazione MCC avvio procedure di recupero</t>
  </si>
  <si>
    <t>Avvio verso Confidi</t>
  </si>
  <si>
    <t>Escussione - attivazione</t>
  </si>
  <si>
    <t>Allegato 8</t>
  </si>
  <si>
    <t xml:space="preserve">Allegato 8bis </t>
  </si>
  <si>
    <t>Allegato 9</t>
  </si>
  <si>
    <t>Allegato 9bis</t>
  </si>
  <si>
    <t xml:space="preserve">Allegato 9 ter </t>
  </si>
  <si>
    <t xml:space="preserve">Dichiarazione Esposizione </t>
  </si>
  <si>
    <t>Escussione Confidi</t>
  </si>
  <si>
    <t>Dichiarazione esposizione soggetto finanziatore in Controgaranzia</t>
  </si>
  <si>
    <t>Dichiarazione esposizione - attivazione confidi inadempiente</t>
  </si>
  <si>
    <t>Versamento al soggetto finanziatore per escussione garanzia</t>
  </si>
  <si>
    <t>Impegno a Pagare</t>
  </si>
  <si>
    <t>Atto d'obbligo alla restituzione al Fondo delle somme rivenienti dalle Procedure di Recupero</t>
  </si>
  <si>
    <t>Atto d'obbligo - Operazioni di Locazione Finanziaria</t>
  </si>
  <si>
    <t>Garanzie reali e/o personali</t>
  </si>
  <si>
    <t>Aggiornamento garanzie acquisite</t>
  </si>
  <si>
    <t>Escussione Fidejussione</t>
  </si>
  <si>
    <t>Esito Procedure di Recupero</t>
  </si>
  <si>
    <t xml:space="preserve">Spese Legali </t>
  </si>
  <si>
    <t xml:space="preserve">Calcolo della perdita liquidabile </t>
  </si>
  <si>
    <t>Rinuncia Richiesta Attivazione</t>
  </si>
  <si>
    <t>Escussione - istruttoria</t>
  </si>
  <si>
    <t>Documentazione Contabile - Bilanci Approvati</t>
  </si>
  <si>
    <t>Documentazione Contabile - Dichiarazioni Fiscali</t>
  </si>
  <si>
    <t>Dimensione Aziendale - Compagine Societaria</t>
  </si>
  <si>
    <t>Dimensione Aziendale - Associazioni e/o Collegamenti ai sensi del DM 18/04/2005</t>
  </si>
  <si>
    <t xml:space="preserve">Verifica Centrale Rischi
</t>
  </si>
  <si>
    <t>Verifica Pregiudizievoli</t>
  </si>
  <si>
    <t>Contabile Versamento Commissioni "una tantum"</t>
  </si>
  <si>
    <t>Documentazione Maggiorazione Importo Base - Op. Importo Ridotto</t>
  </si>
  <si>
    <t>Documentazione realizzazione investimenti programmati</t>
  </si>
  <si>
    <t>Versamento Mezzi Propri</t>
  </si>
  <si>
    <t>Modulo richiesta agevolazione soggetto beneficiario finale (Allegato 4 - ex Allegato 1bis)</t>
  </si>
  <si>
    <t>Denuncia di furto del Bene - Operazioni di Locazione Finanziaria</t>
  </si>
  <si>
    <t>Fatture di Vendita del Bene - Operazioni di Locazione Finanziaria</t>
  </si>
  <si>
    <t>Dichiarazione aiuti de minimis</t>
  </si>
  <si>
    <t>Imprese colpite da Eventi Sismici maggio 2012 - Ubicazione Comune</t>
  </si>
  <si>
    <t>Imprese colpite da Eventi Sismici maggio 2012 - Danni Subiti</t>
  </si>
  <si>
    <t>Microcredito -  Servizi Ausiliari "Strategia di Sviluppo"</t>
  </si>
  <si>
    <t>Microcredito - Servizi Ausiliari "Tecniche di Amministrazione"</t>
  </si>
  <si>
    <t>Microcredito - Servizi Ausiliari "Individuazione Criticità"</t>
  </si>
  <si>
    <t>Microcredito - Servizi Ausiliari "Uso Tecnologie"</t>
  </si>
  <si>
    <t>Microcredito - Servizi Ausiliari "Definizione Prezzi"</t>
  </si>
  <si>
    <t>Microcredito - Servizi Ausiliari "Risoluzione Problemi Gestionali"</t>
  </si>
  <si>
    <t>Microcredito - Bilanci Approvati</t>
  </si>
  <si>
    <t>Microcredito - Dichiarazioni Fiscali</t>
  </si>
  <si>
    <t>Imprese Indotto Amm.ne Straordinaria</t>
  </si>
  <si>
    <t>Imprese Sociali</t>
  </si>
  <si>
    <t>Start-up Innovative / Incubatori d'impresa</t>
  </si>
  <si>
    <t>Contratti di Rete</t>
  </si>
  <si>
    <t>Professionisti e Studi Professionali</t>
  </si>
  <si>
    <t>Documentazione Conferma Garanzia</t>
  </si>
  <si>
    <t>Certificazione del Credito P.A.</t>
  </si>
  <si>
    <t>Capitale di Rischio - contratto di Investimento</t>
  </si>
  <si>
    <t>Capitale di Rischio - patti parasociali</t>
  </si>
  <si>
    <t>Capitale di Rischio - Statuto</t>
  </si>
  <si>
    <t xml:space="preserve">Capitale di Rischio - Verbale Assemblea Straordinaria </t>
  </si>
  <si>
    <t>Capitale di Rischio - Versamento aumento di capitale sociale</t>
  </si>
  <si>
    <t xml:space="preserve">Capitale di Rischio - Eventuali patti privati o side letter </t>
  </si>
  <si>
    <t xml:space="preserve">Capitale di Rischio - Copia dei certificati azionari </t>
  </si>
  <si>
    <t xml:space="preserve">Capitale di Rischio - Accordi e contratti </t>
  </si>
  <si>
    <t>Capitale di Rischio - bilanci riclassificati degli ultimi 3 anni</t>
  </si>
  <si>
    <t>Capitale di Rischio - Business plan</t>
  </si>
  <si>
    <t xml:space="preserve">Capitale di Rischio - Investment Memorandum </t>
  </si>
  <si>
    <t>Capitale di Rischio - Copia dei report di due diligence</t>
  </si>
  <si>
    <t>Capitale di Rischio - Copia dell’atto notarile di sottoscrizione della partecipazione</t>
  </si>
  <si>
    <t>Capitale di Rischio - Copia dell’atto notarile di dismissione della partecipazione</t>
  </si>
  <si>
    <t>Copia documento di identità Legale Rappresentante</t>
  </si>
  <si>
    <t>Accordi transattivi</t>
  </si>
  <si>
    <t>Allegato 16</t>
  </si>
  <si>
    <t>Allegato 16bis</t>
  </si>
  <si>
    <t>Proposta impresa</t>
  </si>
  <si>
    <t>Visure</t>
  </si>
  <si>
    <t>Esposizione debitoria impresa verso il soggetto finanziatore</t>
  </si>
  <si>
    <t xml:space="preserve">Esposizione dell’impresa e del garante verso i creditori </t>
  </si>
  <si>
    <t>Visure ipo-catastali (NEL CASO DI SALDO E STRALCIO)</t>
  </si>
  <si>
    <t>Visure ipo-catastali (NEL CASO DI SVINCOLO FIDEIUSORIO)</t>
  </si>
  <si>
    <t xml:space="preserve">Gravami </t>
  </si>
  <si>
    <t>Stima immobili</t>
  </si>
  <si>
    <t>Relazione tecnico-legale (NEL CASO DI SALDO E STRALCIO)</t>
  </si>
  <si>
    <t>Relazione tecnico-legale (NEL SVINCOLO FIDEIUSSORIO)</t>
  </si>
  <si>
    <t>Perfezionamento accordo transattivo</t>
  </si>
  <si>
    <t>Prolungamento della Garanzia</t>
  </si>
  <si>
    <t>Allegato 17</t>
  </si>
  <si>
    <t>Allegato 17bis</t>
  </si>
  <si>
    <t>Richiesta di prolungamento del soggetto beneficiario finale</t>
  </si>
  <si>
    <t>Richiesta prolungamento</t>
  </si>
  <si>
    <t>Delibera Prolungamento Finanziamento ai sensi Circ. 613/11</t>
  </si>
  <si>
    <t>Delibera Prolungamento Garanzia ai sensi Circ. 613/11</t>
  </si>
  <si>
    <t>Sospensione dei termini</t>
  </si>
  <si>
    <t>Richiesta sospensione</t>
  </si>
  <si>
    <t>Sospensione del procedimento di attivazione della garanzia</t>
  </si>
  <si>
    <t>Accordi di ristrutturazione</t>
  </si>
  <si>
    <t>ex. art. 182bis L.F- Situazione economico, patrimoniale e finanziaria aggiornata</t>
  </si>
  <si>
    <t>ex. art. 67 L.F.  - pubblicazione accordo</t>
  </si>
  <si>
    <t>ex. art. 182bis L.F- Accordo di Ristrutturazione</t>
  </si>
  <si>
    <t>ex. art. 182bis L.F - relazione/informazione professionista</t>
  </si>
  <si>
    <t>ex. art. 182bis L.F - impegno creditori</t>
  </si>
  <si>
    <t>ex. art. 182bis L.F. - pubblicazione accordo</t>
  </si>
  <si>
    <t>ex. art. 67 L.F. - Situazione economico, patrimoniale e finanziaria aggiornata</t>
  </si>
  <si>
    <t>ex. art. 67 L.F.  - Piano di risanamento</t>
  </si>
  <si>
    <t>ex. art. 67 L.F. - relazione/informazione professionista</t>
  </si>
  <si>
    <t>ex. art. 67 L.F.  - impegno creditori</t>
  </si>
  <si>
    <t>DATI NN NECESSARI</t>
  </si>
  <si>
    <t>DATA e SIGLA:</t>
  </si>
  <si>
    <t>ULTERIORE COND TEMPORALE EDR (CONDONO COM INA IN LUOGO EDR)</t>
  </si>
  <si>
    <t>Check 1 - TRANSATTIVE</t>
  </si>
  <si>
    <t>Check 2 - TRANSATTIVE</t>
  </si>
  <si>
    <r>
      <t xml:space="preserve">POI </t>
    </r>
    <r>
      <rPr>
        <i/>
        <sz val="8"/>
        <rFont val="Arial"/>
        <family val="2"/>
      </rPr>
      <t>energia</t>
    </r>
  </si>
  <si>
    <t>DATA DELIBERA VARIAZIONE MCC</t>
  </si>
  <si>
    <t>CHECH TIPO VAR DURATA</t>
  </si>
  <si>
    <t>INADEMPIMENTO</t>
  </si>
  <si>
    <t>INA TRANS OK</t>
  </si>
  <si>
    <t>CONTROLLO ALL.TO 4</t>
  </si>
  <si>
    <t>DATA DO</t>
  </si>
  <si>
    <t>DATA TRANS</t>
  </si>
  <si>
    <t>DATA COMUNICAZIONE AVVIO MCC</t>
  </si>
  <si>
    <t>SCAD ORIGINARIA</t>
  </si>
  <si>
    <t>INADE</t>
  </si>
  <si>
    <t>TERMINI PROLUNG EDR</t>
  </si>
  <si>
    <t>TERMINE PRESENTAZIONE PIANO NO</t>
  </si>
  <si>
    <t>TERMINE PRESENTAZIONE PIANO SI</t>
  </si>
  <si>
    <t>TIPO OP</t>
  </si>
  <si>
    <t>CHECK con piano si-no</t>
  </si>
  <si>
    <t>check finale</t>
  </si>
  <si>
    <t>TERMINI PROLUNG AVVIO SI - ESCUSSIONE</t>
  </si>
  <si>
    <t>MP/TOTPASS (D.O. EDR/POST DL FARE/DL FARE) ULTIMO EXE</t>
  </si>
  <si>
    <t>ESP SU FONDO VISIBILITA (1 SI; 0 NO)</t>
  </si>
  <si>
    <t>RATING EDR</t>
  </si>
  <si>
    <t>REGOLE TERMINI ESCUSSIONE - REGIME EVENTO DI RISCHIO RATING</t>
  </si>
  <si>
    <t>CONF INA</t>
  </si>
  <si>
    <t>DATA EVENTO AVVIO DO RATING</t>
  </si>
  <si>
    <t>DELIBERA VAR.NE FINANZIATORE</t>
  </si>
  <si>
    <t>EDR NO PIANO PRIMO INSERIMENTO CONCORSUALE (1 edr da com è mancato rientro a scad)</t>
  </si>
  <si>
    <t>settore codice ATECO</t>
  </si>
  <si>
    <t>settore codice check</t>
  </si>
  <si>
    <t>RACCORDO</t>
  </si>
  <si>
    <t>raccordo de minimis</t>
  </si>
  <si>
    <t>ANTE2010 (impo ridotto)</t>
  </si>
  <si>
    <t>mod ev_tipo</t>
  </si>
  <si>
    <t>DATA PRIMO INADEMPIMENTO</t>
  </si>
  <si>
    <t>VALORIZZARE</t>
  </si>
  <si>
    <t>CHECK VIS EDR_RULES ( 1 SI 0 NO)</t>
  </si>
  <si>
    <t>EDR_T1</t>
  </si>
  <si>
    <t>EDR_T2</t>
  </si>
  <si>
    <t>EDR_T3</t>
  </si>
  <si>
    <t>EDR_T4</t>
  </si>
  <si>
    <t>EDR_T6</t>
  </si>
  <si>
    <t>EDR_T7</t>
  </si>
  <si>
    <t>EDR_T9</t>
  </si>
  <si>
    <t>EDR_2</t>
  </si>
  <si>
    <t>EDR_3</t>
  </si>
  <si>
    <t>EDR_4</t>
  </si>
  <si>
    <t>EDR_T5,1</t>
  </si>
  <si>
    <t>EDR_T5,2</t>
  </si>
  <si>
    <t>MANCATO PERF.TO PROLUNGAMENTO</t>
  </si>
  <si>
    <t>VIS BOX ALL.TO 4 (1 SI 0 NO)</t>
  </si>
  <si>
    <t>TIPO REGIME DO</t>
  </si>
  <si>
    <t>CHECK CONGRUENZA DATE ATTIVAZIONE</t>
  </si>
  <si>
    <t>REGIME EVENTO</t>
  </si>
  <si>
    <t>Validazione:</t>
  </si>
  <si>
    <t>CONTROLLO EDR MANCATO PERFEZIONAMETO</t>
  </si>
  <si>
    <t>DATA CONS</t>
  </si>
  <si>
    <t>EDR_7</t>
  </si>
  <si>
    <t>EDR_7 - MANC PERF</t>
  </si>
  <si>
    <t>COMM/PROG</t>
  </si>
  <si>
    <t>% DA VER</t>
  </si>
  <si>
    <t>EDR_T8</t>
  </si>
  <si>
    <t>data</t>
  </si>
  <si>
    <t>sigla</t>
  </si>
  <si>
    <t>CE.RI.</t>
  </si>
  <si>
    <t>CONGRUENZA CE.RI. / PREGIUDIZIEVOLI</t>
  </si>
  <si>
    <t>DATA PRESENTAZIONE</t>
  </si>
  <si>
    <t>CERI</t>
  </si>
  <si>
    <t>PREG</t>
  </si>
  <si>
    <t>CHECK CERI</t>
  </si>
  <si>
    <t>AMM.NE -2M</t>
  </si>
  <si>
    <t>CHECK PREG</t>
  </si>
  <si>
    <t>AMM.NE -6M/+2Y</t>
  </si>
  <si>
    <t>Modello di Rating</t>
  </si>
  <si>
    <t>Importo Ridotto M_Rating</t>
  </si>
  <si>
    <t>Microcredito M_Rating</t>
  </si>
  <si>
    <t>Valutazione StartUp M_Rating</t>
  </si>
  <si>
    <t>13 Resto al Sud</t>
  </si>
  <si>
    <t>11 M_Rating - consolidamento op non già garantite (banca diversa)</t>
  </si>
  <si>
    <t>12 M_Rating - consolidamento op già garantite (stessa banca)</t>
  </si>
  <si>
    <t>Rischio Tripartito M_Rating</t>
  </si>
  <si>
    <t>Riassicurazione M_Rating</t>
  </si>
  <si>
    <t>Riassicurazione / Controgaranzia M_Rating</t>
  </si>
  <si>
    <t>M_RATING - CONFIDI</t>
  </si>
  <si>
    <t>COVID-19</t>
  </si>
  <si>
    <t>EMERGENZA COVID 19</t>
  </si>
  <si>
    <t>CHECK VISUALIZZAZIONE MICROCREDITO</t>
  </si>
  <si>
    <t>CHECK VIS 1 SI 0 NO</t>
  </si>
  <si>
    <t>Resto al Sud</t>
  </si>
  <si>
    <t>INFOCAMERE</t>
  </si>
  <si>
    <t>SIMULAZIONE</t>
  </si>
  <si>
    <t>MANUALE</t>
  </si>
  <si>
    <t>PORTALE IMPRESA</t>
  </si>
  <si>
    <t>DATI ECONOMICO FINANZIARIO</t>
  </si>
  <si>
    <t>DATA 1° RICHIESTA SOSPENSIONE A MCC</t>
  </si>
  <si>
    <t>ATTENZIONE: VERIFICA CORRETTO UTILIZZO LEGENDA MODELLI DI VALUTAZIONE PER CALCOLO SCORING -&gt;</t>
  </si>
  <si>
    <t>MOD RATING</t>
  </si>
  <si>
    <t>SOFFERENZE A SISTEMA</t>
  </si>
  <si>
    <t>PRESENTI</t>
  </si>
  <si>
    <t>ASSENTI</t>
  </si>
  <si>
    <t>CREDITI SCADUTI SCONFINATI &gt; 90GG</t>
  </si>
  <si>
    <t>IMPRESA IN DIFFICOLTA</t>
  </si>
  <si>
    <t>INADEMPIENZE PROBABILI</t>
  </si>
  <si>
    <t xml:space="preserve">ULTIMO ESERCIZIO DEPOSITATO </t>
  </si>
  <si>
    <t>MODELLO FINANZIARIO</t>
  </si>
  <si>
    <t>MODELLO ECONOMICO FINANZIARIO (1 NO CONTROLLO)</t>
  </si>
  <si>
    <t>TIPO PREGIUDIZIEVOLI</t>
  </si>
  <si>
    <t>cod</t>
  </si>
  <si>
    <t>descrizione</t>
  </si>
  <si>
    <t>Regola</t>
  </si>
  <si>
    <t>Famiglia</t>
  </si>
  <si>
    <t>Trattamento</t>
  </si>
  <si>
    <t>SENTENZA DI FALLIMENTO</t>
  </si>
  <si>
    <t>1-R</t>
  </si>
  <si>
    <t>Fallimento o similari</t>
  </si>
  <si>
    <t>Default</t>
  </si>
  <si>
    <t>ESECUZIONE IMMOBILIARE</t>
  </si>
  <si>
    <t>Ipoteca giudiziale / pignoramento</t>
  </si>
  <si>
    <t>tdb</t>
  </si>
  <si>
    <t>RICORSO PER DECRETO INGIUNTIVO</t>
  </si>
  <si>
    <t>CONCORDATO PREVENTIVO</t>
  </si>
  <si>
    <t>AMMINISTRAZIONE STRAORDINARIA</t>
  </si>
  <si>
    <t>AMMINISTRAZIONE CONTROLLATA</t>
  </si>
  <si>
    <t>LIQUIDAZIONE COATTA AMMINISTRATIVA</t>
  </si>
  <si>
    <t>AMMINISTRAZIONE GIUDIZIARIA</t>
  </si>
  <si>
    <t>BANCAROTTA FRAUDOLENTA</t>
  </si>
  <si>
    <t>BANCAROTTA SEMPLICE</t>
  </si>
  <si>
    <t>CONCORDATO FALLIMENTARE</t>
  </si>
  <si>
    <t>LIQUIDAZIONE GIUDIZIARIA</t>
  </si>
  <si>
    <t>SCIOGLIMENTO PER ATTO DELL'AUTORITA'</t>
  </si>
  <si>
    <t>SEQUESTRO GIUDIZIARIO</t>
  </si>
  <si>
    <t>STATO DI INSOLVENZA</t>
  </si>
  <si>
    <t>SEQUESTRO CONSERVATIVO DI QUOTE</t>
  </si>
  <si>
    <t>AMMISSIONE CONCORDATO</t>
  </si>
  <si>
    <t>IPOTECA GIUDIZIALE</t>
  </si>
  <si>
    <t>I.GIUDIZIALE PER DECRETO INGIUNTIVO</t>
  </si>
  <si>
    <t>IPOTECA GIUDIZIALE PER LODO ARBITRALE</t>
  </si>
  <si>
    <t>I.GIUDIZIALE PER SENTENZA DI CONDANNA</t>
  </si>
  <si>
    <t>DECRETO AMMISSIONE AMMINISTR.CONTROLLATA</t>
  </si>
  <si>
    <t>DECRETO DI AMMISSIONE CONCORDATO PREVENTIVO</t>
  </si>
  <si>
    <t>SENTENZA DICHIARATIVA DI FALLIMENTO</t>
  </si>
  <si>
    <t>SENT.OMOLOGAZ. CONCORDATO FALLIMENTARE</t>
  </si>
  <si>
    <t>IP.RINN.-I.GIUD. DECRETO INGIUNTIVO</t>
  </si>
  <si>
    <t>IP.RINN.-I.GIUD. LODO ARBITRALE</t>
  </si>
  <si>
    <t>IP.RINN.-I.GIUD. SENTENZA CONDANNA</t>
  </si>
  <si>
    <t>DECRETO SEQUESTRO CONSERVATIVO</t>
  </si>
  <si>
    <t>PIGNORAMENTO ESATTORIALE</t>
  </si>
  <si>
    <t>VERBALE DI PIGNORAMENTO IMMOBILI</t>
  </si>
  <si>
    <t>ORDINANZA SEQUESTRO CONSERVATIVO</t>
  </si>
  <si>
    <t>ORDINANZA SEQUESTRO CONSERVATIVO PENALE</t>
  </si>
  <si>
    <t>RICORSO PROVVEDIMENTO INGIUNTIVO</t>
  </si>
  <si>
    <t>CONCORDATO</t>
  </si>
  <si>
    <t>ESTENSIONE SENTENZA DI FALLIMENTO</t>
  </si>
  <si>
    <t>REVOCA AMMISSIONE AMMINISTRAZIONE CONTROLLATA</t>
  </si>
  <si>
    <t>R.U.-DECRETO AMMISSIONE AMM.CONTROLLATA</t>
  </si>
  <si>
    <t>R.U.-DECR.DI AMMISSIONE CONCORDATO PREV.</t>
  </si>
  <si>
    <t>R.U.-SENTENZA DICHIARATIVA DI FALLIMENTO</t>
  </si>
  <si>
    <t>R.U.-SENT.OMOLOGAZIONE CONCORDATO FALL.</t>
  </si>
  <si>
    <t>R.U.-DECR. SEQ. CONSERVATIVO</t>
  </si>
  <si>
    <t>R.U.-DECRETO DI SEQUESTRO CONSERVATIVO</t>
  </si>
  <si>
    <t>R.U.-PIGNORAMENTO ESATTORIALE</t>
  </si>
  <si>
    <t>R.U.-VERBALE DI PIGNORAMENTO IMMOBILI</t>
  </si>
  <si>
    <t>R.U.-ORDINANZA SEQUESTRO CONSERVATIVO</t>
  </si>
  <si>
    <t>R.U.-ORDIN.SEQUESTRO CONSERVATIVO PENALE</t>
  </si>
  <si>
    <t>R.P.-DECRETO AMMISSIONE AMM.CONTROLLATA</t>
  </si>
  <si>
    <t>R.P.-DECR.DI AMMISSIONE CONCORDATO PREV.</t>
  </si>
  <si>
    <t>R.P.-SENTENZA DICHIARATIVA DI FALLIMENTO</t>
  </si>
  <si>
    <t>R.P.-SENT.OMOLOGAZIONE CONCORDATO FALL.</t>
  </si>
  <si>
    <t>R.P.-DECR. SEQ. CONSERVATIVO</t>
  </si>
  <si>
    <t>R.P.-DECRETO DI SEQUESTRO CONSERVATIVO</t>
  </si>
  <si>
    <t>R.P.-PIGNORAMENTO ESATTORIALE</t>
  </si>
  <si>
    <t>R.P.-VERBALE DI PIGNORAMENTO IMMOBILI</t>
  </si>
  <si>
    <t>R.P.-ORDINANZA DI SEQUESTRO CONSERVATIVO</t>
  </si>
  <si>
    <t>R.P.-ORDIN.SEQUESTRO CONSERVATIVO PENALE</t>
  </si>
  <si>
    <t>R.U. - IPOTECA GIUDIZIALE</t>
  </si>
  <si>
    <t>R.U.-I.GIUD. DECRETO INGIUNTIVO</t>
  </si>
  <si>
    <t>R.U.-I.GIUD. LODO ARBITRALE</t>
  </si>
  <si>
    <t>R.U.-I.GIUD. SENTENZA CONDANNA</t>
  </si>
  <si>
    <t>A.R.-DECRETO AMMISSIONE AMM.CONTROLLATA</t>
  </si>
  <si>
    <t>A.R.-SENTENZA DICHIARATIVA DI FALLIMENTO</t>
  </si>
  <si>
    <t>A.R.-SENT.OMOLOGAZIONE CONCORDATO FALL.</t>
  </si>
  <si>
    <t>R.U.-I.RINN.-I.GIUD. DECRETO INGIUNTIVO</t>
  </si>
  <si>
    <t>R.U.-I.RINN.-I.GIUD. LODO ARBITRALE</t>
  </si>
  <si>
    <t>R.U.-I.RINN.-I.GIUD.SENTENZA CONDANNA</t>
  </si>
  <si>
    <t>A.R.-DECRETO DI SEQUESTRO CONSERVATIVO</t>
  </si>
  <si>
    <t>A.R.-PIGNORAMENTO ESATTORIALE</t>
  </si>
  <si>
    <t>A.R.-VERBALE DI PIGNORAMENTO IMMOBILI</t>
  </si>
  <si>
    <t>A.R.-ORDINANZA DI SEQUESTRO CONSERVATIVO</t>
  </si>
  <si>
    <t>A.R.-ORDIN.SEQUESTRO CONSERVATIVO PENALE</t>
  </si>
  <si>
    <t>COSTITUZIONE DI FONDO PATRIMONIALE</t>
  </si>
  <si>
    <t>2-G</t>
  </si>
  <si>
    <t>Altro</t>
  </si>
  <si>
    <t>Non rilevante</t>
  </si>
  <si>
    <t>I.GIUDIZIALE PER SENTENZA DI DIVORZIO</t>
  </si>
  <si>
    <t>I.GIUDIZIALE SENT.SEPARAZIONE PERSONALE</t>
  </si>
  <si>
    <t>IPOTECA LEGALE</t>
  </si>
  <si>
    <t>Ipoteca legale</t>
  </si>
  <si>
    <t>IPOTECA LEGALE PER COMPRAVENDITA</t>
  </si>
  <si>
    <t>IPOTECA LEGALE PER DIVISIONE</t>
  </si>
  <si>
    <t>I.LEGALE PER DIVISIONE A STRALCIO</t>
  </si>
  <si>
    <t>I.LEGALE ORDINANZA AUTORITA' GIUDIZIARIA</t>
  </si>
  <si>
    <t>I.LEGALE PROVVEDIMENTO PRES.TRIBUNALE</t>
  </si>
  <si>
    <t>I.LEGALE PER DECRETO MINISTRO INDUSTRIA</t>
  </si>
  <si>
    <t>DOMANDA GIUDIZIALE</t>
  </si>
  <si>
    <t>Domanda giudiziale</t>
  </si>
  <si>
    <t>DOM.GIUD.-ACCERTAMENTO DI DIRITTI REALI</t>
  </si>
  <si>
    <t>DOM.GIUD.-ACCERT.GIUDIZ.SOTTOSCRIZ.ATTI</t>
  </si>
  <si>
    <t>DOM.GIUD.-ACCERT.SIMULAZIONE ATTI</t>
  </si>
  <si>
    <t>DOM.GIUD.AFFRANCAZIONE FONDO ENFITEUTICO</t>
  </si>
  <si>
    <t>DOM.GIUD.-AZIONE DI RIVENDICAZIONE</t>
  </si>
  <si>
    <t>DOM.GIUD.-AZIONE NEGATORIA</t>
  </si>
  <si>
    <t>DOM.GIUD.-DEVOLUZIONE FONDO ENFITEUTICO</t>
  </si>
  <si>
    <t>DOM.GIUD.-DICH. DI ANNULLAMENTO DI ATTI</t>
  </si>
  <si>
    <t>DOM.GIUD.-DICH.INVALIDITA' TRASCRIZIONE</t>
  </si>
  <si>
    <t>DOM.GIUD.-DICH. DI NULLITA' DI ATTI</t>
  </si>
  <si>
    <t>DOM.GIUD.-DIVISIONE GIUDIZIALE</t>
  </si>
  <si>
    <t>DOM.GIUD.-ESECUZIONE IN FORMA SPECIFICA</t>
  </si>
  <si>
    <t>DOM.GIUD.-IMPUGN.ACQUISTI CAUSA DI MORTE</t>
  </si>
  <si>
    <t>D.GIUD.-IMP.RINUNZIA EREDITA' DA CREDIT.</t>
  </si>
  <si>
    <t>DOM.GIUD.-INTERRUZIONE USUCAPIONE</t>
  </si>
  <si>
    <t>DOM.GIUD.-OPPOSIZ. CREDITORI A DIVISIONE</t>
  </si>
  <si>
    <t>DOM.GIUD.-OPPOSIZ.TERZO CONTRO SENTENZE</t>
  </si>
  <si>
    <t>DOM.GIUD.-RESCISSIONE</t>
  </si>
  <si>
    <t>DOM.GIUD.-REVOCA ATTI SOGGETTI A TRASCR.</t>
  </si>
  <si>
    <t>DOM.GIUD.-REVOCAZIONE DONAZIONE</t>
  </si>
  <si>
    <t>DOM.GIUD.-REVOCAZ. TERZO CONTRO SENTENZE</t>
  </si>
  <si>
    <t>DOM.GIUD.-RIDUZ. DISPOSIZ.TESTAMENTARIA</t>
  </si>
  <si>
    <t>DOM.GIUD.-RIDUZIONE DONAZIONE</t>
  </si>
  <si>
    <t>DOM.GIUD.-RISCATTO IMMOBILI</t>
  </si>
  <si>
    <t>DOM.GIUD.-RISOLUZIONE DI CONTRATTO</t>
  </si>
  <si>
    <t>DOM.GIUD.RISOLUZ.PER INADEMPIMENTO ONERE</t>
  </si>
  <si>
    <t>DOM.GIUD.-SEPARAZIONE IMMOBILI DOTALI</t>
  </si>
  <si>
    <t>DOM.GIUD.-SEPARAZIONE GIUDIZIALE BENI</t>
  </si>
  <si>
    <t>ISCR.IN SEPARAZ. BENI A GARANZIA CREDITO</t>
  </si>
  <si>
    <t>I.IN SEPARAZ. BENI A GARANZIA LEGATO</t>
  </si>
  <si>
    <t>I.IN SEPARAZ.BENI NEL CASO DEFUNTO/EREDE</t>
  </si>
  <si>
    <t>APPRENSIONE BENI DEL CONIUGE DEL FALLITO</t>
  </si>
  <si>
    <t>DECRETO DI TRASFERIMENTO IMMOBILI</t>
  </si>
  <si>
    <t>SENT.CONFISCA BENI (L.47 DEL 28/2/1985)</t>
  </si>
  <si>
    <t>IP.RINN.-IP.LEGALE COMPRAVENDITA</t>
  </si>
  <si>
    <t>IP.RINN.-IP.LEGALE PER DIVISIONE</t>
  </si>
  <si>
    <t>IP.RINN.-IP.LEGALE DIVISIONE STRALCIO</t>
  </si>
  <si>
    <t>IP.RINN.-IP.LEGALE ORDIN.AUT.GIUDIZIARIA</t>
  </si>
  <si>
    <t>IP.RINN.-IP.LEGALE PROVV.PRES.TRIB.</t>
  </si>
  <si>
    <t>IP.RINN.-IP.LEGALE DECR.MIN.INDUSTRIA</t>
  </si>
  <si>
    <t>IP.RINN.-I.GIUD. SENTENZA DIVORZIO</t>
  </si>
  <si>
    <t>IP.RINN.-I.GIUD.SENT. SEPARAZIONE PERS.</t>
  </si>
  <si>
    <t>ATTO ESECUTIVO O CAUTELARE</t>
  </si>
  <si>
    <t>DECRETO DI SEQUESTRO PREVENTIVO</t>
  </si>
  <si>
    <t>SENTENZA CONDANNA ESECUTIVA</t>
  </si>
  <si>
    <t>R.U.-COSTITUZIONE DI FONDO PATRIMONIALE</t>
  </si>
  <si>
    <t>R.U.-DOMANDA GIUDIZIALE</t>
  </si>
  <si>
    <t>R.U.-ACCERTAMENTO DI DIRITTI REALI</t>
  </si>
  <si>
    <t>R.U.-ACCERT. GIUDIZ.SOTTOSCRIZIONE ATTI</t>
  </si>
  <si>
    <t>R.U.-ACCERTAMENTO SIMULAZIONE ATTI</t>
  </si>
  <si>
    <t>R.U.-AFFRANCAZIONE FONDO ENFITEUTICO</t>
  </si>
  <si>
    <t>R.U.-AZIONE NEGATORIA</t>
  </si>
  <si>
    <t>R.U.-DEVOLUZIONE FONDO ENFITEUTICO</t>
  </si>
  <si>
    <t>R.U.-DICHIARAZIONE ANNULLAMENTO ATTI</t>
  </si>
  <si>
    <t>R.U.-DICH. INVALIDITA' TRASCRIZIONI</t>
  </si>
  <si>
    <t>R.U.-DICHIARAZIONE DI NULLITA' DI ATTI</t>
  </si>
  <si>
    <t>R.U.-DIVISIONE GIUDIZIALE</t>
  </si>
  <si>
    <t>R.U.-ESECUZIONE IN FORMA SPECIFICA</t>
  </si>
  <si>
    <t>R.U.-IMPUGNAZ.ACQUISTI PER CAUSA MORTE</t>
  </si>
  <si>
    <t>R.U.-IMPUGNAZIONE DI RINUNZIA EREDITA'</t>
  </si>
  <si>
    <t>R.U.-INTERRUZIONE USUCAPIONE</t>
  </si>
  <si>
    <t>R.U.-OPPOSIZIONE CREDITORI A DIVISIONE</t>
  </si>
  <si>
    <t>R.U.-OPPOSIZ. DI TERZO CONTRO SENTENZE</t>
  </si>
  <si>
    <t>R.U.-RESCISSIONE</t>
  </si>
  <si>
    <t>R.U.-REVOCA ATTI SOGGETTI A TRASCRIZIONE</t>
  </si>
  <si>
    <t>R.U.-REVOCAZIONE DONAZIONE</t>
  </si>
  <si>
    <t>R.U.-REVOCAZ. DI TERZO CONTRO SENTENZE</t>
  </si>
  <si>
    <t>R.U.-RIDUZIONE DISPOSIZ. TESTAMENTARIA</t>
  </si>
  <si>
    <t>R.U.-RIDUZIONE DONAZIONE</t>
  </si>
  <si>
    <t>R.U.-RISCATTO IMMOBILI</t>
  </si>
  <si>
    <t>R.U.-RISOLUZIONE DI CONTRATTO</t>
  </si>
  <si>
    <t>R.U.-RISOLUZIONE PER INADEMPIMENTO ONERE</t>
  </si>
  <si>
    <t>R.U.-SEPARAZIONE DEGLI IMMOBILI DOTALI</t>
  </si>
  <si>
    <t>R.U.-SEPARAZIONE GIUDIZIALE DEI BENI</t>
  </si>
  <si>
    <t>R.U.-APPRENS. BENI CONIUGE DEL FALLITO</t>
  </si>
  <si>
    <t>R.U.-DECRETO DI TRASFERIMENTO IMMOBILI</t>
  </si>
  <si>
    <t>R.U.-SENTENZA DI CONFISCA BENI</t>
  </si>
  <si>
    <t>R.U.-ATTO ESECUTIVO O CAUTELARE</t>
  </si>
  <si>
    <t>R.P.-COSTITUZIONE DI FONDO PATRIMONIALE</t>
  </si>
  <si>
    <t>R.P.-DOMANDA GIUDIZIALE</t>
  </si>
  <si>
    <t>R.P.-ACCERTAMENTO DI DIRITTI REALI</t>
  </si>
  <si>
    <t>R.P.-ACCERT.GIUDIZ.SOTTOSCRIZIONE ATTI</t>
  </si>
  <si>
    <t>R.P.-ACCERTAMENTO SIMULAZIONE ATTI</t>
  </si>
  <si>
    <t>R.P.-AFFRANCAZIONE FONDO ENFITEUTICO</t>
  </si>
  <si>
    <t>R.P.-AZIONE DI RIVENDICAZIONE</t>
  </si>
  <si>
    <t>R.P.-AZIONE NEGATORIA</t>
  </si>
  <si>
    <t>R.P.-DEVOLUZIONE FONDO ENFITEUTICO</t>
  </si>
  <si>
    <t>R.P.-DICHIARAZIONE ANNULLAMENTO ATTI</t>
  </si>
  <si>
    <t>R.P.-DICH. INVALIDITA' TRASCRIZIONI</t>
  </si>
  <si>
    <t>R.P.-DICHIARAZIONE DI NULLITA' DI ATTI</t>
  </si>
  <si>
    <t>R.P.-DIVISIONE GIUDIZIALE</t>
  </si>
  <si>
    <t>R.P.-ESECUZIONE IN FORMA SPECIFICA</t>
  </si>
  <si>
    <t>R.P.-IMPUGNAZ.ACQUISTI PER CAUSA MORTE</t>
  </si>
  <si>
    <t>R.P.-IMPUGNAZIONE DI RINUNZIA EREDITA'</t>
  </si>
  <si>
    <t>R.P.-INTERRUZIONE USUCAPIONE</t>
  </si>
  <si>
    <t>R.P.-OPPOSIZIONE CREDITORI A DIVISIONE</t>
  </si>
  <si>
    <t>R.P.-OPPOSIZ. DI TERZO CONTRO SENTENZE</t>
  </si>
  <si>
    <t>R.P.-RESCISSIONE</t>
  </si>
  <si>
    <t>R.P.-REVOCA ATTI SOGGETTI A TRASCRIZIONE</t>
  </si>
  <si>
    <t>R.P.-REVOCAZIONE DONAZIONE</t>
  </si>
  <si>
    <t>R.P.-REVOCAZ.DI TERZO CONTRO SENTENZE</t>
  </si>
  <si>
    <t>R.P.-RIDUZIONE DISPOSIZ. TESTAMENTARIA</t>
  </si>
  <si>
    <t>R.P.-RIDUZIONE DONAZIONE</t>
  </si>
  <si>
    <t>R.P.-RISCATTO IMMOBILI</t>
  </si>
  <si>
    <t>R.P.-RISOLUZIONE DI CONTRATTO</t>
  </si>
  <si>
    <t>R.P.-RISOLUZIONE PER INADEMPIMENTO ONERE</t>
  </si>
  <si>
    <t>R.P.-SEPARAZIONE DEGLI IMMOBILI DOTALI</t>
  </si>
  <si>
    <t>R.P.-SEPARAZIONE GIUDIZIALE DEI BENI</t>
  </si>
  <si>
    <t>R.P.-APPRENS. BENI CONIUGE DEL FALLITO</t>
  </si>
  <si>
    <t>R.P.-DECRETO DI TRASFERIMENTO IMMOBILI</t>
  </si>
  <si>
    <t>R.P.-SENTENZA DI CONFISCA BENI</t>
  </si>
  <si>
    <t>R.P.-ATTO ESECUTIVO O CAUTELARE</t>
  </si>
  <si>
    <t>A.R.-COSTITUZIONE DI FONDO PATRIMONIALE</t>
  </si>
  <si>
    <t>R.U.-I.GIUD. SENTENZA DIVORZIO</t>
  </si>
  <si>
    <t>R.U.-I.GIUD. SENT.SEPARAZIONE PERSONALE</t>
  </si>
  <si>
    <t>A.R.-ATTO PER CAUSA DI MORTE</t>
  </si>
  <si>
    <t>R.U.-I.LEGALE COMPRAVENDITA</t>
  </si>
  <si>
    <t>R.U.-I.LEGALE PER DIVISIONE</t>
  </si>
  <si>
    <t>R.U.-I.LEGALE PER DIVISIONE A STRALCIO</t>
  </si>
  <si>
    <t>R.U.-I.LEGALE ORDIN.AUTORITA GIUDIZIARIA</t>
  </si>
  <si>
    <t>R.U.-I.LEGALE PROVV.PRESIDENTE TRIBUNALE</t>
  </si>
  <si>
    <t>R.U.-I.LEGALE DECR. MINISTRO INDUSTRIA</t>
  </si>
  <si>
    <t>A.R.-DOMANDA GIUDIZIALE</t>
  </si>
  <si>
    <t>A.R.-ACCERTAMENTO DI DIRITTI REALI</t>
  </si>
  <si>
    <t>A.R.-ACCERT.GIUDIZ.SOTTOSCRIZIONE ATTI</t>
  </si>
  <si>
    <t>A.R.-ACCERTAMENTO SIMULAZIONE ATTI</t>
  </si>
  <si>
    <t>A.R.-AFFRANCAZIONE FONDO ENFITEUTICO</t>
  </si>
  <si>
    <t>A.R.-AZIONE DI RIVENDICAZIONE</t>
  </si>
  <si>
    <t>A.R.-AZIONE NEGATORIA</t>
  </si>
  <si>
    <t>A.R.-DEVOLUZIONE FONDO ENFITEUTICO</t>
  </si>
  <si>
    <t>A.R.-DICHIARAZIONE ANNULLAMENTO ATTI</t>
  </si>
  <si>
    <t>A.R.-DICH. INVALIDITA' TRASCRIZIONI</t>
  </si>
  <si>
    <t>A.R.-DICHIARAZIONE DI NULLITA' DI ATTI</t>
  </si>
  <si>
    <t>A.R.-DIVISIONE GIUDIZIALE</t>
  </si>
  <si>
    <t>A.R.-ESECUZIONE IN FORMA SPECIFICA</t>
  </si>
  <si>
    <t>A.R.-IMPUGNAZ.ACQUISTI PER CAUSA MORTE</t>
  </si>
  <si>
    <t>A.R.-IMPUGNAZIONE DI RINUNZIA EREDITA'</t>
  </si>
  <si>
    <t>A.R.-INTERRUZIONE USUCAPIONE</t>
  </si>
  <si>
    <t>A.R.-OPPOSIZIONE CREDITORI A DIVISIONE</t>
  </si>
  <si>
    <t>A.R.-OPPOSIZ.DI TERZO CONTRO SENTENZE</t>
  </si>
  <si>
    <t>A.R.-RESCISSIONE</t>
  </si>
  <si>
    <t>A.R.-REVOCA ATTI SOGGETTI A TRASCRIZIONE</t>
  </si>
  <si>
    <t>A.R.-REVOCAZIONE DONAZIONE</t>
  </si>
  <si>
    <t>A.R.-REVOCAZ. DI TERZO CONTRO SENTENZE</t>
  </si>
  <si>
    <t>A.R.-RIDUZIONE DISPOSIZ. TESTAMENTARIA</t>
  </si>
  <si>
    <t>A.R.-RIDUZIONE DONAZIONE</t>
  </si>
  <si>
    <t>A.R.-RISCATTO IMMOBILI</t>
  </si>
  <si>
    <t>A.R.-RISOLUZIONE DI CONTRATTO</t>
  </si>
  <si>
    <t>A.R.-SEPARAZIONE DEGLI IMMOBILI DOTALI</t>
  </si>
  <si>
    <t>A.R.-SEPARAZIONE GIUDIZIALE DEI BENI</t>
  </si>
  <si>
    <t>A.R.-APPRENS. BENI CONIUGE DEL FALLITO</t>
  </si>
  <si>
    <t>A.R.-DECRETO DI TRASFERIMENTO IMMOBILI</t>
  </si>
  <si>
    <t>A.R.-SENTENZA DI CONFISCA BENI</t>
  </si>
  <si>
    <t>R.U.-IP.RINN.-IP.LEGALE COMPRAVENDITA</t>
  </si>
  <si>
    <t>R.U.-IP.RINN.-IP.LEGALE PER DIVISIONE</t>
  </si>
  <si>
    <t>R.U.-I.RINN.-I.LEG. DIVISIONE A STRALCIO</t>
  </si>
  <si>
    <t>R.U.-I.RINN.-I.LEG.ORDINANZA AUT.GIUDIZ.</t>
  </si>
  <si>
    <t>R.U.-I.RINN.-I.LEG. PROVV.PRES.TRIB.</t>
  </si>
  <si>
    <t>R.U.-I.RINN.-I.GIUD.SENTENZA DIVORZIO</t>
  </si>
  <si>
    <t>R.U.-I.RINN.-I.GIUD.SENT.SEPARAZ.PERSON.</t>
  </si>
  <si>
    <t>A.R.-ATTO ESECUTIVO O CAUTELARE</t>
  </si>
  <si>
    <t>A.R.-DECR. SEQ. PREVENTIVO</t>
  </si>
  <si>
    <t>IPOTECA VOLONTARIA</t>
  </si>
  <si>
    <t>3-V</t>
  </si>
  <si>
    <t>AFFRANCAZIONE</t>
  </si>
  <si>
    <t>ANTICRESI</t>
  </si>
  <si>
    <t>ASSEGNAZIONE A SOCIO DI COOP.EDILIZIA</t>
  </si>
  <si>
    <t>ASSEGN.A SOCIO PER SCIOGLIMENTO SOCIETA'</t>
  </si>
  <si>
    <t>ASSEGN. DIVIS. A CONTO FUTURA DIVISIONE</t>
  </si>
  <si>
    <t>ATTO UNILATERALE D'OBBLIGO EDILIZIO</t>
  </si>
  <si>
    <t>CESSIONE DI BENI AI CREDITORI</t>
  </si>
  <si>
    <t>CESSIONE DIRITTI REALI A TITOLO GRATUITO</t>
  </si>
  <si>
    <t>CESSIONE DIRITTI REALI TITOLO ONEROSO</t>
  </si>
  <si>
    <t>CESSIONE DI FITTI</t>
  </si>
  <si>
    <t>CESSIONE DI PIGIONI</t>
  </si>
  <si>
    <t>COMPRAVENDITA</t>
  </si>
  <si>
    <t>CONFERIMENTO IN ASSOCIAZIONE</t>
  </si>
  <si>
    <t>CONFERIMENTO IN CONSORZIO</t>
  </si>
  <si>
    <t>CONFERIMENTO IN SOCIETA'</t>
  </si>
  <si>
    <t>CONVENZIONE AMMINISTRATIVA</t>
  </si>
  <si>
    <t>CONVENZIONE EDILIZIA</t>
  </si>
  <si>
    <t>CONV. MATRIMONIALE DI COMUNIONE LEGALE</t>
  </si>
  <si>
    <t>CONV. MATRIMONIALE DI COMUNIONE CONVENZ.</t>
  </si>
  <si>
    <t>CONV. MATRIMONIALE DI SEPARAZIONE BENI</t>
  </si>
  <si>
    <t>COSTITUZIONE DI COMUNIONE REALE</t>
  </si>
  <si>
    <t>COSTIT. DIRITTI REALI A TITOLO GRATUITO</t>
  </si>
  <si>
    <t>COSTIT. DIRITTI REALI A TITOLO ONEROSO</t>
  </si>
  <si>
    <t>COSTITUZIONE DI FONDAZIONE</t>
  </si>
  <si>
    <t>COSTIT. VINCOLO (SE PREV.LEGGI SPECIALI)</t>
  </si>
  <si>
    <t>COSTIT.VINCOLO DESTINAZ.(LEGGI SPECIALI)</t>
  </si>
  <si>
    <t>COST.VINC. INDIVISIBILITA'(LEGGI SPEC.)</t>
  </si>
  <si>
    <t>COST. VINCOLO MILITARE (LEGGI SPECIALI)</t>
  </si>
  <si>
    <t>DICHIARAZIONE DI NOMINA</t>
  </si>
  <si>
    <t>DIVISIONE</t>
  </si>
  <si>
    <t>DIVISIONE A STRALCIO</t>
  </si>
  <si>
    <t>DONAZIONE ACCETTATA</t>
  </si>
  <si>
    <t>DONAZIONE FAVORE ENTE NON RICONOSCIUTO</t>
  </si>
  <si>
    <t>DONAZIONE A FAVORE DI NASCITURI</t>
  </si>
  <si>
    <t>DONAZIONE OBNUZIALE</t>
  </si>
  <si>
    <t>FUSIONE DI SOCIETA'</t>
  </si>
  <si>
    <t>FUSIONE DI SOCIETA' PER INCORPORAZIONE</t>
  </si>
  <si>
    <t>LIBERAZIONE DI FITTI</t>
  </si>
  <si>
    <t>LIBERAZIONE DI PIGIONI</t>
  </si>
  <si>
    <t>LOCAZIONE ULTRANOVENNALE</t>
  </si>
  <si>
    <t>MUTAMENTO DENOMINAZIONE/RAGIONE SOCIALE</t>
  </si>
  <si>
    <t>PERMUTA</t>
  </si>
  <si>
    <t>REGOLAMENTO DI CONDOMINIO</t>
  </si>
  <si>
    <t>RETROCESSIONE</t>
  </si>
  <si>
    <t>RINUNZIA</t>
  </si>
  <si>
    <t>TRASFORMAZIONE DI SOCIETA'</t>
  </si>
  <si>
    <t>TRASFERIMENTO SEDE SOCIALE</t>
  </si>
  <si>
    <t>ATTO DI CONFERMA(COME DA LEGGI SPECIALI)</t>
  </si>
  <si>
    <t>PRESTAZ.CON TRASFERIMENTO DIRITTI</t>
  </si>
  <si>
    <t>QUIETANZA CON TRASFERIMENTO DI PROPRIETA'</t>
  </si>
  <si>
    <t>RICOGNIZIONE DIRITTI REALI</t>
  </si>
  <si>
    <t>RICONOSCIMENTO PROPRIETA'</t>
  </si>
  <si>
    <t>VERB. SEPARAZ.CONSENSUALE CON ATTR.BENI</t>
  </si>
  <si>
    <t>FUSIONE SOCIETA'INCORPORAZ.EFF.DIFFERITO</t>
  </si>
  <si>
    <t>IP.VOL.A GARANZIA APERTURA CREDITO</t>
  </si>
  <si>
    <t>I.VOL.A GARANZIA DI CAMBIALI</t>
  </si>
  <si>
    <t>I.VOL.A GARANZIA CONCORDATO FALLIMENTARE</t>
  </si>
  <si>
    <t>I.VOL.A GARANZIA CONCORDATO PREVENTIVO</t>
  </si>
  <si>
    <t>I.VOL.A GARANZIA CONGUAGLIO DIVISIONALE</t>
  </si>
  <si>
    <t>I.VOL.A GARANZIA DILAZIONE IMPOSTE SUCC.</t>
  </si>
  <si>
    <t>I.VOL.A GARANZIA DILAZIONE INVIM</t>
  </si>
  <si>
    <t>I.VOL.A GARANZIA DI MUTUO</t>
  </si>
  <si>
    <t>I.VOL.A GARANZIA OBBLIGAZ. AL PORTATORE</t>
  </si>
  <si>
    <t>I.VOL.A GARANZIA MUTUO CONDIZIONATO</t>
  </si>
  <si>
    <t>I.VOL.A GARANZIA RENDITA VITALIZIA</t>
  </si>
  <si>
    <t>I.VOL.A GARANZIA RESIDUO PREZZO</t>
  </si>
  <si>
    <t>I.VOL. GARANZIA RENDITA PERPETUA</t>
  </si>
  <si>
    <t>I.VOL.A GARANZIA ANTICIPAZIONI FONDIARIE</t>
  </si>
  <si>
    <t>I.VOL.A GARANZIA DI FINANZIAMENTO</t>
  </si>
  <si>
    <t>I.VOL.A GARANZIA MUTUO FONDIARIO</t>
  </si>
  <si>
    <t>I.VOL. A GARANZIA MUTUO EDILIZIO</t>
  </si>
  <si>
    <t>I.VOL. A GARANZIA PER OPERE PUBBLICHE</t>
  </si>
  <si>
    <t>ACCETT.EREDITA' CON BENEFICIO INVENTARIO</t>
  </si>
  <si>
    <t>ACCETTAZIONE ESPRESSA DI EREDITA'</t>
  </si>
  <si>
    <t>ACCETTAZIONE TACITA DI EREDITA'</t>
  </si>
  <si>
    <t>ACQUISTO DI LEGATO</t>
  </si>
  <si>
    <t>CERTIFICATO DI DENUNCIATA SUCCESSIONE</t>
  </si>
  <si>
    <t>COSTIT.FONDO PATRIMONIALE PER TESTAMENTO</t>
  </si>
  <si>
    <t>DECR.NOMINA CURATORE EREDITARIO(ART.509)</t>
  </si>
  <si>
    <t>RILASCIO DEI BENI AI CREDITORI</t>
  </si>
  <si>
    <t>RILASCIO DEI BENI AI LEGATARI</t>
  </si>
  <si>
    <t>RINUNZIA AD EREDITA'</t>
  </si>
  <si>
    <t>RINUNZIA PURA E SEMPLICE AD EREDITA'</t>
  </si>
  <si>
    <t>VERBALE DI PUBBLICAZIONE TESTAMENTO</t>
  </si>
  <si>
    <t>RINUNZIA AD AZIONE DI RIDUZIONE</t>
  </si>
  <si>
    <t>IPOTECA SU CONCESSIONI AMMINISTRATIVE</t>
  </si>
  <si>
    <t>I.SU CONCESSIONE AMM. A GARANZIA FINANZ.</t>
  </si>
  <si>
    <t>COSTITUZIONE SERVITU' COATTIVA</t>
  </si>
  <si>
    <t>COSTITUZ.VINCOLI LEGALI (LEGGI SPECIALI)</t>
  </si>
  <si>
    <t>DEVOLUZIONE</t>
  </si>
  <si>
    <t>ESPROPRIAZIONE PER PUBBLICA UTILITA'</t>
  </si>
  <si>
    <t>OCCUPAZIONE IMMEDIATA DEI FONDI</t>
  </si>
  <si>
    <t>ORDINANZA SOSPENSIONE DI LOTTIZZAZIONE</t>
  </si>
  <si>
    <t>PROVV. ACQUIS.GRATUITA PATRIMONIO COMUNE</t>
  </si>
  <si>
    <t>PROVV.ACQUISIZ.GRATUITA PATRIMONIO STATO</t>
  </si>
  <si>
    <t>DEVOLUZIONE AD ENTI ECCLESIASTICI</t>
  </si>
  <si>
    <t>CONCESSIONE EDILIZIA (LEGGI SPECIALI)</t>
  </si>
  <si>
    <t>ATTO GIUDIZIARIO</t>
  </si>
  <si>
    <t>DECRETO ATTRIBUZIONE QUOTE PER DIVISIONE</t>
  </si>
  <si>
    <t>DECRETO NOMINA COMMISSARIO GIUDIZIALE</t>
  </si>
  <si>
    <t>LODO ARBITRALE COSTITUTIVO DIRITTI REALI</t>
  </si>
  <si>
    <t>LODO ARBITR.MOD.ESERCIZIO DIRITTI REALI</t>
  </si>
  <si>
    <t>LODO ARBITRALE PER DIVISIONE</t>
  </si>
  <si>
    <t>LODO ARBITRALE TRASLATIVO</t>
  </si>
  <si>
    <t>ORDINANZA APPROVAZ.PROGETTO DI DIVISIONE</t>
  </si>
  <si>
    <t>SENTENZA PRESCRIZIONE DI DIRITTI REALI</t>
  </si>
  <si>
    <t>SENTENZA COSTITUTIVA DI DIRITTI REALI</t>
  </si>
  <si>
    <t>SENTENZA ACQUISTO PER ALLUVIONE</t>
  </si>
  <si>
    <t>SENTENZA ACQUISTO PER USUCAPIONE</t>
  </si>
  <si>
    <t>SENT.MODIFICAT. ESERCIZIO DIRITTI REALI</t>
  </si>
  <si>
    <t>SENTENZA PER DIVISIONE</t>
  </si>
  <si>
    <t>SENTENZA TRASLATIVA</t>
  </si>
  <si>
    <t>VERB.CONCILIAZIONE COSTITUTIVO DIR.REALI</t>
  </si>
  <si>
    <t>VERB.CONCILIAZ.MODIFICA DIRITTI REALI</t>
  </si>
  <si>
    <t>VERBALE DI CONCILIAZIONE TRASLATIVO</t>
  </si>
  <si>
    <t>DECRETO ACQUISTO PER USUCAPIONE</t>
  </si>
  <si>
    <t>ORDINANZA DIVISIONALE</t>
  </si>
  <si>
    <t>DECRETO DI RITRASFERIMENTO IMMOBILI</t>
  </si>
  <si>
    <t>IP.RINN.-I.VOL.GARANZIA APERT.CREDITO</t>
  </si>
  <si>
    <t>IP.RINN.-I.VOL.GARANZIA CAMBIALI</t>
  </si>
  <si>
    <t>IP.RINN.-I.VOL.GARANZIA CONC.FALLIM.</t>
  </si>
  <si>
    <t>IP.RINN.-I.VOL.GARANZIA CONC.PREVENTIVO</t>
  </si>
  <si>
    <t>IP.RINN.-I.VOL.GARANZIA CONG.DIVISIONALE</t>
  </si>
  <si>
    <t>IP.RINN.-I.VOL.GARANZIA IMP.SUCCESSIONE</t>
  </si>
  <si>
    <t>IP.RINN.-I.VOL.GARANZIA DILAZIONE INVIM</t>
  </si>
  <si>
    <t>IP.RINN.-I.VOL.GARANZIA DI MUTUO</t>
  </si>
  <si>
    <t>IP.RINN.-I.VOL GARANZIA OBBL.PORTATORE</t>
  </si>
  <si>
    <t>IP.RINN.-I.VOL.GARANZIA MUTUO CONDIZION.</t>
  </si>
  <si>
    <t>I.RINN.-I.VOL.GARANZIA RENDITA VITALIZIA</t>
  </si>
  <si>
    <t>IP.RINN.-I.VOL.GARANZIA RESIDUO PREZZO</t>
  </si>
  <si>
    <t>IP.RINN.-I.VOL.GARANZIA RENDITA PERPETUA</t>
  </si>
  <si>
    <t>I.RINN.-I.VOL.GARANZIA ANTICIP.FONDIARIE</t>
  </si>
  <si>
    <t>IP.RINN.-I.VOL.GARANZIA FINANZIAMENTO</t>
  </si>
  <si>
    <t>IP.RINN.-I.VOL.GARANZIA MUTUO FONDIARIO</t>
  </si>
  <si>
    <t>IP.RINN.-I.VOL.GARANZIA MUTUO EDILIZIO</t>
  </si>
  <si>
    <t>IP.RINN.-I.VOL.GARANZIA OPERE PUBBLICHE</t>
  </si>
  <si>
    <t>ANNULLAMENTO</t>
  </si>
  <si>
    <t>AVVENUTA TRASCRIZIONE DI ATTO</t>
  </si>
  <si>
    <t>AVVENUTA TRASCR. DOMANDA GIUDIZIARIA</t>
  </si>
  <si>
    <t>AVVERAMENTO DI CONDIZIONE RISOLUTIVA</t>
  </si>
  <si>
    <t>CANCELLAZIONE CONDIZIONE SOSPENSIVA</t>
  </si>
  <si>
    <t>CANCELLAZIONE TERMINE INIZIALE</t>
  </si>
  <si>
    <t>DECRETO DEFINITIVO DEL TRIBUNALE</t>
  </si>
  <si>
    <t>DECRETO DEFINITIVO CORTE D'APPELLO</t>
  </si>
  <si>
    <t>DECRETO ESECUTIVO DEL TRIBUNALE</t>
  </si>
  <si>
    <t>DECRETO TRASFERIMENTO</t>
  </si>
  <si>
    <t>DEVOLUZIONE FONDO ENFITEUTICO</t>
  </si>
  <si>
    <t>DICHIARAZIONE DI RILASCIO BENI IPOTECATI</t>
  </si>
  <si>
    <t>IMPEDIMENTO AD ACQUISTO CAUSA DI MORTE</t>
  </si>
  <si>
    <t>INEFFICACIA PARZIALE</t>
  </si>
  <si>
    <t>INEFFICACIA TOTALE</t>
  </si>
  <si>
    <t>MODIFICA CONVENZIONE MATRIMONIALE</t>
  </si>
  <si>
    <t>NULLITA'</t>
  </si>
  <si>
    <t>PROPOSIZIONE RECLAMO CORTE D'APPELLO</t>
  </si>
  <si>
    <t>PROPOSIZIONE RICORSO AL TRIBUNALE</t>
  </si>
  <si>
    <t>QUIETANZA</t>
  </si>
  <si>
    <t>RESCISSIONE</t>
  </si>
  <si>
    <t>RESTRIZIONE DEI BENI</t>
  </si>
  <si>
    <t>RILASCIO BENI AI CREDITORI</t>
  </si>
  <si>
    <t>RILASCIO BENI AI LEGATARI</t>
  </si>
  <si>
    <t>RISOLUZIONE</t>
  </si>
  <si>
    <t>CANCELLAZIONE PARZIALE DI VINCOLO</t>
  </si>
  <si>
    <t>IP.RIPET.-ASSEGN.RIORDINAM. PROPR.RURALE</t>
  </si>
  <si>
    <t>IP.RIPETIZIONE - DIVISIONE</t>
  </si>
  <si>
    <t>ANNOTAZIONE ALL' ISCRIZIONE</t>
  </si>
  <si>
    <t>ASSEGNAZIONE DEL CREDITO</t>
  </si>
  <si>
    <t>CAMBIAMENTO DOMICILIO IPOTECARIO</t>
  </si>
  <si>
    <t>CANCELLAZIONE TOTALE</t>
  </si>
  <si>
    <t>CESSIONE DELL'IPOTECA</t>
  </si>
  <si>
    <t>EROGAZIONE A SALDO</t>
  </si>
  <si>
    <t>EROGAZIONE PARZIALE</t>
  </si>
  <si>
    <t>FRAZIONAMENTO IN QUOTA</t>
  </si>
  <si>
    <t>NOMINA RAPPRESENTANTI OBBLIGAZIONISTI</t>
  </si>
  <si>
    <t>PEGNO</t>
  </si>
  <si>
    <t>PERMUTA DI GRADO</t>
  </si>
  <si>
    <t>PIGNORAMENTO</t>
  </si>
  <si>
    <t>POSTERGAZIONE DI GRADO</t>
  </si>
  <si>
    <t>QUIETANZA E CONFERMA</t>
  </si>
  <si>
    <t>RESTRIZIONE DI BENI</t>
  </si>
  <si>
    <t>RETTIFICA (ARTT.2841 E 2886 COD. CIV.)</t>
  </si>
  <si>
    <t>RIDUZIONE DI SOMMA</t>
  </si>
  <si>
    <t>SEQUESTRO</t>
  </si>
  <si>
    <t>SUBINGRESSO (ART.2866 COD. CIV.)</t>
  </si>
  <si>
    <t>SURROGAZIONE</t>
  </si>
  <si>
    <t>CANCELLAZIONE TOTALE DI PRIVILEGIO</t>
  </si>
  <si>
    <t>CANCELLAZIONE PARZIALE DI PRIVILEGIO</t>
  </si>
  <si>
    <t>SURROGAZIONE PARZIALE</t>
  </si>
  <si>
    <t>ANNOTAZIONE ALLA ANNOTAZIONE</t>
  </si>
  <si>
    <t>CANCELLAZIONE</t>
  </si>
  <si>
    <t>ANNULLAMENTO PER ERRONEA ACQUISIZIONE</t>
  </si>
  <si>
    <t>PRIV.RINN.-PRIV. AGRARIO CONVENZIONALE</t>
  </si>
  <si>
    <t>PRIV.RINN.-PRIV.SPECIALE INDUSTRIALE</t>
  </si>
  <si>
    <t>PRIV.RINNOVAZIONE - PRIVILEGIO</t>
  </si>
  <si>
    <t>R.U.-ATTO TRA VIVI</t>
  </si>
  <si>
    <t>R.U.-AFFRANCAZIONE</t>
  </si>
  <si>
    <t>R.U.-ANTICRESI</t>
  </si>
  <si>
    <t>R.U.-ASSEGNAZIONE A SOCIO COOP.EDILIZIA</t>
  </si>
  <si>
    <t>R.U.-ASSEGN.A SOCIO SCIOGLIMENTO SOCIETA</t>
  </si>
  <si>
    <t>R.U.-ASSEGN.DIVIS.CONTO FUTURA DIVISIONE</t>
  </si>
  <si>
    <t>R.U.-ATTO UNILATERALE OBBLIGO EDILIZIO</t>
  </si>
  <si>
    <t>R.U.-CESSIONE DI BENI AI CREDITORI</t>
  </si>
  <si>
    <t>R.U.-CESS. DIRITTI REALI TITOLO GRATUITO</t>
  </si>
  <si>
    <t>R.U.-CESS.DIRITTI REALI A TITOLO ONEROSO</t>
  </si>
  <si>
    <t>R.U.-CESSIONE DI FITTI</t>
  </si>
  <si>
    <t>R.U.-CESSIONE DI PIGIONI</t>
  </si>
  <si>
    <t>R.U.-COMPRAVENDITA</t>
  </si>
  <si>
    <t>R.U.-CONFERIMENTO IN ASSOCIAZIONE</t>
  </si>
  <si>
    <t>R.U.-CONFERIMENTO IN CONSORZIO</t>
  </si>
  <si>
    <t>R.U.-CONFERIMENTO IN SOCIETA'</t>
  </si>
  <si>
    <t>R.U.-CONVENZIONE AMMINISTRATIVA</t>
  </si>
  <si>
    <t>R.U.-CONVENZIONE EDILIZIA</t>
  </si>
  <si>
    <t>R.U.-CONVENZ. MATRIM. COMUNIONE LEGALE</t>
  </si>
  <si>
    <t>R.U.-CONV.MATRIM.COMUNIONE CONVENZIONALE</t>
  </si>
  <si>
    <t>R.U.-CONV.MATRIMONIALE SEPARAZIONE BENI</t>
  </si>
  <si>
    <t>R.U.-COSTITUZIONE DI COMUNIONE REALE</t>
  </si>
  <si>
    <t>R.U.-COST. DIRITTI REALI TITOLO GRATUITO</t>
  </si>
  <si>
    <t>R.U.-COST. DIRITTI REALI TITOLO ONEROSO</t>
  </si>
  <si>
    <t>R.U.-COSTITUZIONE DI FONDAZIONE</t>
  </si>
  <si>
    <t>R.U.-COSTITUZIONE VINCOLO-LEGGI SPECIALI</t>
  </si>
  <si>
    <t>R.U.-COSTIT. VINCOLO DESTINAZIONE</t>
  </si>
  <si>
    <t>R.U.-COSTITUZIONE VINCOLO INDIVISIBILITA</t>
  </si>
  <si>
    <t>R.U.-COSTITUZIONE DI VINCOLO MILITARE</t>
  </si>
  <si>
    <t>R.U.-DICHIARAZIONE DI NOMINA</t>
  </si>
  <si>
    <t>R.U.-DIVISIONE</t>
  </si>
  <si>
    <t>R.U.-DIVISIONE A STRALCIO</t>
  </si>
  <si>
    <t>R.U.-DONAZIONE ACCETTATA</t>
  </si>
  <si>
    <t>R.U.-DONAZ. FAVORE ENTE NON RICONOSCIUTO</t>
  </si>
  <si>
    <t>R.U.-DONAZIONE A FAVORE DI NASCITURI</t>
  </si>
  <si>
    <t>R.U.-DONAZIONE OBNUZIALE</t>
  </si>
  <si>
    <t>R.U.-FUSIONE DI SOCIETA'</t>
  </si>
  <si>
    <t>R.U.-FUSIONE SOCIETA' PER INCORPORAZIONE</t>
  </si>
  <si>
    <t>R.U.-LIBERAZIONE DI FITTI</t>
  </si>
  <si>
    <t>R.U.-LIBERAZIONE DI PIGIONI</t>
  </si>
  <si>
    <t>R.U.-LOCAZIONE ULTRANOVENNALE</t>
  </si>
  <si>
    <t>R.U.-MUTAMENTO DENOMIN./RAGIONE SOCIALE</t>
  </si>
  <si>
    <t>R.U.-PERMUTA</t>
  </si>
  <si>
    <t>R.U.-REGOLAMENTO DI CONDOMINIO</t>
  </si>
  <si>
    <t>R.U.-RETROCESSIONE</t>
  </si>
  <si>
    <t>R.U.-RINUNZIA</t>
  </si>
  <si>
    <t>R.U.-TRASFORMAZIONE DI SOCIETA'</t>
  </si>
  <si>
    <t>R.U.-TRASFERIMENTO SEDE SOCIALE</t>
  </si>
  <si>
    <t>R.U.-ATTO DI CONFERMA (QUANDO PREVISTO)</t>
  </si>
  <si>
    <t>R.U.-PRESTAZIONE CON TRASFER.DIRITTI</t>
  </si>
  <si>
    <t>R.U.-QUIETANZA CON TRASFERIM. PROPRIETA'</t>
  </si>
  <si>
    <t>R.U.-RICOGNIZIONE DI DIRITTI REALI</t>
  </si>
  <si>
    <t>R.U.-RICONOSCIMENTO DI PROPRIETA'</t>
  </si>
  <si>
    <t>R.U.-VERB.SEP.CONSENSUALE CON ATTR.BENI</t>
  </si>
  <si>
    <t>R.U.-ATTO PER CAUSA DI MORTE</t>
  </si>
  <si>
    <t>R.U.-ACC.EREDITA'CON BENEFICIO INVENT.</t>
  </si>
  <si>
    <t>R.U.-ACCETTAZIONE ESPRESSA DI EREDITA'</t>
  </si>
  <si>
    <t>R.U.-ACCETTAZIONE TACITA DI EREDITA'</t>
  </si>
  <si>
    <t>R.U.-ACQUISTO DI LEGATO</t>
  </si>
  <si>
    <t>R.U.-CERTIFICATO DENUNCIATA SUCCESSIONE</t>
  </si>
  <si>
    <t>R.U.-COST. FONDO PATRIMON.PER TESTAMENTO</t>
  </si>
  <si>
    <t>R.U.-DECRETO NOMINA CURATORE EREDITARIO</t>
  </si>
  <si>
    <t>R.U.-RILASCIO DEI BENI AI CREDITORI</t>
  </si>
  <si>
    <t>R.U.-RILASCIO DEI BENI AI LEGATARI</t>
  </si>
  <si>
    <t>R.U.-RINUNZIA AD EREDITA'</t>
  </si>
  <si>
    <t>R.U.-RINUNZIA PURA E SEMPLICE A EREDITA'</t>
  </si>
  <si>
    <t>R.U.-VERBALE PUBBLICAZIONE TESTAMENTO</t>
  </si>
  <si>
    <t>R.U.-RINUNZIA AD AZIONE DI RIDUZIONE</t>
  </si>
  <si>
    <t>R.U.-ATTO AMMINISTRATIVO</t>
  </si>
  <si>
    <t>R.U.-CONCESSIONE MINERARIA</t>
  </si>
  <si>
    <t>R.U.-COSTITUZIONE SERVITU' COATTIVA</t>
  </si>
  <si>
    <t>R.U.-COSTITUZIONE VINCOLI LEGALI</t>
  </si>
  <si>
    <t>R.U.-DEVOLUZIONE</t>
  </si>
  <si>
    <t>R.U.-ESPROPRIAZIONE PER PUBBLICA UTILITA</t>
  </si>
  <si>
    <t>R.U.-OCCUPAZIONE IMMEDIATA DEI FONDI</t>
  </si>
  <si>
    <t>R.U.-ORDINANZA SOSPENSIONE LOTTIZZAZIONE</t>
  </si>
  <si>
    <t>R.U.-ACQUISIZ.GRATUITA AL PATRIM.COMUNE</t>
  </si>
  <si>
    <t>R.U.-ACQUISIZ.GRATUITA PATRIMONIO STATO</t>
  </si>
  <si>
    <t>R.U.-DEVOLUZIONE AD ENTI ECCLESIASTICI</t>
  </si>
  <si>
    <t>R.U.-CONCESSIONE EDILIZIA</t>
  </si>
  <si>
    <t>R.U.-AZIONE DI RIVENDICAZIONE</t>
  </si>
  <si>
    <t>R.U.-ATTO GIUDIZIARIO</t>
  </si>
  <si>
    <t>R.U.-DECR. ATTRIB. QUOTE PER DIVISIONE</t>
  </si>
  <si>
    <t>R.U.-DECRETO NOMINA COMMISSARIO GIUD.</t>
  </si>
  <si>
    <t>R.U.-LODO ARBITR. COSTITUT.DIRITTI REALI</t>
  </si>
  <si>
    <t>R.U.-LODO ARBITRALE MODIF.DIRITTI REALI</t>
  </si>
  <si>
    <t>R.U.-LODO ARBITRALE PER DIVISIONE</t>
  </si>
  <si>
    <t>R.U.-LODO ARBITRALE TRASLATIVO</t>
  </si>
  <si>
    <t>R.U.-ORDINANZA APPROV.PROGETTO DIVISIONE</t>
  </si>
  <si>
    <t>R.U.-SENT.CHE PRESCRIVE DIRITTI REALI</t>
  </si>
  <si>
    <t>R.U.-SENT.COSTITUTIVA DI DIRITTI REALI</t>
  </si>
  <si>
    <t>R.U.-SENTENZA DI ACQUISTO PER ALLUVIONE</t>
  </si>
  <si>
    <t>R.U.-SENTENZA ACQUISTO PER USUCAPIONE</t>
  </si>
  <si>
    <t>R.U.-SENT.MODIFICATIVA DIRITTI REALI</t>
  </si>
  <si>
    <t>R.U.-SENTENZA PER DIVISIONE</t>
  </si>
  <si>
    <t>R.U.-SENTENZA TRASLATIVA</t>
  </si>
  <si>
    <t>R.U.-VERB.CONCIL.COSTITUTIVO DIR.REALI</t>
  </si>
  <si>
    <t>R.U.-VERB.CONCIL.MODIFICATIVO DIR. REALI</t>
  </si>
  <si>
    <t>R.U.-VERB.CONCILIAZIONE TRASLATIVO</t>
  </si>
  <si>
    <t>R.U.-DECRETO ACQUISTO PER USUCAPIONE</t>
  </si>
  <si>
    <t>R.U.-ORDINANZA DIVISIONALE</t>
  </si>
  <si>
    <t>R.U.-DECRETO RITRASFERIMENTO IMMOBILI</t>
  </si>
  <si>
    <t>R.P.-ATTO TRA VIVI</t>
  </si>
  <si>
    <t>R.P.-AFFRANCAZIONE</t>
  </si>
  <si>
    <t>R.P.-ANTICRESI</t>
  </si>
  <si>
    <t>R.P.-ASSEGNAZIONE A SOCIO COOP.EDILIZIA</t>
  </si>
  <si>
    <t>R.P.-ASSEGN.A SOCIO SCIOGLIMENTO SOCIETA</t>
  </si>
  <si>
    <t>R.P.-ASSEGN.DIVIS.CONTO FUTURA DIVISIONE</t>
  </si>
  <si>
    <t>R.P.-ATTO UNILATERALE OBBLIGO EDILIZIO</t>
  </si>
  <si>
    <t>R.P.-CESSIONE DI BENI AI CREDITORI</t>
  </si>
  <si>
    <t>R.P.-CESS. DIRITTI REALI TITOLO GRATUITO</t>
  </si>
  <si>
    <t>R.P.-CESS.DIRITTI REALI A TITOLO ONEROSO</t>
  </si>
  <si>
    <t>R.P.-CESSIONE DI FITTI</t>
  </si>
  <si>
    <t>R.P.-CESSIONE DI PIGIONI</t>
  </si>
  <si>
    <t>R.P.-COMPRAVENDITA</t>
  </si>
  <si>
    <t>R.P.-CONFERIMENTO IN ASSOCIAZIONE</t>
  </si>
  <si>
    <t>R.P.-CONFERIMENTO IN CONSORZIO</t>
  </si>
  <si>
    <t>R.P.-CONFERIMENTO IN SOCIETA'</t>
  </si>
  <si>
    <t>R.P.-CONVENZIONE AMMINISTRATIVA</t>
  </si>
  <si>
    <t>R.P.-CONVENZIONE EDILIZIA</t>
  </si>
  <si>
    <t>R.P.-CONVENZ.MATRIM.COMUNIONE LEGALE</t>
  </si>
  <si>
    <t>R.P.-CONV.MATRIM.COMUNIONE CONVENZIONALE</t>
  </si>
  <si>
    <t>R.P.-CONV.MATRIMONIALE SEPARAZIONE BENI</t>
  </si>
  <si>
    <t>R.P.-COSTITUZIONE DI COMUNIONE REALE</t>
  </si>
  <si>
    <t>R.P.-COST. DIRITTI REALI TITOLO GRATUITO</t>
  </si>
  <si>
    <t>R.P.-COST. DIRITTI REALI TITOLO ONEROSO</t>
  </si>
  <si>
    <t>R.P.-COSTITUZIONE DI FONDAZIONE</t>
  </si>
  <si>
    <t>R.P.-COSTITUZIONE VINCOLO-LEGGI SPECIALI</t>
  </si>
  <si>
    <t>R.P.-COSTITUZIONE VINCOLO DESTINAZIONE</t>
  </si>
  <si>
    <t>R.P.-COSTITUZIONE VINCOLO INDIVISIBILITA</t>
  </si>
  <si>
    <t>R.P.-COSTITUZIONE DI VINCOLO MILITARE</t>
  </si>
  <si>
    <t>R.P.-DICHIARAZIONE DI NOMINA</t>
  </si>
  <si>
    <t>R.P.-DIVISIONE</t>
  </si>
  <si>
    <t>R.P.-DIVISIONE A STRALCIO</t>
  </si>
  <si>
    <t>R.P.-DONAZIONE ACCETTATA</t>
  </si>
  <si>
    <t>R.P.-DONAZ. FAVORE ENTE NON RICONOSCIUTO</t>
  </si>
  <si>
    <t>R.P.-DONAZIONE A FAVORE DI NASCITURI</t>
  </si>
  <si>
    <t>R.P.-DONAZIONE OBNUZIALE</t>
  </si>
  <si>
    <t>R.P.-FUSIONE DI SOCIETA'</t>
  </si>
  <si>
    <t>R.P.-FUSIONE SOCIETA' PER INCORPORAZIONE</t>
  </si>
  <si>
    <t>R.P.-LIBERAZIONE DI FITTI</t>
  </si>
  <si>
    <t>R.P.-LIBERAZIONE DI PIGIONI</t>
  </si>
  <si>
    <t>R.P.-LOCAZIONE ULTRANOVENNALE</t>
  </si>
  <si>
    <t>R.P.-MUTAMENTO DENOMIN./RAGIONE SOCIALE</t>
  </si>
  <si>
    <t>R.P.-PERMUTA</t>
  </si>
  <si>
    <t>R.P.-REGOLAMENTO DI CONDOMINIO</t>
  </si>
  <si>
    <t>R.P.-RETROCESSIONE</t>
  </si>
  <si>
    <t>R.P.-RINUNZIA</t>
  </si>
  <si>
    <t>R.P.-TRASFORMAZIONE DI SOCIETA'</t>
  </si>
  <si>
    <t>R.P.-TRASFERIMENTO SEDE SOCIALE</t>
  </si>
  <si>
    <t>R.P.-ATTO DI CONFERMA (QUANDO PREVISTO)</t>
  </si>
  <si>
    <t>R.P.-PRESTAZIONE CON TRASFER.DIRITTI</t>
  </si>
  <si>
    <t>R.P.-QUIETANZA CON TRASFERIM.PROPRIETA'</t>
  </si>
  <si>
    <t>R.P.-RICOGNIZIONE DI DIRITTI REALI</t>
  </si>
  <si>
    <t>R.P.-RICONOSCIMENTO DI PROPRIETA'</t>
  </si>
  <si>
    <t>R.P.-VERB.SEP.CONSENSUALE CON ATTR.BENI</t>
  </si>
  <si>
    <t>R.P.-ATTO PER CAUSA DI MORTE</t>
  </si>
  <si>
    <t>R.P.-ACC.EREDITA'CON BENEFICIO INVENT.</t>
  </si>
  <si>
    <t>R.P.-ACCETTAZIONE ESPRESSA DI EREDITA'</t>
  </si>
  <si>
    <t>R.P.-ACCETTAZIONE TACITA DI EREDITA'</t>
  </si>
  <si>
    <t>R.P.-ACQUISTO DI LEGATO</t>
  </si>
  <si>
    <t>R.P.-CERTIFICATO DENUNCIATA SUCCESSIONE</t>
  </si>
  <si>
    <t>R.P.-DECRETO NOMINA CURATORE EREDITARIO</t>
  </si>
  <si>
    <t>R.P.-RILASCIO DEI BENI AI CREDITORI</t>
  </si>
  <si>
    <t>R.P.-RILASCIO DEI BENI AI LEGATARI</t>
  </si>
  <si>
    <t>R.P.-RINUNZIA AD EREDITA'</t>
  </si>
  <si>
    <t>R.P.-RINUNZIA PURA E SEMPLICE A EREDITA'</t>
  </si>
  <si>
    <t>R.P.-VERBALE PUBBLICAZIONE TESTAMENTO</t>
  </si>
  <si>
    <t>R.P.-RINUNZIA AD AZIONE DI RIDUZIONE</t>
  </si>
  <si>
    <t>R.P.-ATTO AMMINISTRATIVO</t>
  </si>
  <si>
    <t>R.P.-CONCESSIONE MINERARIA</t>
  </si>
  <si>
    <t>R.P.-COSTITUZIONE SERVITU' COATTIVA</t>
  </si>
  <si>
    <t>R.P.-COSTITUZIONE VINCOLI LEGALI</t>
  </si>
  <si>
    <t>R.P.-DEVOLUZIONE</t>
  </si>
  <si>
    <t>R.P.-ESPROPRIAZIONE PER PUBBLICA UTILITA</t>
  </si>
  <si>
    <t>R.P.-OCCUPAZIONE IMMEDIATA DEI FONDI</t>
  </si>
  <si>
    <t>R.P.-ORDINANZA SOSPENSIONE LOTTIZZAZIONE</t>
  </si>
  <si>
    <t>R.P.-ACQUISIZ.GRATUITA AL PATRIM.COMUNE</t>
  </si>
  <si>
    <t>R.P.-ACQUISIZ.GRATUITA PATRIMONIO STATO</t>
  </si>
  <si>
    <t>R.P.-DEVOLUZIONE AD ENTI ECCLESIASTICI</t>
  </si>
  <si>
    <t>R.P.-CONCESSIONE EDILIZIA</t>
  </si>
  <si>
    <t>R.P.-ATTO GIUDIZIARIO</t>
  </si>
  <si>
    <t>R.P.-DECR. ATTRIB.QUOTE PER DIVISIONE</t>
  </si>
  <si>
    <t>R.P.-DECRETO NOMINA COMMISSARIO GIUD.</t>
  </si>
  <si>
    <t>R.P.-LODO ARBITR. COSTITUT.DIRITTI REALI</t>
  </si>
  <si>
    <t>R.P.-LODO ARBITRALE MODIF.DIRITTI REALI</t>
  </si>
  <si>
    <t>R.P.-LODO ARBITRALE PER DIVISIONE</t>
  </si>
  <si>
    <t>R.P.-LODO ARBITRALE TRASLATIVO</t>
  </si>
  <si>
    <t>R.P.-ORDINANZA APPROV.PROGETTO DIVISIONE</t>
  </si>
  <si>
    <t>R.P.-SENT.CHE PRESCRIVE DIRITTI REALI</t>
  </si>
  <si>
    <t>R.P.-SENT.COSTITUTIVA DI DIRITTI REALI</t>
  </si>
  <si>
    <t>R.P.-SENTENZA DI ACQUISTO PER ALLUVIONE</t>
  </si>
  <si>
    <t>R.P.-SENTENZA DI ACQUISTO PER USUCAPIONE</t>
  </si>
  <si>
    <t>R.P.-SENT. MODIFICATIVA DIRITTI REALI</t>
  </si>
  <si>
    <t>R.P.-SENTENZA PER DIVISIONE</t>
  </si>
  <si>
    <t>R.P.-SENTENZA TRASLATIVA</t>
  </si>
  <si>
    <t>R.P.-VERB.CONCIL.COSTITUTIVO DIR.REALI</t>
  </si>
  <si>
    <t>R.P.-VERB.CONCIL.MODIFICATIVO DIR.REALI</t>
  </si>
  <si>
    <t>R.P.-VERB.CONCILIAZIONE TRASLATIVO</t>
  </si>
  <si>
    <t>R.P.-DECRETO ACQUISTO PER USUCAPIONE</t>
  </si>
  <si>
    <t>R.P.-ORDINANZA DIVISIONALE</t>
  </si>
  <si>
    <t>R.P.-DECRETO RITRASFERIMENTO IMMOBILI</t>
  </si>
  <si>
    <t>A.R.-ATTO TRA VIVI</t>
  </si>
  <si>
    <t>A.R.-AFFRANCAZIONE</t>
  </si>
  <si>
    <t>A.R.-ANTICRESI</t>
  </si>
  <si>
    <t>A.R.-ASSEGNAZIONE A SOCIO COOP.EDILIZIA</t>
  </si>
  <si>
    <t>A.R.-ASSEGN.A SOCIO SCIOGLIMENTO SOCIETA</t>
  </si>
  <si>
    <t>A.R.-ASSEGN.DIVIS.CONTO FUTURA DIVISIONE</t>
  </si>
  <si>
    <t>A.R.-ATTO UNILATERALE OBBLIGO EDILIZIO</t>
  </si>
  <si>
    <t>A.R.-CESSIONE DI BENI AI CREDITORI</t>
  </si>
  <si>
    <t>A.R.-CESS. DIRITTI REALI TITOLO GRATUITO</t>
  </si>
  <si>
    <t>A.R.-CESS.DIRITTI REALI A TITOLO ONEROSO</t>
  </si>
  <si>
    <t>A.R.-CESSIONE DI FITTI</t>
  </si>
  <si>
    <t>A.R.-CESSIONE DI PIGIONI</t>
  </si>
  <si>
    <t>A.R.-COMPRAVENDITA</t>
  </si>
  <si>
    <t>A.R.-CONFERIMENTO IN ASSOCIAZIONE</t>
  </si>
  <si>
    <t>A.R.-CONFERIMENTO IN CONSORZIO</t>
  </si>
  <si>
    <t>A.R.-CONFERIMENTO IN SOCIETA'</t>
  </si>
  <si>
    <t>A.R.-CONVENZIONE AMMINISTRATIVA</t>
  </si>
  <si>
    <t>A.R.-CONVENZIONE EDILIZIA</t>
  </si>
  <si>
    <t>A.R.-CONVENZ.MATRIM.COMUNIONE LEGALE</t>
  </si>
  <si>
    <t>A.R.-CONV.MATRIM.COMUNIONE CONVENZIONALE</t>
  </si>
  <si>
    <t>A.R.-CONV.MATRIMONIALE SEPARAZIONE BENI</t>
  </si>
  <si>
    <t>A.R.-COSTITUZIONE DI COMUNIONE REALE</t>
  </si>
  <si>
    <t>A.R.-COST. DIRITTI REALI TITOLO GRATUITO</t>
  </si>
  <si>
    <t>A.R.-COST.DIRITTI REALI TITOLO ONEROSO</t>
  </si>
  <si>
    <t>A.R.-COSTITUZIONE DI FONDAZIONE</t>
  </si>
  <si>
    <t>A.R.-COSTITUZIONE VINCOLO-LEGGI SPECIALI</t>
  </si>
  <si>
    <t>A.R.-COSTITUZIONE VINCOLO DESTINAZIONE</t>
  </si>
  <si>
    <t>A.R.-COSTITUZIONE VINCOLO INDIVISIBILITA</t>
  </si>
  <si>
    <t>A.R.-COSTITUZIONE DI VINCOLO MILITARE</t>
  </si>
  <si>
    <t>A.R.-DICHIARAZIONE DI NOMINA</t>
  </si>
  <si>
    <t>A.R.-DIVISIONE</t>
  </si>
  <si>
    <t>A.R.-DIVISIONE A STRALCIO</t>
  </si>
  <si>
    <t>A.R.-DONAZIONE ACCETTATA</t>
  </si>
  <si>
    <t>A.R.-DONAZ. FAVORE ENTE NON RICONOSCIUTO</t>
  </si>
  <si>
    <t>A.R.-DONAZIONE A FAVORE DI NASCITURI</t>
  </si>
  <si>
    <t>A.R.-DONAZIONE OBNUZIALE</t>
  </si>
  <si>
    <t>A.R.-FUSIONE DI SOCIETA'</t>
  </si>
  <si>
    <t>A.R.-FUSIONE SOCIETA' PER INCORPORAZIONE</t>
  </si>
  <si>
    <t>A.R.-LIBERAZIONE DI FITTI</t>
  </si>
  <si>
    <t>A.R.-LIBERAZIONE DI PIGIONI</t>
  </si>
  <si>
    <t>A.R.-LOCAZIONE ULTRANOVENNALE</t>
  </si>
  <si>
    <t>A.R.-MUTAMENTO DENOMIN./RAGIONE SOCIALE</t>
  </si>
  <si>
    <t>A.R.-PERMUTA</t>
  </si>
  <si>
    <t>A.R.-REGOLAMENTO DI CONDOMINIO</t>
  </si>
  <si>
    <t>A.R.-RETROCESSIONE</t>
  </si>
  <si>
    <t>A.R.-RINUNZIA</t>
  </si>
  <si>
    <t>A.R.-TRASFORMAZIONE DI SOCIETA'</t>
  </si>
  <si>
    <t>A.R.-TRASFERIMENTO SEDE SOCIALE</t>
  </si>
  <si>
    <t>A.R.-ATTO DI CONFERMA (QUANDO PREVISTO)</t>
  </si>
  <si>
    <t>A.R.-PRESTAZIONE CON TRASFER.DIRITTI</t>
  </si>
  <si>
    <t>A.R.-QUIETANZA CON TRASFERIM.PROPRIETA'</t>
  </si>
  <si>
    <t>A.R.-RICOGNIZIONE DI DIRITTI REALI</t>
  </si>
  <si>
    <t>A.R.-RICONOSCIMENTO DI PROPRIETA'</t>
  </si>
  <si>
    <t>A.R.-VERB.SEP.CONSENSUALE CON ATTR.BENI</t>
  </si>
  <si>
    <t>R.U.-I.VOL.GARANZIA APERTURA CREDITO</t>
  </si>
  <si>
    <t>R.U.-I.VOL. GARANZIA DI CAMBIALI</t>
  </si>
  <si>
    <t>R.U.-I.VOL.GARANZIA CONCORDATO FALL.</t>
  </si>
  <si>
    <t>R.U.-I.VOL.GARANZIA CONCORD. PREVENTIVO</t>
  </si>
  <si>
    <t>R.U.-I.VOL.GARANZ.CONGUAGLIO DIVISIONALE</t>
  </si>
  <si>
    <t>R.U.-I.VOL.GAR.DILAZIONE IMP.SUCCESSIONE</t>
  </si>
  <si>
    <t>R.U.-I.VOL.GARANZIA DILAZIONE INVIM</t>
  </si>
  <si>
    <t>R.U.-I.VOL.GARANZIA DI MUTUO</t>
  </si>
  <si>
    <t>R.U.-I.VOL.GARANZIA OBBLIGAZ. PORTATORE</t>
  </si>
  <si>
    <t>R.U.-I.VOL.GARANZIA MUTUO CONDIZIONATO</t>
  </si>
  <si>
    <t>R.U.-I.VOL.GARANZIA RENDITA VITALIZIA</t>
  </si>
  <si>
    <t>R.U.-I.VOL.GARANZIA RESIDUO PREZZO</t>
  </si>
  <si>
    <t>R.U.-I.VOL.GARANZIA RENDITA PERPETUA</t>
  </si>
  <si>
    <t>R.U.-I.VOL.GARANZIA ANTICIPAZ. FONDIARIE</t>
  </si>
  <si>
    <t>R.U.-I.VOL.GARANZIA FINANZIAMENTO</t>
  </si>
  <si>
    <t>R.U.-I.VOL.GARANZIA MUTUO FONDIARIO</t>
  </si>
  <si>
    <t>R.U.-I.VOL.GARANZIA MUTUO EDILIZIO</t>
  </si>
  <si>
    <t>R.U.-I.VOL.GARANZIE PER OPERE PUBBLICHE</t>
  </si>
  <si>
    <t>A.R.-ACC.EREDITA'CON BENEFICIO INV.</t>
  </si>
  <si>
    <t>A.R.-ACCETTAZIONE ESPRESSA DI EREDITA'</t>
  </si>
  <si>
    <t>A.R.-ACCETTAZIONE TACITA DI EREDITA'</t>
  </si>
  <si>
    <t>A.R.-ACQUISTO DI LEGATO</t>
  </si>
  <si>
    <t>A.R.-CERTIFICATO DENUNCIATA SUCCESSIONE</t>
  </si>
  <si>
    <t>A.R.-DECRETO NOMINA CURATORE EREDITARIO</t>
  </si>
  <si>
    <t>A.R.-RILASCIO DEI BENI AI CREDITORI</t>
  </si>
  <si>
    <t>A.R.-RILASCIO DEI BENI AI LEGATARI</t>
  </si>
  <si>
    <t>A.R.-RINUNZIA AD EREDITA'</t>
  </si>
  <si>
    <t>A.R.-RINUNZIA PURA E SEMPLICE A EREDITA'</t>
  </si>
  <si>
    <t>A.R.-VERBALE PUBBLICAZIONE TESTAMENTO</t>
  </si>
  <si>
    <t>A.R.-RINUNZIA AD AZIONE DI RIDUZIONE</t>
  </si>
  <si>
    <t>A.R.-ATTO AMMINISTRATIVO</t>
  </si>
  <si>
    <t>A.R.-CONCESSIONE MINERARIA</t>
  </si>
  <si>
    <t>A.R.-COSTITUZIONE SERVITU' COATTIVA</t>
  </si>
  <si>
    <t>A.R.-COSTITUZIONE VINCOLI LEGALI</t>
  </si>
  <si>
    <t>A.R.-DEVOLUZIONE</t>
  </si>
  <si>
    <t>A.R.-ESPROPRIAZIONE PER PUBBLICA UTILITA</t>
  </si>
  <si>
    <t>A.R.-OCCUPAZIONE IMMEDIATA DEI FONDI</t>
  </si>
  <si>
    <t>A.R.-ORDINANZA SOSPENSIONE LOTTIZZAZIONE</t>
  </si>
  <si>
    <t>A.R.-ACQUISIZ.GRATUITA AL PATRIM.COMUNE</t>
  </si>
  <si>
    <t>A.R.-ACQUISIZ.GRATUITA PATRIMONIO STATO</t>
  </si>
  <si>
    <t>A.R.-DEVOLUZIONE AD ENTI ECCLESIASTICI</t>
  </si>
  <si>
    <t>A.R.-CONCESSIONE EDILIZIA</t>
  </si>
  <si>
    <t>A.R.-RISOLUZIONE PER INADEMPIMENTO ONERE</t>
  </si>
  <si>
    <t>R.U.-ISCR.SEPAR.BENI A GARANZIA CREDITO</t>
  </si>
  <si>
    <t>R.U.-ISCR.SEPARAZ.BENI A GARANZIA LEGATO</t>
  </si>
  <si>
    <t>R.U.-I.SEPARAZ.BENI CASO DEFUNTO/EREDE</t>
  </si>
  <si>
    <t>A.R.-ATTO GIUDIZIARIO</t>
  </si>
  <si>
    <t>A.R.-DECR.DI AMMISSIONE CONCORDATO PREV.</t>
  </si>
  <si>
    <t>A.R.-DECR. ATTRIB.QUOTE PER DIVISIONE</t>
  </si>
  <si>
    <t>A.R.-DECRETO NOMINA COMMISSARIO GIUD.</t>
  </si>
  <si>
    <t>A.R.-LODO ARBITR. COSTITUT.DIRITTI REALI</t>
  </si>
  <si>
    <t>A.R.-LODO ARBITRALE MODIF.DIRITTI REALI</t>
  </si>
  <si>
    <t>A.R.-LODO ARBITRALE PER DIVISIONE</t>
  </si>
  <si>
    <t>A.R.-LODO ARBITRALE TRASLATIVO</t>
  </si>
  <si>
    <t>A.R.-ORDINANZA APPROV.PROGETTO DIVISIONE</t>
  </si>
  <si>
    <t>A.R.-SENT. CHE PRESCRIVE DIRITTI REALI</t>
  </si>
  <si>
    <t>A.R.-SENT.COSTITUTIVA DI DIRITTI REALI</t>
  </si>
  <si>
    <t>A.R.-SENTENZA DI ACQUISTO PER ALLUVIONE</t>
  </si>
  <si>
    <t>A.R.-SENTENZA DI ACQUISTO PER USUCAPIONE</t>
  </si>
  <si>
    <t>A.R.-SENT. MODIFICATIVA DIRITTI REALI</t>
  </si>
  <si>
    <t>A.R.-SENTENZA PER DIVISIONE</t>
  </si>
  <si>
    <t>A.R.-SENTENZA TRASLATIVA</t>
  </si>
  <si>
    <t>A.R.-VERB.CONCIL.COSTITUTIVO DIR.REALI</t>
  </si>
  <si>
    <t>A.R.-VERB.CONCIL.MODIFICATIVO DIR.REALI</t>
  </si>
  <si>
    <t>A.R.-VERB. CONCILIAZIONE TRASLATIVO</t>
  </si>
  <si>
    <t>A.R.-DECRETO ACQUISTO PER USUCAPIONE</t>
  </si>
  <si>
    <t>A.R.-ORDINANZA DIVISIONALE</t>
  </si>
  <si>
    <t>A.R.-DECRETO RITRASFERIMENTO IMMOBILI</t>
  </si>
  <si>
    <t>R.U.-I.RINN.-I.LEG. DECR.MIN.INDUSTRIA</t>
  </si>
  <si>
    <t>R.U.-I.RINN.-I.VOL. GARANZIA AP. CREDITO</t>
  </si>
  <si>
    <t>R.U.-I.RINN.-I.VOL. GARANZIA CAMBIALI</t>
  </si>
  <si>
    <t>R.U.-I.RINN.-I.VOL.GARANZIA CONC.FALLIM.</t>
  </si>
  <si>
    <t>R.U.-I.RINN.-I.VOL. PER CONC.PREVENTIVO</t>
  </si>
  <si>
    <t>R.U.-I.RINN.-I.VOL.PER CONGUAGLIO DIVIS.</t>
  </si>
  <si>
    <t>R.U.-I.RINN.-I.VOL.DILAZIONE IMP.SUCC.</t>
  </si>
  <si>
    <t>R.U.-I.RINN.-I.VOL. DILAZIONE INVIM</t>
  </si>
  <si>
    <t>R.U.-I.RINN.-I.VOL. A GARANZIA MUTUO</t>
  </si>
  <si>
    <t>R.U.-I.RINN.-I.VOL. PER OBBLIG.PORTATORE</t>
  </si>
  <si>
    <t>R.U.-I.RINN.-I.VOL. MUTUO CONDIZIONATO</t>
  </si>
  <si>
    <t>R.U.-I.RINN.-I.VOL. RENDITA VITALIZIA</t>
  </si>
  <si>
    <t>R.U.-I.RINN.-I.VOL. PER RESIDUO PREZZO</t>
  </si>
  <si>
    <t>R.U.-I.RINN.-I.VOL. RENDITA PERPETUA</t>
  </si>
  <si>
    <t>R.U.-I.RINN.-I.VOL.ANTICIPAZ. FONDIARIE</t>
  </si>
  <si>
    <t>R.U.-I.RINN.-I.VOL. GARANZIA FINANZIAM.</t>
  </si>
  <si>
    <t>R.U.-I.RINN.-I.VOL. PER MUTUO FONDIARIO</t>
  </si>
  <si>
    <t>R.U.-I.RINN.-I.VOL. PER MUTUO EDILIZIO</t>
  </si>
  <si>
    <t>R.U.-I.RINN.-I.VOL.GARANZIA OPERE PUBBL.</t>
  </si>
  <si>
    <t>R.U.-I.RIPET.ASSEGNAZ.RIORD.PROPR.RURALE</t>
  </si>
  <si>
    <t>R.U.-I.RIPETIZIONE- DIVISIONE</t>
  </si>
  <si>
    <t>R.U. - PRIVILEGIO AGRARIO CONVENZIONALE</t>
  </si>
  <si>
    <t>R.U.-PRIV.AGRARIO PER PRESTITO AGRARIO</t>
  </si>
  <si>
    <t>R.U. - PRIVILEGIO SPECIALE INDUSTRIALE</t>
  </si>
  <si>
    <t>R.U.-PRIVILEGIO IND. PER FINANZIAMENTO</t>
  </si>
  <si>
    <t>R.U. - PRIVILEGIO (PREV. LEGGI SPECIALI)</t>
  </si>
  <si>
    <t>R.U.-PRIV.RINN.-AGRARIO CONVENZIONALE</t>
  </si>
  <si>
    <t>R.U.-PRIV.RINN.-SPECIALE INDUSTRIALE</t>
  </si>
  <si>
    <t>R.U.-PRIV,RINNOVAZIONE- PRIVILEGIO</t>
  </si>
  <si>
    <t>PRESENTI - RILEVANTI</t>
  </si>
  <si>
    <t>PRESENTI - NON RILEVANTI</t>
  </si>
  <si>
    <t>CE.RI. SISTEMA 6 M</t>
  </si>
  <si>
    <t>CR  ANDAMENTALE</t>
  </si>
  <si>
    <t>CE.RI. BDI</t>
  </si>
  <si>
    <t>CREDIT BUREAU CRIF</t>
  </si>
  <si>
    <t>CREDIT BUREAU CERVED</t>
  </si>
  <si>
    <t xml:space="preserve">CREDIT BUREAU </t>
  </si>
  <si>
    <t>CRIF</t>
  </si>
  <si>
    <t>VUOTO</t>
  </si>
  <si>
    <t>CERVED</t>
  </si>
  <si>
    <t>AMMISSIONE (da modulo di domanda)</t>
  </si>
  <si>
    <t>CLASSE VALUTAZIONE</t>
  </si>
  <si>
    <t>FASCIA VALUTAZIONE</t>
  </si>
  <si>
    <t>PROBABILITA' INADEMPIMENTO</t>
  </si>
  <si>
    <t>ESCUSSIONE (da calcolo modello scoring ASM)</t>
  </si>
  <si>
    <t>MODELLO ECONOMICO FINANZIARIO</t>
  </si>
  <si>
    <t>MODULO ANDAMENTALE</t>
  </si>
  <si>
    <t>NO VISUALIZZAZIONE DATI SCORING D.O. 15/03/2019  (1 NO VISUALIZZAZIONE)</t>
  </si>
  <si>
    <t>..\..\..\..\00 FORMAZIONE\Modelli scoring</t>
  </si>
  <si>
    <t>PERSONE FISICHE ESERCENTI ATTIVITA' IMPRESA CON P.IVA</t>
  </si>
  <si>
    <t>ASSOCIAZIONI PROFESSIONALI E SOCIETA' TRA PROFESSIONISTI</t>
  </si>
  <si>
    <t>AGENTI DI ASSICURAZIONE - SUB AGENTI DI ASS.NE - BROKER ASS.VI</t>
  </si>
  <si>
    <t>ENTI DEL TERZO SETTORE - RELIGIOSI - ESERCENTI ATT.TA IMPRESA O COMMERCIALE</t>
  </si>
  <si>
    <t>REGIME DI AIUTO</t>
  </si>
  <si>
    <t>REGIME DI AITO</t>
  </si>
  <si>
    <t>ESL</t>
  </si>
  <si>
    <t>T. FRAMEWORK 3.1</t>
  </si>
  <si>
    <t>T. FRAMEWORK 3.2</t>
  </si>
  <si>
    <t>A</t>
  </si>
  <si>
    <t>B</t>
  </si>
  <si>
    <t>C</t>
  </si>
  <si>
    <t>D</t>
  </si>
  <si>
    <t>CHECK DE MINIMIS</t>
  </si>
  <si>
    <t>Σ IMPORTO MAX GAR LETT.M + PREMI T.F. 3.2</t>
  </si>
  <si>
    <t>Σ PREMI T.F. 3.2</t>
  </si>
  <si>
    <t>VIS LABEL</t>
  </si>
  <si>
    <t>CHECK 3.1/3.2</t>
  </si>
  <si>
    <t>CHECK FIN</t>
  </si>
  <si>
    <t>14 Lettera m) art 13 DL Liquidità</t>
  </si>
  <si>
    <t>Lettera m) art13 DL Liquidità</t>
  </si>
  <si>
    <t>DATA START</t>
  </si>
  <si>
    <t>COMMISSIONI UNA TANTUM (1 GRATUITA - 0 PAGA)</t>
  </si>
  <si>
    <t>PERIODI NORMATIVA EMERGENZIALE</t>
  </si>
  <si>
    <t>CURA ITALIA</t>
  </si>
  <si>
    <t>DL LIQUIDITA'</t>
  </si>
  <si>
    <t>DL LIQUIDITA' CONVERTITO</t>
  </si>
  <si>
    <t>LEGGE DI BILANCIO</t>
  </si>
  <si>
    <t>T.F 3.2 (72 MESI)</t>
  </si>
  <si>
    <t xml:space="preserve">MIDCAP FINO A 499 FINO A </t>
  </si>
  <si>
    <t xml:space="preserve">MIDCAP FINO A 249 DA </t>
  </si>
  <si>
    <t>DATA</t>
  </si>
  <si>
    <t>LETTERA M ART 13 DL LIQUIDITA</t>
  </si>
  <si>
    <t>25 K 72 M</t>
  </si>
  <si>
    <t>30 K 120 M</t>
  </si>
  <si>
    <t>30 K 180 M</t>
  </si>
  <si>
    <t>M1</t>
  </si>
  <si>
    <t>M2</t>
  </si>
  <si>
    <t>M3</t>
  </si>
  <si>
    <t>DATA PRESENTAZIONE RICHIESTA AMMISSIONE</t>
  </si>
  <si>
    <t>TIPO LETTERA M</t>
  </si>
  <si>
    <t>VIS CHECK (1SI 0NO)</t>
  </si>
  <si>
    <t>DURATA AMM.TO</t>
  </si>
  <si>
    <t>DURATA PREAMM.TO</t>
  </si>
  <si>
    <t>DICHIARAZIONE DANNI ALL.TO 4BIS</t>
  </si>
  <si>
    <t>Professionisti e studi professionali</t>
  </si>
  <si>
    <t>Pers. fisiche con P.IVA</t>
  </si>
  <si>
    <t xml:space="preserve">662 NON AMM.LE; OK Lettera M ditte individuali, professionisti/persone fisiche e studi professionali; </t>
  </si>
  <si>
    <t>662 NON AMM.LE; OK Lettera M ditte individuali, professionisti/persone fisiche e studi professionali - società dal 13/01/2021</t>
  </si>
  <si>
    <t>662 solo controg.; OK Lettera M; OK FRAMEWORK 3.2 dal 27/04/2020</t>
  </si>
  <si>
    <t>662 OK; OK Lettera M; OK FRAMEWORK 3.2 dal 27/04/2020</t>
  </si>
  <si>
    <t>LETT 13 M (25K 72 MESI) ANTE CONV</t>
  </si>
  <si>
    <t>LETT 13 M (30K 120 MESI) POST CONV</t>
  </si>
  <si>
    <t>LETT 13 M (30K 180 MESI) LEGGE BILA</t>
  </si>
  <si>
    <t>CR SCAD + INA PROB LETTERA M</t>
  </si>
  <si>
    <t>VISUALIZZAZIONE (1 SI 0 NO)</t>
  </si>
  <si>
    <t>TIPO TASSO CONFRONTO LETTERA M</t>
  </si>
  <si>
    <t>DIFFFERENZIALE CDS BANCHE - CDS ITA (SOLO SE POSITIVO)</t>
  </si>
  <si>
    <t>RENDISTATO con durata residua da 4 anni e 7 mesi a 6 anni e 6 mesi + 0,20</t>
  </si>
  <si>
    <t>RENDISTATO con durata analoga al finanziamento + 0,20</t>
  </si>
  <si>
    <t>4y 7m - 6y 6m</t>
  </si>
  <si>
    <t>rend + 0,2</t>
  </si>
  <si>
    <t>check min DT_ERO / DT_AMM.NE</t>
  </si>
  <si>
    <t>MESE</t>
  </si>
  <si>
    <t>FINO A ANTE CONVERSIONE</t>
  </si>
  <si>
    <t>DA POST CONVERSIONE</t>
  </si>
  <si>
    <t>DL LIQUIDITA ANTE CONVERSIONE</t>
  </si>
  <si>
    <t>ANNO 2020</t>
  </si>
  <si>
    <t>CHECK RENDISTATO 2020</t>
  </si>
  <si>
    <t>CHECK TOTALE TASSO LETTERA M 2020</t>
  </si>
  <si>
    <t>ANNO 2021</t>
  </si>
  <si>
    <t>CHECK RENDISTATO 2021</t>
  </si>
  <si>
    <t>DICHIARAZIONE:
1- Le esposizioni non siano classificabili come esposizioni deteriorate;
2- Non presentino importi in arretrato successive alla concessione di tali misure;
3- Il soggetto finanziatore presuma il rimborso integrale delle esposizioni</t>
  </si>
  <si>
    <t>DECRETI COVID</t>
  </si>
  <si>
    <t>DL CURA ITALIA</t>
  </si>
  <si>
    <t>DL LIQUIDITA POST CONVERSIONE</t>
  </si>
  <si>
    <t>DL SOSTEGNI BIS</t>
  </si>
  <si>
    <t>DATA CLASSIFICAZIONE CR SCADUTI/SCONFINATI</t>
  </si>
  <si>
    <t>DATA APERTURA CONCORDATO CONTINUITA' / PIANI ATT.TI / ACC. RISTR.</t>
  </si>
  <si>
    <t>PROC CONCORS COVID</t>
  </si>
  <si>
    <t>VISIBILITA (1 SI 0 NO)</t>
  </si>
  <si>
    <t>VISIBILITA' DICHIARAZIONE CR SCAD (1 SI 0 NO)</t>
  </si>
  <si>
    <t>check mod rating nuova sabatini 1 si 0 no</t>
  </si>
  <si>
    <t>REQUISITI TEMPORARY FRAMEWORK 3.2</t>
  </si>
  <si>
    <t>DATA EVENTO CONC EDR RATING GD COM 6M</t>
  </si>
  <si>
    <t>DATA EVENTO CONC EDR RATING CG COM 7M</t>
  </si>
  <si>
    <t>EDR_2 - COMUNICAZIONE EDR + 3M C-19</t>
  </si>
  <si>
    <t>Moratoria ABI - A13</t>
  </si>
  <si>
    <t>Moratoria ex art. 56 DL CuraItalia - A13TER</t>
  </si>
  <si>
    <t>Moratoria C-19 - A13BIS</t>
  </si>
  <si>
    <t>Moratoria ABI Add2019 - A13</t>
  </si>
  <si>
    <t>DURATA ENTRO 72/96M</t>
  </si>
  <si>
    <t>T.F. 3.2</t>
  </si>
  <si>
    <t>CHECK REQUISITI T.F. 3.2</t>
  </si>
  <si>
    <t>SCONTO TASSO: TASSO OP. CONS/RIN.TA</t>
  </si>
  <si>
    <t>SCONTO TASSO: TASSO NUOVA OPERAZIONE</t>
  </si>
  <si>
    <t>VIS DL LIQ PS CONV</t>
  </si>
  <si>
    <t>TIPOLOGIA REQUISTO ALL.TO 4 SCHEDA 1 PUNTO 16</t>
  </si>
  <si>
    <t>C - STIMA COSTI SALARIALI 2 EXE</t>
  </si>
  <si>
    <t>D - FABBISOGNO COSTI CAPITALE / INVESTIMENTO</t>
  </si>
  <si>
    <t>IMPORTO CHECK</t>
  </si>
  <si>
    <t>∑ FINANZIAMENTI T.F. 3.2</t>
  </si>
  <si>
    <t>VIS 1 SI 0 NO</t>
  </si>
  <si>
    <t xml:space="preserve">PATRIMONIO NETTO </t>
  </si>
  <si>
    <t>PERIODO</t>
  </si>
  <si>
    <t>DT_COST</t>
  </si>
  <si>
    <t>DT_DOM</t>
  </si>
  <si>
    <t>IMPRESA IN DIFFICOLTA'</t>
  </si>
  <si>
    <t>RS66</t>
  </si>
  <si>
    <t xml:space="preserve">RS107 </t>
  </si>
  <si>
    <t>SI - INSERIRE VALORE -&gt;</t>
  </si>
  <si>
    <t>VIS 1 SI 0 NO RIGA IMP INDIVIDUALI</t>
  </si>
  <si>
    <t>VIS 1 SI 0 NO RIGA ALTRE</t>
  </si>
  <si>
    <t>DIMENSIONE IMPRESA</t>
  </si>
  <si>
    <t>PMI</t>
  </si>
  <si>
    <t>MIDCAP</t>
  </si>
  <si>
    <t>DIVERSA DA PMI FINO A 249 DIP</t>
  </si>
  <si>
    <t>! VERIFICARE DATO PD DICHIARATO IN DOMANDA SOLO PER MIDCAP IN DE MINIMIS O GARANTITO&gt; 2,5 MLN</t>
  </si>
  <si>
    <t>15 Covid-19 consoliamento/rinegoziazione SOLO T.F. 3.2</t>
  </si>
  <si>
    <t>VISUALIZZAZIONE TASSO + MAGG CR TF 3.2</t>
  </si>
  <si>
    <t>CHECK PROCESS - PERIODO D.O.</t>
  </si>
  <si>
    <t>VISUALIZZAZIONE MODELLO ECONOMICO FINANZIARIO + IMPRESA DIFFICOLTA (0 NO VISUALIZZAZIONE)</t>
  </si>
  <si>
    <t>FASCIA 5</t>
  </si>
  <si>
    <t>C1</t>
  </si>
  <si>
    <t>C2</t>
  </si>
  <si>
    <t>C3</t>
  </si>
  <si>
    <t>C4</t>
  </si>
  <si>
    <t>DL SOSTEGNI</t>
  </si>
  <si>
    <t>C5</t>
  </si>
  <si>
    <t>16 Covid-19 consoliamento/rinegoziazione DE MINIMIS (stessa banca non già garantito)</t>
  </si>
  <si>
    <t>FINALITA' CONSOLIDAMENTO - DE MINIMIS/ESL</t>
  </si>
  <si>
    <t>VISù TASSO + MAGG CR DE MIN ESL</t>
  </si>
  <si>
    <t>CONGRUENZA PROCESS CON DT_DOM AMMISSIONE</t>
  </si>
  <si>
    <t>TIPOLOGIA OPERAZIONE RINEGOZIAZIONE/CONSOLIDAMENTO</t>
  </si>
  <si>
    <t>INDICARE FINALITA' SPECIFICA</t>
  </si>
  <si>
    <t>1 - Solo rinegoziazione fidi a medio/lungo termine</t>
  </si>
  <si>
    <t>2 - Solo consolidamento fidi a breve termine</t>
  </si>
  <si>
    <t>3 - Rinegoziazione fidi a medio/lungo termine + consolidamento fidi a breve termine</t>
  </si>
  <si>
    <t>LINEA</t>
  </si>
  <si>
    <t>DEBITO RESIDUO</t>
  </si>
  <si>
    <t>IMPORTO CONSOLIDATO</t>
  </si>
  <si>
    <t>MAX ACC.TO / UTILIZZATO</t>
  </si>
  <si>
    <t>CONSOLIDATO</t>
  </si>
  <si>
    <t>MAGG CR</t>
  </si>
  <si>
    <t>DATA CLASSIFICAZIONE INADEMPIENEZE PROBABILI</t>
  </si>
  <si>
    <t>ACCORTATO BT</t>
  </si>
  <si>
    <t>UTILIZZATO BT</t>
  </si>
  <si>
    <t>DEBITO RESIDUO MLT</t>
  </si>
  <si>
    <t>DT DEL</t>
  </si>
  <si>
    <t>CONS</t>
  </si>
  <si>
    <t>visualizzazione box consolidamento (1 si 0 no)</t>
  </si>
  <si>
    <t>TIPOLOGIA VARIAZIONE ALLEGATO 5</t>
  </si>
  <si>
    <t>VARIAZIONE IN AUMENTO DELLE GARANZIE PRESTATE</t>
  </si>
  <si>
    <t>VARIAZIONE IN AUMENTO DELL'IMPORTO/DURATA</t>
  </si>
  <si>
    <t>VARIAZIONE DELLA % DI COPERTURA DEL CONFIDI</t>
  </si>
  <si>
    <t>VARIAZIONE DELLA FINALITA' DELL'OPERAZIONE</t>
  </si>
  <si>
    <t>VARIAZIONE DEL SOGGETTO BENEFICIARIO FINALE</t>
  </si>
  <si>
    <t>CESSIONE DELLA TITOLARITA' DEL CREDITO/GARANZIA</t>
  </si>
  <si>
    <t>EMANAZIONE DI PROVVEDIMENTI AMMINISTRATIVI CON SOSPENSIONE</t>
  </si>
  <si>
    <t>TIPOLOGIA VARIAZIONE</t>
  </si>
  <si>
    <t>DATA INVIO ALLEGATO 5 MCC</t>
  </si>
  <si>
    <t xml:space="preserve">DURATA MASSIMA POST VARIAZIONE A5 </t>
  </si>
  <si>
    <t>DATA TERMINE PREAMM.TO</t>
  </si>
  <si>
    <t>COMUNICAZIONE 2 EDR NEI TERMINI PER ATTIVARE PRIMO EDR</t>
  </si>
  <si>
    <t>CONGRUENZA 2 EVENTO</t>
  </si>
  <si>
    <t>TIPO PIANO</t>
  </si>
  <si>
    <t>DATA RICHIESTA ESCUSSIONE SALDO</t>
  </si>
  <si>
    <t>AMMONTARE INSOLVENZA DEFINITIVA</t>
  </si>
  <si>
    <t>IMPORTO LIQUIDATO IN ACCONTO</t>
  </si>
  <si>
    <t>IMPORTO DA LIQUIDARE A SALDO</t>
  </si>
  <si>
    <t>IMPORTO DA LIQUIDARE</t>
  </si>
  <si>
    <t>Saldo post acconto</t>
  </si>
  <si>
    <t>% CONTROGAR FONDO</t>
  </si>
  <si>
    <t>MAX CONTROGAR FONDO €</t>
  </si>
  <si>
    <t>DATA AVVIO/EDR</t>
  </si>
  <si>
    <t>Adeguamento durata Lettera m</t>
  </si>
  <si>
    <t xml:space="preserve">DURATA COMPLESSIVA PREAMM.TO </t>
  </si>
  <si>
    <t>Adeguamento importo Lettera m</t>
  </si>
  <si>
    <t>Adeguamento durata e importo Lettera m</t>
  </si>
  <si>
    <t>VAR</t>
  </si>
  <si>
    <t>GESTIONE TASSO ADEGUAMENTO LETTERE M</t>
  </si>
  <si>
    <t>VISUALIZZAZIONE CHECK TASSO LETTERA M - CIRC 6 2021 (0 NO 1 SI)</t>
  </si>
  <si>
    <t>VIS CHECK TASSO 1 SI 0 NO</t>
  </si>
  <si>
    <t>CHECK VIS VAR DURATA LETTERA M - O NO 1 SI</t>
  </si>
  <si>
    <t>IMPORTO FINANZIAMENTO POST ADEGUAMENTO</t>
  </si>
  <si>
    <t>RATE PAGATE ALLA DATA RICHIESTA ADEGUAMENTO</t>
  </si>
  <si>
    <t xml:space="preserve">TASSO APPLICATO ALL'OPERAZIONE - TAEG
(solo dei costi di istruttoria e di gestione) </t>
  </si>
  <si>
    <t xml:space="preserve">TASSO APPLICATO ALL'OPERAZIONE POST ADEGUAMENTO - TAEG
(solo dei costi di istruttoria e di gestione) </t>
  </si>
  <si>
    <t>DICHIARAZIONE TASSO COMPRENSIVO SOLO COSTI ISTRUTTORIA E GESTIONE</t>
  </si>
  <si>
    <r>
      <rPr>
        <b/>
        <sz val="7"/>
        <color theme="1"/>
        <rFont val="Arial"/>
        <family val="2"/>
      </rPr>
      <t>FAQ 10 - CASI IN CUI IL PRECEDENTE FINANZIAMENTO SIA ESTINTO:</t>
    </r>
    <r>
      <rPr>
        <sz val="7"/>
        <color theme="1"/>
        <rFont val="Arial"/>
        <family val="2"/>
      </rPr>
      <t xml:space="preserve">
Nel caso in cui, ai sensi di quanto previsto dall’articolo 13, comma 1, lettera m-bis, del DL Liquidità, un finanziamento di 25 mila euro garantito dal fondo con durata di 72) mesi (già erogato) venga estinto in forza di un nuovo finanziamento di importo pari a 30 mila euro della  durata di 120 mesi con nuova richiesta di garanzia al fondo, la durata già decorsa sul precedente finanziamento (che verrà estinto) va scomputata nella durata del nuovo prestito? 
R: La durata del nuovo finanziamento dovrà tenere conto del periodo di preammortamento già trascorso del finanziamento precedentemente erogato e comunque prevedere un preammortamento della durata almeno di 24 mesi
FINANZIAMENTO DA ESTINGUERE:                                                                                                                   FINANZIAMENTO NUOVO:
Durata: 72 mesi                                                                                                                                                                 Durata: max 118 mesi
Durata preammortamento: 24                                                                                                                                 Durata preammortamento: 24 mesi
mesi Preamm.to trascorso: 2 mesi
[Aggiornamento 2021 faq n.10]
Con l’entrata in vigore della Legge di Bilancio 2021 (vedi Circolari operative 24/2020 e 01/2021), la durata massima dei finanziamenti concessi ai sensi della lettera m) è stata estesa a 180 mesi. Per l’adeguamento di durata di finanziamenti già garantiti, resta valido quanto previsto nell’esempio precedente e il nuovo finanziamento potrà avere una durata massima di 178 mesi</t>
    </r>
  </si>
  <si>
    <t>C - 25% FATTURATO ESERCIZIO 2019</t>
  </si>
  <si>
    <t>DATO PRESENTE SU ASM</t>
  </si>
  <si>
    <t>50bis</t>
  </si>
  <si>
    <t>TERMINE MISURE COVID</t>
  </si>
  <si>
    <t>PREAMMORTAMENTO LETTERA M -&gt; 30MESI MAIL CC 25/5/22</t>
  </si>
  <si>
    <t>CHECK ADEGUAMENTO GENN 2021 (FISSO DIC 2020)</t>
  </si>
  <si>
    <t>CHECK GARANZIE PERSONALI IN CONTROGARANZIA/RIASSICURAZIONE</t>
  </si>
  <si>
    <t>VALUTAZIONE RICHIESTA DI CONFERMA DELLA GARANZIA</t>
  </si>
  <si>
    <t>C.F. P.IVA DA ASM</t>
  </si>
  <si>
    <t>! ATT.NE - VERIFICARE CHE L'INTIMAZIONE DI PAGAMENTO SIA INVIATA AL SOGG. BENEFICIARIO FINALE CENSITO SU ASM</t>
  </si>
  <si>
    <t>DATA EVENTO VARIAZIONE RISCONTRATA</t>
  </si>
  <si>
    <t>CESSAZIONE/CANCELLAZIONE DELL'IMPRESA - MORTE TITOLARE D.I.</t>
  </si>
  <si>
    <t>TASSO D'INTERESSE RICONTRATTUALIZZATO?</t>
  </si>
  <si>
    <t>DATA RICONTRATTUALIZZAZIONE</t>
  </si>
  <si>
    <t>VISIBILITA MODELLO RATING POST COVID</t>
  </si>
  <si>
    <t>FASCIA 5 CURA ITALIA</t>
  </si>
  <si>
    <t>DL LIQUIDITA E SS.VV.</t>
  </si>
  <si>
    <t>≠</t>
  </si>
  <si>
    <t>NOTE (check V.2.9_202303):</t>
  </si>
  <si>
    <t>C.F. P.IVA DA VISURA AGGIORNATA</t>
  </si>
  <si>
    <t>DATA SOTTOSCRIZIONE NUOVO ALLEGATO 4</t>
  </si>
  <si>
    <t>VISIBILITA' NUOVO ALLEGATO 4 (1 SI 0 NO)</t>
  </si>
  <si>
    <t>NESSUNA VARIAZIONE INTERVENUTA</t>
  </si>
  <si>
    <t>TIPO FINANZIAMENTO</t>
  </si>
  <si>
    <t>C - SPESA SALARIALE ULTIMO BILANCIO DEPOSITATO (voce B.9 C.E.)</t>
  </si>
  <si>
    <t>f71 è 30/6 ma per gestire visibilita mod rating abbiamo messo 23/6</t>
  </si>
  <si>
    <t>T.C.F. UCRAINA 2.2</t>
  </si>
  <si>
    <t>E</t>
  </si>
  <si>
    <t>REQUISITI TEMPORARY CRISIS FRAMEWORK UCRAINA 2.2</t>
  </si>
  <si>
    <t>T.C.F. 2.2.</t>
  </si>
  <si>
    <t>A - RICAVI MEDI ULTIMI 3 EXE</t>
  </si>
  <si>
    <t>B - 50% COSTI ENERGIA 12M</t>
  </si>
  <si>
    <t>C - FABISOGNO LIQUIDITA' 12M PMI</t>
  </si>
  <si>
    <t>C - FABISOGNO LIQUIDITA' 6M MIDCAP</t>
  </si>
  <si>
    <t>INSERIRE RICAVI COME DA FONTI ASM PER ANNI INDICATI SU ASM</t>
  </si>
  <si>
    <t>COSTI ENERGIA 12 MESI</t>
  </si>
  <si>
    <t>∑ FINANZIAMENTI T.F. 2.2 E 2.3</t>
  </si>
  <si>
    <t>VISUALIZZAZIONE TCF 2.2 (1 SI EDE 0 NON SI VEDE)</t>
  </si>
  <si>
    <t>RICAVI</t>
  </si>
  <si>
    <t>COSTI</t>
  </si>
  <si>
    <t>PARAMETRO</t>
  </si>
  <si>
    <t>liquidita'</t>
  </si>
  <si>
    <t>Soc a responsabilità limitata</t>
  </si>
  <si>
    <t>FISH MARKET SOCIETA' A RESPONSABILITA' LIMITATA</t>
  </si>
  <si>
    <t>BANCA LAZIO NORD - AREA CREDITI</t>
  </si>
  <si>
    <t>Garanzia diretta</t>
  </si>
  <si>
    <t>02228010563</t>
  </si>
  <si>
    <t>DL CURA ITALIA 17/03/2020</t>
  </si>
  <si>
    <t>cantelmi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</si>
</sst>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 #,##0.00_-;_-* &quot;-&quot;??_-;_-@_-"/>
    <numFmt numFmtId="164" formatCode="_-&quot;€&quot;\ * #,##0.00_-;\-&quot;€&quot;\ * #,##0.00_-;_-&quot;€&quot;\ * &quot;-&quot;??_-;_-@_-"/>
    <numFmt numFmtId="165" formatCode="&quot;€&quot;\ #,##0"/>
    <numFmt numFmtId="166" formatCode="0.000%"/>
    <numFmt numFmtId="167" formatCode="_-[$€-410]\ * #,##0.00_-;\-[$€-410]\ * #,##0.00_-;_-[$€-410]\ * &quot;-&quot;??_-;_-@_-"/>
    <numFmt numFmtId="168" formatCode="_-* #,##0_-;\-* #,##0_-;_-* &quot;-&quot;??_-;_-@_-"/>
    <numFmt numFmtId="169" formatCode="0.0%"/>
    <numFmt numFmtId="170" formatCode="0.00000"/>
    <numFmt numFmtId="171" formatCode="_-* #,##0.00\ [$€-410]_-;\-* #,##0.00\ [$€-410]_-;_-* &quot;-&quot;??\ [$€-410]_-;_-@_-"/>
    <numFmt numFmtId="172" formatCode="0.0000%"/>
    <numFmt numFmtId="173" formatCode="_-* #,##0.0000_-;\-* #,##0.0000_-;_-* &quot;-&quot;??_-;_-@_-"/>
  </numFmts>
  <fonts count="57" x14ac:knownFonts="1">
    <font>
      <sz val="11"/>
      <color theme="1"/>
      <name val="Calibri"/>
      <family val="2"/>
      <scheme val="minor"/>
    </font>
    <font>
      <sz val="10"/>
      <name val="Arial"/>
      <family val="2"/>
    </font>
    <font>
      <b/>
      <sz val="10"/>
      <name val="Arial"/>
      <family val="2"/>
    </font>
    <font>
      <sz val="8"/>
      <name val="Verdana"/>
      <family val="2"/>
    </font>
    <font>
      <b/>
      <sz val="8"/>
      <color indexed="8"/>
      <name val="Arial"/>
      <family val="2"/>
    </font>
    <font>
      <b/>
      <sz val="8"/>
      <name val="Arial"/>
      <family val="2"/>
    </font>
    <font>
      <sz val="8"/>
      <name val="Arial"/>
      <family val="2"/>
    </font>
    <font>
      <b/>
      <sz val="9"/>
      <color indexed="81"/>
      <name val="Tahoma"/>
      <family val="2"/>
    </font>
    <font>
      <sz val="9"/>
      <color indexed="81"/>
      <name val="Tahoma"/>
      <family val="2"/>
    </font>
    <font>
      <sz val="10"/>
      <color indexed="64"/>
      <name val="Microsoft Sans Serif"/>
      <family val="2"/>
    </font>
    <font>
      <sz val="10"/>
      <name val="Microsoft Sans Serif"/>
      <family val="2"/>
    </font>
    <font>
      <b/>
      <sz val="8"/>
      <color indexed="8"/>
      <name val="Calibri"/>
      <family val="2"/>
    </font>
    <font>
      <sz val="11"/>
      <color indexed="8"/>
      <name val="Calibri"/>
      <family val="2"/>
    </font>
    <font>
      <sz val="11"/>
      <color theme="1"/>
      <name val="Calibri"/>
      <family val="2"/>
      <scheme val="minor"/>
    </font>
    <font>
      <b/>
      <sz val="11"/>
      <color theme="1"/>
      <name val="Calibri"/>
      <family val="2"/>
      <scheme val="minor"/>
    </font>
    <font>
      <sz val="9"/>
      <color theme="1"/>
      <name val="Calibri"/>
      <family val="2"/>
    </font>
    <font>
      <b/>
      <sz val="11"/>
      <color rgb="FF0000FF"/>
      <name val="Arial"/>
      <family val="2"/>
    </font>
    <font>
      <b/>
      <sz val="11"/>
      <color rgb="FF0000FF"/>
      <name val="Calibri"/>
      <family val="2"/>
    </font>
    <font>
      <sz val="9"/>
      <color theme="0"/>
      <name val="Calibri"/>
      <family val="2"/>
    </font>
    <font>
      <sz val="8"/>
      <color theme="1"/>
      <name val="Arial"/>
      <family val="2"/>
    </font>
    <font>
      <b/>
      <sz val="8"/>
      <color rgb="FFFF0000"/>
      <name val="Arial"/>
      <family val="2"/>
    </font>
    <font>
      <b/>
      <sz val="8"/>
      <color theme="1"/>
      <name val="Arial"/>
      <family val="2"/>
    </font>
    <font>
      <b/>
      <sz val="8"/>
      <color rgb="FF000000"/>
      <name val="Arial"/>
      <family val="2"/>
    </font>
    <font>
      <sz val="9"/>
      <color theme="1"/>
      <name val="Arial"/>
      <family val="2"/>
    </font>
    <font>
      <sz val="11"/>
      <name val="Calibri"/>
      <family val="2"/>
      <scheme val="minor"/>
    </font>
    <font>
      <sz val="10"/>
      <color rgb="FFFF0000"/>
      <name val="Microsoft Sans Serif"/>
      <family val="2"/>
    </font>
    <font>
      <b/>
      <sz val="11"/>
      <name val="Calibri"/>
      <family val="2"/>
      <scheme val="minor"/>
    </font>
    <font>
      <sz val="8"/>
      <color rgb="FFFF0000"/>
      <name val="Arial"/>
      <family val="2"/>
    </font>
    <font>
      <i/>
      <sz val="9"/>
      <color theme="1"/>
      <name val="Arial"/>
      <family val="2"/>
    </font>
    <font>
      <b/>
      <i/>
      <sz val="8"/>
      <color theme="1"/>
      <name val="Arial"/>
      <family val="2"/>
    </font>
    <font>
      <b/>
      <i/>
      <u/>
      <sz val="8"/>
      <color theme="1"/>
      <name val="Arial"/>
      <family val="2"/>
    </font>
    <font>
      <b/>
      <sz val="10"/>
      <color rgb="FFFF0000"/>
      <name val="Arial"/>
      <family val="2"/>
    </font>
    <font>
      <b/>
      <sz val="20"/>
      <color rgb="FF0000FF"/>
      <name val="Arial"/>
      <family val="2"/>
    </font>
    <font>
      <b/>
      <sz val="14"/>
      <color rgb="FF0000FF"/>
      <name val="Arial"/>
      <family val="2"/>
    </font>
    <font>
      <b/>
      <sz val="12"/>
      <color rgb="FF0000FF"/>
      <name val="Arial"/>
      <family val="2"/>
    </font>
    <font>
      <b/>
      <sz val="12"/>
      <name val="Arial"/>
      <family val="2"/>
    </font>
    <font>
      <sz val="11"/>
      <name val="Calibri"/>
      <family val="2"/>
    </font>
    <font>
      <sz val="9"/>
      <name val="Arial"/>
      <family val="2"/>
    </font>
    <font>
      <i/>
      <sz val="8"/>
      <name val="Arial"/>
      <family val="2"/>
    </font>
    <font>
      <sz val="8"/>
      <name val="Calibri"/>
      <family val="2"/>
      <scheme val="minor"/>
    </font>
    <font>
      <b/>
      <sz val="9"/>
      <color rgb="FFFF0000"/>
      <name val="Arial"/>
      <family val="2"/>
    </font>
    <font>
      <b/>
      <sz val="7.5"/>
      <color rgb="FFFF0000"/>
      <name val="Arial"/>
      <family val="2"/>
    </font>
    <font>
      <u/>
      <sz val="11"/>
      <color theme="10"/>
      <name val="Calibri"/>
      <family val="2"/>
      <scheme val="minor"/>
    </font>
    <font>
      <sz val="7"/>
      <color theme="1"/>
      <name val="Arial"/>
      <family val="2"/>
    </font>
    <font>
      <b/>
      <sz val="7"/>
      <color theme="1"/>
      <name val="Arial"/>
      <family val="2"/>
    </font>
    <font>
      <b/>
      <sz val="6"/>
      <color theme="1"/>
      <name val="Arial"/>
      <family val="2"/>
    </font>
    <font>
      <b/>
      <sz val="7"/>
      <color rgb="FFFF0000"/>
      <name val="Arial"/>
      <family val="2"/>
    </font>
    <font>
      <b/>
      <sz val="10"/>
      <color theme="1"/>
      <name val="Arial"/>
      <family val="2"/>
    </font>
    <font>
      <b/>
      <sz val="8"/>
      <color theme="1"/>
      <name val="Calibri"/>
      <family val="2"/>
    </font>
    <font>
      <sz val="6"/>
      <color theme="1"/>
      <name val="Arial"/>
      <family val="2"/>
    </font>
    <font>
      <strike/>
      <sz val="11"/>
      <name val="Calibri"/>
      <family val="2"/>
      <scheme val="minor"/>
    </font>
    <font>
      <b/>
      <sz val="6.5"/>
      <color rgb="FFFF0000"/>
      <name val="Arial"/>
      <family val="2"/>
    </font>
    <font>
      <b/>
      <sz val="6"/>
      <color rgb="FFFF0000"/>
      <name val="Arial"/>
      <family val="2"/>
    </font>
    <font>
      <sz val="7"/>
      <name val="Arial"/>
      <family val="2"/>
    </font>
    <font>
      <b/>
      <sz val="7"/>
      <name val="Arial"/>
      <family val="2"/>
    </font>
    <font>
      <sz val="11"/>
      <color theme="1"/>
      <name val="Calibri"/>
      <family val="2"/>
    </font>
    <font>
      <b/>
      <sz val="9"/>
      <color theme="1"/>
      <name val="Arial"/>
      <family val="2"/>
    </font>
  </fonts>
  <fills count="14">
    <fill>
      <patternFill patternType="none"/>
    </fill>
    <fill>
      <patternFill patternType="gray125"/>
    </fill>
    <fill>
      <patternFill patternType="solid">
        <fgColor theme="6" tint="0.79998168889431442"/>
        <bgColor theme="6"/>
      </patternFill>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FFFFCC"/>
        <bgColor indexed="64"/>
      </patternFill>
    </fill>
    <fill>
      <patternFill patternType="solid">
        <fgColor theme="7" tint="0.59999389629810485"/>
        <bgColor indexed="64"/>
      </patternFill>
    </fill>
    <fill>
      <patternFill patternType="solid">
        <fgColor theme="8" tint="0.79998168889431442"/>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right style="medium">
        <color indexed="64"/>
      </right>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diagonal/>
    </border>
    <border>
      <left style="medium">
        <color indexed="64"/>
      </left>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diagonal/>
    </border>
    <border>
      <left style="medium">
        <color theme="6" tint="-0.24994659260841701"/>
      </left>
      <right/>
      <top/>
      <bottom/>
      <diagonal/>
    </border>
    <border>
      <left style="medium">
        <color theme="6" tint="-0.24994659260841701"/>
      </left>
      <right style="medium">
        <color theme="6" tint="-0.24994659260841701"/>
      </right>
      <top/>
      <bottom style="medium">
        <color theme="6" tint="-0.24994659260841701"/>
      </bottom>
      <diagonal/>
    </border>
    <border>
      <left/>
      <right/>
      <top style="medium">
        <color theme="6" tint="-0.24994659260841701"/>
      </top>
      <bottom style="medium">
        <color theme="6" tint="-0.24994659260841701"/>
      </bottom>
      <diagonal/>
    </border>
    <border>
      <left/>
      <right style="medium">
        <color theme="6" tint="-0.24994659260841701"/>
      </right>
      <top style="medium">
        <color theme="6" tint="-0.24994659260841701"/>
      </top>
      <bottom style="medium">
        <color theme="6" tint="-0.24994659260841701"/>
      </bottom>
      <diagonal/>
    </border>
    <border>
      <left style="medium">
        <color theme="6" tint="-0.24994659260841701"/>
      </left>
      <right style="medium">
        <color theme="6" tint="-0.24994659260841701"/>
      </right>
      <top style="medium">
        <color theme="6" tint="-0.24994659260841701"/>
      </top>
      <bottom style="medium">
        <color theme="6" tint="-0.24994659260841701"/>
      </bottom>
      <diagonal/>
    </border>
    <border>
      <left/>
      <right style="thin">
        <color theme="6" tint="-0.24994659260841701"/>
      </right>
      <top style="medium">
        <color theme="6" tint="-0.24994659260841701"/>
      </top>
      <bottom style="medium">
        <color theme="6" tint="-0.24994659260841701"/>
      </bottom>
      <diagonal/>
    </border>
    <border>
      <left style="thin">
        <color theme="6" tint="-0.24994659260841701"/>
      </left>
      <right style="thin">
        <color theme="6" tint="-0.24994659260841701"/>
      </right>
      <top style="medium">
        <color theme="6" tint="-0.24994659260841701"/>
      </top>
      <bottom style="medium">
        <color theme="6" tint="-0.24994659260841701"/>
      </bottom>
      <diagonal/>
    </border>
    <border>
      <left/>
      <right style="dotted">
        <color theme="6" tint="-0.24994659260841701"/>
      </right>
      <top/>
      <bottom/>
      <diagonal/>
    </border>
    <border>
      <left style="dotted">
        <color theme="6" tint="-0.24994659260841701"/>
      </left>
      <right style="dotted">
        <color theme="6" tint="-0.24994659260841701"/>
      </right>
      <top/>
      <bottom/>
      <diagonal/>
    </border>
    <border>
      <left style="dotted">
        <color theme="6" tint="-0.24994659260841701"/>
      </left>
      <right/>
      <top/>
      <bottom/>
      <diagonal/>
    </border>
    <border>
      <left style="thin">
        <color theme="0" tint="-0.499984740745262"/>
      </left>
      <right style="thin">
        <color indexed="64"/>
      </right>
      <top/>
      <bottom/>
      <diagonal/>
    </border>
    <border>
      <left style="thin">
        <color theme="0" tint="-0.499984740745262"/>
      </left>
      <right style="medium">
        <color indexed="64"/>
      </right>
      <top style="medium">
        <color indexed="64"/>
      </top>
      <bottom/>
      <diagonal/>
    </border>
    <border>
      <left style="thin">
        <color theme="0" tint="-0.499984740745262"/>
      </left>
      <right style="thin">
        <color indexed="64"/>
      </right>
      <top style="medium">
        <color indexed="64"/>
      </top>
      <bottom/>
      <diagonal/>
    </border>
    <border>
      <left style="medium">
        <color theme="6" tint="-0.24994659260841701"/>
      </left>
      <right/>
      <top style="medium">
        <color theme="6" tint="-0.24994659260841701"/>
      </top>
      <bottom style="medium">
        <color theme="6" tint="-0.24994659260841701"/>
      </bottom>
      <diagonal/>
    </border>
    <border>
      <left style="medium">
        <color theme="6" tint="-0.24994659260841701"/>
      </left>
      <right/>
      <top style="medium">
        <color theme="6" tint="-0.24994659260841701"/>
      </top>
      <bottom/>
      <diagonal/>
    </border>
    <border>
      <left/>
      <right style="medium">
        <color theme="6" tint="-0.24994659260841701"/>
      </right>
      <top style="medium">
        <color theme="6" tint="-0.24994659260841701"/>
      </top>
      <bottom/>
      <diagonal/>
    </border>
    <border>
      <left style="medium">
        <color theme="6" tint="-0.24994659260841701"/>
      </left>
      <right/>
      <top/>
      <bottom style="medium">
        <color theme="6" tint="-0.24994659260841701"/>
      </bottom>
      <diagonal/>
    </border>
    <border>
      <left/>
      <right style="medium">
        <color theme="6" tint="-0.24994659260841701"/>
      </right>
      <top/>
      <bottom style="medium">
        <color theme="6" tint="-0.24994659260841701"/>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top/>
      <bottom style="thin">
        <color indexed="64"/>
      </bottom>
      <diagonal/>
    </border>
  </borders>
  <cellStyleXfs count="11">
    <xf numFmtId="0" fontId="0" fillId="0" borderId="0"/>
    <xf numFmtId="0" fontId="12" fillId="0" borderId="0"/>
    <xf numFmtId="43" fontId="13" fillId="0" borderId="0" applyFont="0" applyFill="0" applyBorder="0" applyAlignment="0" applyProtection="0"/>
    <xf numFmtId="0" fontId="1" fillId="0" borderId="0"/>
    <xf numFmtId="0" fontId="1" fillId="0" borderId="0"/>
    <xf numFmtId="0" fontId="13" fillId="0" borderId="0"/>
    <xf numFmtId="0" fontId="13" fillId="0" borderId="0"/>
    <xf numFmtId="0" fontId="13" fillId="0" borderId="0"/>
    <xf numFmtId="9" fontId="13" fillId="0" borderId="0" applyFont="0" applyFill="0" applyBorder="0" applyAlignment="0" applyProtection="0"/>
    <xf numFmtId="164" fontId="13" fillId="0" borderId="0" applyFont="0" applyFill="0" applyBorder="0" applyAlignment="0" applyProtection="0"/>
    <xf numFmtId="0" fontId="42" fillId="0" borderId="0" applyNumberFormat="0" applyFill="0" applyBorder="0" applyAlignment="0" applyProtection="0"/>
  </cellStyleXfs>
  <cellXfs count="937">
    <xf numFmtId="0" fontId="0" fillId="0" borderId="0" xfId="0"/>
    <xf numFmtId="0" fontId="15" fillId="0" borderId="0" xfId="5" applyFont="1"/>
    <xf numFmtId="0" fontId="16" fillId="2" borderId="58" xfId="5" applyFont="1" applyFill="1" applyBorder="1" applyAlignment="1">
      <alignment vertical="center"/>
    </xf>
    <xf numFmtId="0" fontId="16" fillId="2" borderId="59" xfId="5" applyFont="1" applyFill="1" applyBorder="1" applyAlignment="1">
      <alignment horizontal="center" vertical="center"/>
    </xf>
    <xf numFmtId="0" fontId="16" fillId="2" borderId="60" xfId="5" applyFont="1" applyFill="1" applyBorder="1" applyAlignment="1">
      <alignment horizontal="left" vertical="center"/>
    </xf>
    <xf numFmtId="0" fontId="16" fillId="2" borderId="61" xfId="5" applyFont="1" applyFill="1" applyBorder="1" applyAlignment="1">
      <alignment vertical="center"/>
    </xf>
    <xf numFmtId="0" fontId="16" fillId="2" borderId="62" xfId="5" applyFont="1" applyFill="1" applyBorder="1" applyAlignment="1">
      <alignment horizontal="center" vertical="center"/>
    </xf>
    <xf numFmtId="165" fontId="16" fillId="2" borderId="62" xfId="5" applyNumberFormat="1" applyFont="1" applyFill="1" applyBorder="1" applyAlignment="1" applyProtection="1">
      <alignment vertical="center"/>
      <protection hidden="1"/>
    </xf>
    <xf numFmtId="165" fontId="16" fillId="2" borderId="62" xfId="5" applyNumberFormat="1" applyFont="1" applyFill="1" applyBorder="1" applyAlignment="1" applyProtection="1">
      <alignment horizontal="right" vertical="center"/>
      <protection hidden="1"/>
    </xf>
    <xf numFmtId="2" fontId="16" fillId="2" borderId="62" xfId="5" applyNumberFormat="1" applyFont="1" applyFill="1" applyBorder="1" applyAlignment="1" applyProtection="1">
      <alignment horizontal="center" vertical="center"/>
      <protection hidden="1"/>
    </xf>
    <xf numFmtId="0" fontId="16" fillId="2" borderId="62" xfId="5" applyFont="1" applyFill="1" applyBorder="1" applyAlignment="1">
      <alignment horizontal="center" vertical="center" wrapText="1"/>
    </xf>
    <xf numFmtId="2" fontId="16" fillId="2" borderId="62" xfId="5" applyNumberFormat="1" applyFont="1" applyFill="1" applyBorder="1" applyAlignment="1" applyProtection="1">
      <alignment horizontal="center" vertical="center"/>
      <protection locked="0"/>
    </xf>
    <xf numFmtId="0" fontId="17" fillId="3" borderId="63" xfId="5" applyFont="1" applyFill="1" applyBorder="1" applyAlignment="1">
      <alignment vertical="center"/>
    </xf>
    <xf numFmtId="165" fontId="17" fillId="3" borderId="64" xfId="5" applyNumberFormat="1" applyFont="1" applyFill="1" applyBorder="1" applyAlignment="1">
      <alignment horizontal="center" vertical="center"/>
    </xf>
    <xf numFmtId="0" fontId="17" fillId="3" borderId="64" xfId="5" applyFont="1" applyFill="1" applyBorder="1" applyAlignment="1">
      <alignment horizontal="center" vertical="center"/>
    </xf>
    <xf numFmtId="0" fontId="18" fillId="0" borderId="0" xfId="5" applyFont="1"/>
    <xf numFmtId="0" fontId="15" fillId="0" borderId="65" xfId="5" applyFont="1" applyBorder="1" applyProtection="1">
      <protection locked="0"/>
    </xf>
    <xf numFmtId="165" fontId="15" fillId="0" borderId="66" xfId="5" applyNumberFormat="1" applyFont="1" applyBorder="1" applyProtection="1">
      <protection locked="0"/>
    </xf>
    <xf numFmtId="2" fontId="15" fillId="0" borderId="66" xfId="5" applyNumberFormat="1" applyFont="1" applyBorder="1" applyAlignment="1" applyProtection="1">
      <alignment horizontal="center"/>
      <protection locked="0"/>
    </xf>
    <xf numFmtId="0" fontId="15" fillId="0" borderId="66" xfId="5" applyFont="1" applyBorder="1" applyAlignment="1" applyProtection="1">
      <alignment horizontal="center" vertical="center"/>
      <protection locked="0"/>
    </xf>
    <xf numFmtId="10" fontId="15" fillId="0" borderId="66" xfId="5" applyNumberFormat="1" applyFont="1" applyBorder="1" applyProtection="1">
      <protection locked="0"/>
    </xf>
    <xf numFmtId="165" fontId="15" fillId="0" borderId="66" xfId="5" applyNumberFormat="1" applyFont="1" applyBorder="1" applyProtection="1">
      <protection hidden="1"/>
    </xf>
    <xf numFmtId="2" fontId="15" fillId="0" borderId="67" xfId="5" applyNumberFormat="1" applyFont="1" applyBorder="1" applyAlignment="1" applyProtection="1">
      <alignment horizontal="center"/>
      <protection hidden="1"/>
    </xf>
    <xf numFmtId="165" fontId="15" fillId="0" borderId="66" xfId="4" applyNumberFormat="1" applyFont="1" applyBorder="1" applyAlignment="1" applyProtection="1">
      <alignment vertical="center" wrapText="1"/>
      <protection locked="0"/>
    </xf>
    <xf numFmtId="0" fontId="2" fillId="0" borderId="0" xfId="4" applyFont="1" applyAlignment="1">
      <alignment horizontal="right" vertical="center" wrapText="1"/>
    </xf>
    <xf numFmtId="0" fontId="15" fillId="0" borderId="0" xfId="5" applyFont="1" applyAlignment="1">
      <alignment horizontal="center"/>
    </xf>
    <xf numFmtId="0" fontId="15" fillId="0" borderId="0" xfId="5" applyFont="1" applyAlignment="1">
      <alignment horizontal="center" vertical="center"/>
    </xf>
    <xf numFmtId="165" fontId="15" fillId="0" borderId="0" xfId="5" applyNumberFormat="1" applyFont="1"/>
    <xf numFmtId="165" fontId="16" fillId="2" borderId="62" xfId="5" applyNumberFormat="1" applyFont="1" applyFill="1" applyBorder="1" applyAlignment="1" applyProtection="1">
      <alignment vertical="center"/>
      <protection locked="0"/>
    </xf>
    <xf numFmtId="0" fontId="21" fillId="0" borderId="3" xfId="0" applyFont="1" applyBorder="1" applyAlignment="1" applyProtection="1">
      <alignment vertical="center"/>
      <protection hidden="1"/>
    </xf>
    <xf numFmtId="0" fontId="21" fillId="0" borderId="4" xfId="0" applyFont="1" applyBorder="1" applyAlignment="1" applyProtection="1">
      <alignment horizontal="left" vertical="center" wrapText="1"/>
      <protection hidden="1"/>
    </xf>
    <xf numFmtId="14" fontId="19" fillId="4" borderId="1" xfId="0" applyNumberFormat="1" applyFont="1" applyFill="1" applyBorder="1" applyAlignment="1" applyProtection="1">
      <alignment vertical="center"/>
      <protection locked="0"/>
    </xf>
    <xf numFmtId="0" fontId="22" fillId="0" borderId="1" xfId="0" applyFont="1" applyBorder="1" applyAlignment="1">
      <alignment vertical="center" wrapText="1"/>
    </xf>
    <xf numFmtId="0" fontId="22" fillId="0" borderId="5" xfId="0" applyFont="1" applyBorder="1" applyAlignment="1">
      <alignment vertical="center" wrapText="1"/>
    </xf>
    <xf numFmtId="0" fontId="21" fillId="0" borderId="5" xfId="0" applyFont="1" applyBorder="1" applyAlignment="1" applyProtection="1">
      <alignment vertical="center" wrapText="1"/>
      <protection hidden="1"/>
    </xf>
    <xf numFmtId="0" fontId="21" fillId="0" borderId="8" xfId="0" applyFont="1" applyBorder="1" applyAlignment="1" applyProtection="1">
      <alignment horizontal="left" vertical="center" wrapText="1"/>
      <protection hidden="1"/>
    </xf>
    <xf numFmtId="0" fontId="21" fillId="0" borderId="9" xfId="0" applyFont="1" applyBorder="1" applyAlignment="1" applyProtection="1">
      <alignment vertical="center" wrapText="1"/>
      <protection hidden="1"/>
    </xf>
    <xf numFmtId="0" fontId="21" fillId="0" borderId="0" xfId="0" applyFont="1" applyAlignment="1" applyProtection="1">
      <alignment vertical="center"/>
      <protection hidden="1"/>
    </xf>
    <xf numFmtId="0" fontId="21" fillId="0" borderId="0" xfId="0" applyFont="1" applyAlignment="1" applyProtection="1">
      <alignment horizontal="left" vertical="center" wrapText="1"/>
      <protection hidden="1"/>
    </xf>
    <xf numFmtId="0" fontId="20" fillId="0" borderId="10" xfId="0" applyFont="1" applyBorder="1" applyAlignment="1" applyProtection="1">
      <alignment horizontal="left" vertical="center" wrapText="1"/>
      <protection hidden="1"/>
    </xf>
    <xf numFmtId="0" fontId="20" fillId="0" borderId="1" xfId="0" applyFont="1" applyBorder="1" applyAlignment="1" applyProtection="1">
      <alignment horizontal="left" vertical="center" wrapText="1"/>
      <protection hidden="1"/>
    </xf>
    <xf numFmtId="0" fontId="21" fillId="0" borderId="1" xfId="0" applyFont="1" applyBorder="1" applyAlignment="1">
      <alignment vertical="center" wrapText="1"/>
    </xf>
    <xf numFmtId="0" fontId="5" fillId="0" borderId="11" xfId="0" applyFont="1" applyBorder="1" applyAlignment="1">
      <alignment vertical="center" wrapText="1"/>
    </xf>
    <xf numFmtId="0" fontId="21" fillId="0" borderId="12" xfId="0" applyFont="1" applyBorder="1" applyAlignment="1" applyProtection="1">
      <alignment horizontal="left" vertical="center" wrapText="1"/>
      <protection hidden="1"/>
    </xf>
    <xf numFmtId="0" fontId="21" fillId="0" borderId="1" xfId="0" applyFont="1" applyBorder="1" applyAlignment="1" applyProtection="1">
      <alignment vertical="center" wrapText="1"/>
      <protection hidden="1"/>
    </xf>
    <xf numFmtId="0" fontId="21" fillId="0" borderId="8" xfId="0" applyFont="1" applyBorder="1" applyAlignment="1" applyProtection="1">
      <alignment vertical="center" wrapText="1"/>
      <protection hidden="1"/>
    </xf>
    <xf numFmtId="0" fontId="21" fillId="0" borderId="9" xfId="0" applyFont="1" applyBorder="1" applyAlignment="1" applyProtection="1">
      <alignment horizontal="left" vertical="center" wrapText="1"/>
      <protection hidden="1"/>
    </xf>
    <xf numFmtId="0" fontId="20" fillId="0" borderId="6" xfId="0" applyFont="1" applyBorder="1" applyAlignment="1" applyProtection="1">
      <alignment vertical="center" wrapText="1"/>
      <protection hidden="1"/>
    </xf>
    <xf numFmtId="0" fontId="20" fillId="0" borderId="1" xfId="0" applyFont="1" applyBorder="1" applyAlignment="1" applyProtection="1">
      <alignment vertical="center" wrapText="1"/>
      <protection hidden="1"/>
    </xf>
    <xf numFmtId="0" fontId="21" fillId="0" borderId="1" xfId="0" applyFont="1" applyBorder="1" applyAlignment="1" applyProtection="1">
      <alignment vertical="center"/>
      <protection hidden="1"/>
    </xf>
    <xf numFmtId="0" fontId="21" fillId="0" borderId="5" xfId="0" applyFont="1" applyBorder="1" applyAlignment="1" applyProtection="1">
      <alignment vertical="center"/>
      <protection hidden="1"/>
    </xf>
    <xf numFmtId="0" fontId="21" fillId="0" borderId="8" xfId="0" applyFont="1" applyBorder="1" applyAlignment="1" applyProtection="1">
      <alignment vertical="center"/>
      <protection hidden="1"/>
    </xf>
    <xf numFmtId="0" fontId="21" fillId="0" borderId="10" xfId="0" applyFont="1" applyBorder="1" applyAlignment="1" applyProtection="1">
      <alignment horizontal="left" vertical="center" wrapText="1"/>
      <protection hidden="1"/>
    </xf>
    <xf numFmtId="167" fontId="19" fillId="0" borderId="1" xfId="0" applyNumberFormat="1" applyFont="1" applyBorder="1" applyAlignment="1" applyProtection="1">
      <alignment vertical="center"/>
      <protection hidden="1"/>
    </xf>
    <xf numFmtId="0" fontId="21" fillId="0" borderId="5" xfId="0" applyFont="1" applyBorder="1" applyAlignment="1" applyProtection="1">
      <alignment horizontal="left" vertical="center" wrapText="1"/>
      <protection hidden="1"/>
    </xf>
    <xf numFmtId="0" fontId="21" fillId="0" borderId="15" xfId="0" applyFont="1" applyBorder="1" applyAlignment="1" applyProtection="1">
      <alignment vertical="center"/>
      <protection hidden="1"/>
    </xf>
    <xf numFmtId="0" fontId="21" fillId="0" borderId="17" xfId="0" applyFont="1" applyBorder="1" applyAlignment="1" applyProtection="1">
      <alignment vertical="center"/>
      <protection hidden="1"/>
    </xf>
    <xf numFmtId="0" fontId="21" fillId="0" borderId="18" xfId="0" applyFont="1" applyBorder="1" applyAlignment="1" applyProtection="1">
      <alignment horizontal="left" vertical="center" wrapText="1"/>
      <protection hidden="1"/>
    </xf>
    <xf numFmtId="0" fontId="21" fillId="0" borderId="6" xfId="0" applyFont="1" applyBorder="1" applyAlignment="1" applyProtection="1">
      <alignment horizontal="center" vertical="center" wrapText="1"/>
      <protection hidden="1"/>
    </xf>
    <xf numFmtId="0" fontId="21" fillId="0" borderId="18" xfId="0" applyFont="1" applyBorder="1" applyAlignment="1" applyProtection="1">
      <alignment vertical="center" wrapText="1"/>
      <protection hidden="1"/>
    </xf>
    <xf numFmtId="0" fontId="21" fillId="0" borderId="20" xfId="0" applyFont="1" applyBorder="1" applyAlignment="1" applyProtection="1">
      <alignment vertical="center"/>
      <protection hidden="1"/>
    </xf>
    <xf numFmtId="0" fontId="0" fillId="0" borderId="21" xfId="0" applyBorder="1" applyAlignment="1">
      <alignment vertical="center"/>
    </xf>
    <xf numFmtId="0" fontId="21" fillId="0" borderId="22" xfId="0" applyFont="1" applyBorder="1" applyAlignment="1" applyProtection="1">
      <alignment vertical="center"/>
      <protection hidden="1"/>
    </xf>
    <xf numFmtId="0" fontId="21" fillId="0" borderId="23" xfId="0" applyFont="1" applyBorder="1" applyAlignment="1" applyProtection="1">
      <alignment horizontal="left" vertical="center" wrapText="1"/>
      <protection hidden="1"/>
    </xf>
    <xf numFmtId="0" fontId="0" fillId="0" borderId="0" xfId="0" applyProtection="1">
      <protection hidden="1"/>
    </xf>
    <xf numFmtId="0" fontId="0" fillId="0" borderId="26" xfId="0" applyBorder="1" applyProtection="1">
      <protection hidden="1"/>
    </xf>
    <xf numFmtId="0" fontId="0" fillId="0" borderId="26" xfId="0" applyBorder="1" applyAlignment="1" applyProtection="1">
      <alignment vertical="center"/>
      <protection hidden="1"/>
    </xf>
    <xf numFmtId="0" fontId="0" fillId="0" borderId="0" xfId="0" applyAlignment="1" applyProtection="1">
      <alignment vertical="center"/>
      <protection hidden="1"/>
    </xf>
    <xf numFmtId="0" fontId="24" fillId="8" borderId="0" xfId="7" applyFont="1" applyFill="1" applyProtection="1">
      <protection hidden="1"/>
    </xf>
    <xf numFmtId="2" fontId="24" fillId="8" borderId="0" xfId="7" applyNumberFormat="1" applyFont="1" applyFill="1" applyProtection="1">
      <protection hidden="1"/>
    </xf>
    <xf numFmtId="49" fontId="9" fillId="0" borderId="1" xfId="0" applyNumberFormat="1" applyFont="1" applyBorder="1" applyProtection="1">
      <protection hidden="1"/>
    </xf>
    <xf numFmtId="0" fontId="24" fillId="8" borderId="1" xfId="7" applyFont="1" applyFill="1" applyBorder="1" applyProtection="1">
      <protection hidden="1"/>
    </xf>
    <xf numFmtId="49" fontId="25" fillId="7" borderId="1" xfId="0" applyNumberFormat="1" applyFont="1" applyFill="1" applyBorder="1" applyProtection="1">
      <protection hidden="1"/>
    </xf>
    <xf numFmtId="49" fontId="10" fillId="8" borderId="1" xfId="0" applyNumberFormat="1" applyFont="1" applyFill="1" applyBorder="1" applyProtection="1">
      <protection hidden="1"/>
    </xf>
    <xf numFmtId="0" fontId="24" fillId="8" borderId="24" xfId="7" applyFont="1" applyFill="1" applyBorder="1" applyProtection="1">
      <protection hidden="1"/>
    </xf>
    <xf numFmtId="0" fontId="24" fillId="8" borderId="34" xfId="7" applyFont="1" applyFill="1" applyBorder="1" applyProtection="1">
      <protection hidden="1"/>
    </xf>
    <xf numFmtId="0" fontId="26" fillId="8" borderId="25" xfId="7" applyFont="1" applyFill="1" applyBorder="1" applyProtection="1">
      <protection hidden="1"/>
    </xf>
    <xf numFmtId="0" fontId="24" fillId="8" borderId="21" xfId="7" applyFont="1" applyFill="1" applyBorder="1" applyProtection="1">
      <protection hidden="1"/>
    </xf>
    <xf numFmtId="0" fontId="26" fillId="8" borderId="26" xfId="7" applyFont="1" applyFill="1" applyBorder="1" applyProtection="1">
      <protection hidden="1"/>
    </xf>
    <xf numFmtId="0" fontId="24" fillId="8" borderId="27" xfId="7" applyFont="1" applyFill="1" applyBorder="1" applyProtection="1">
      <protection hidden="1"/>
    </xf>
    <xf numFmtId="0" fontId="24" fillId="8" borderId="32" xfId="7" applyFont="1" applyFill="1" applyBorder="1" applyProtection="1">
      <protection hidden="1"/>
    </xf>
    <xf numFmtId="0" fontId="26" fillId="8" borderId="28" xfId="7" applyFont="1" applyFill="1" applyBorder="1" applyProtection="1">
      <protection hidden="1"/>
    </xf>
    <xf numFmtId="0" fontId="26" fillId="8" borderId="25" xfId="7" applyFont="1" applyFill="1" applyBorder="1" applyAlignment="1" applyProtection="1">
      <alignment horizontal="right"/>
      <protection hidden="1"/>
    </xf>
    <xf numFmtId="0" fontId="26" fillId="8" borderId="26" xfId="7" applyFont="1" applyFill="1" applyBorder="1" applyAlignment="1" applyProtection="1">
      <alignment horizontal="right"/>
      <protection hidden="1"/>
    </xf>
    <xf numFmtId="0" fontId="14" fillId="6" borderId="1" xfId="6" applyFont="1" applyFill="1" applyBorder="1" applyAlignment="1" applyProtection="1">
      <alignment horizontal="left" wrapText="1"/>
      <protection hidden="1"/>
    </xf>
    <xf numFmtId="0" fontId="26" fillId="6" borderId="1" xfId="7" applyFont="1" applyFill="1" applyBorder="1" applyAlignment="1" applyProtection="1">
      <alignment horizontal="left"/>
      <protection hidden="1"/>
    </xf>
    <xf numFmtId="0" fontId="26" fillId="6" borderId="1" xfId="7" applyFont="1" applyFill="1" applyBorder="1" applyProtection="1">
      <protection hidden="1"/>
    </xf>
    <xf numFmtId="2" fontId="26" fillId="6" borderId="1" xfId="7" applyNumberFormat="1" applyFont="1" applyFill="1" applyBorder="1" applyProtection="1">
      <protection hidden="1"/>
    </xf>
    <xf numFmtId="0" fontId="21" fillId="0" borderId="19" xfId="0" applyFont="1" applyBorder="1" applyAlignment="1" applyProtection="1">
      <alignment vertical="center"/>
      <protection hidden="1"/>
    </xf>
    <xf numFmtId="14" fontId="21" fillId="0" borderId="1" xfId="0" applyNumberFormat="1" applyFont="1" applyBorder="1" applyAlignment="1" applyProtection="1">
      <alignment vertical="center"/>
      <protection hidden="1"/>
    </xf>
    <xf numFmtId="10" fontId="19" fillId="0" borderId="6" xfId="8" applyNumberFormat="1" applyFont="1" applyFill="1" applyBorder="1" applyAlignment="1" applyProtection="1">
      <alignment horizontal="center" vertical="center"/>
      <protection hidden="1"/>
    </xf>
    <xf numFmtId="0" fontId="20" fillId="0" borderId="6" xfId="0" applyFont="1" applyBorder="1" applyAlignment="1" applyProtection="1">
      <alignment horizontal="center" vertical="center"/>
      <protection hidden="1"/>
    </xf>
    <xf numFmtId="0" fontId="19" fillId="0" borderId="2" xfId="0" applyFont="1" applyBorder="1" applyAlignment="1" applyProtection="1">
      <alignment vertical="center"/>
      <protection hidden="1"/>
    </xf>
    <xf numFmtId="0" fontId="20" fillId="0" borderId="35" xfId="0" applyFont="1" applyBorder="1" applyAlignment="1" applyProtection="1">
      <alignment horizontal="center" vertical="center"/>
      <protection hidden="1"/>
    </xf>
    <xf numFmtId="14" fontId="20" fillId="0" borderId="1" xfId="0" applyNumberFormat="1" applyFont="1" applyBorder="1" applyAlignment="1" applyProtection="1">
      <alignment vertical="center" wrapText="1"/>
      <protection hidden="1"/>
    </xf>
    <xf numFmtId="1" fontId="5" fillId="0" borderId="3" xfId="3" applyNumberFormat="1" applyFont="1" applyBorder="1" applyAlignment="1" applyProtection="1">
      <alignment vertical="center"/>
      <protection hidden="1"/>
    </xf>
    <xf numFmtId="0" fontId="19" fillId="0" borderId="3" xfId="0" applyFont="1" applyBorder="1" applyAlignment="1" applyProtection="1">
      <alignment vertical="center"/>
      <protection hidden="1"/>
    </xf>
    <xf numFmtId="0" fontId="20" fillId="0" borderId="10" xfId="0" applyFont="1" applyBorder="1" applyAlignment="1" applyProtection="1">
      <alignment vertical="center" wrapText="1"/>
      <protection hidden="1"/>
    </xf>
    <xf numFmtId="0" fontId="20" fillId="0" borderId="13" xfId="0" applyFont="1" applyBorder="1" applyAlignment="1" applyProtection="1">
      <alignment vertical="center" wrapText="1"/>
      <protection hidden="1"/>
    </xf>
    <xf numFmtId="0" fontId="21" fillId="0" borderId="1" xfId="0" applyFont="1" applyBorder="1" applyAlignment="1" applyProtection="1">
      <alignment horizontal="left" vertical="center"/>
      <protection hidden="1"/>
    </xf>
    <xf numFmtId="0" fontId="20" fillId="0" borderId="1" xfId="0" applyFont="1" applyBorder="1" applyAlignment="1" applyProtection="1">
      <alignment vertical="center"/>
      <protection hidden="1"/>
    </xf>
    <xf numFmtId="0" fontId="19" fillId="5" borderId="1" xfId="0" applyFont="1" applyFill="1" applyBorder="1" applyAlignment="1" applyProtection="1">
      <alignment vertical="center"/>
      <protection locked="0"/>
    </xf>
    <xf numFmtId="0" fontId="27" fillId="0" borderId="1" xfId="0" applyFont="1" applyBorder="1" applyAlignment="1" applyProtection="1">
      <alignment vertical="center"/>
      <protection hidden="1"/>
    </xf>
    <xf numFmtId="9" fontId="21" fillId="0" borderId="1" xfId="8" applyFont="1" applyBorder="1" applyAlignment="1" applyProtection="1">
      <alignment vertical="center"/>
      <protection hidden="1"/>
    </xf>
    <xf numFmtId="167" fontId="19" fillId="4" borderId="1" xfId="0" applyNumberFormat="1" applyFont="1" applyFill="1" applyBorder="1" applyAlignment="1" applyProtection="1">
      <alignment vertical="center"/>
      <protection locked="0"/>
    </xf>
    <xf numFmtId="164" fontId="19" fillId="0" borderId="1" xfId="9" applyFont="1" applyBorder="1" applyAlignment="1" applyProtection="1">
      <alignment vertical="center"/>
      <protection hidden="1"/>
    </xf>
    <xf numFmtId="0" fontId="19" fillId="0" borderId="8" xfId="0" applyFont="1" applyBorder="1" applyAlignment="1" applyProtection="1">
      <alignment vertical="center"/>
      <protection hidden="1"/>
    </xf>
    <xf numFmtId="0" fontId="19" fillId="0" borderId="4" xfId="0" applyFont="1" applyBorder="1" applyAlignment="1" applyProtection="1">
      <alignment horizontal="center" vertical="center"/>
      <protection hidden="1"/>
    </xf>
    <xf numFmtId="0" fontId="19" fillId="5" borderId="6" xfId="0" applyFont="1" applyFill="1" applyBorder="1" applyAlignment="1" applyProtection="1">
      <alignment vertical="center"/>
      <protection locked="0"/>
    </xf>
    <xf numFmtId="164" fontId="19" fillId="0" borderId="10" xfId="9" applyFont="1" applyBorder="1" applyAlignment="1" applyProtection="1">
      <alignment vertical="center"/>
      <protection hidden="1"/>
    </xf>
    <xf numFmtId="164" fontId="21" fillId="0" borderId="6" xfId="9" applyFont="1" applyBorder="1" applyAlignment="1" applyProtection="1">
      <alignment vertical="center"/>
      <protection hidden="1"/>
    </xf>
    <xf numFmtId="0" fontId="21" fillId="0" borderId="11" xfId="0" applyFont="1" applyBorder="1" applyAlignment="1" applyProtection="1">
      <alignment vertical="center" wrapText="1"/>
      <protection hidden="1"/>
    </xf>
    <xf numFmtId="164" fontId="21" fillId="0" borderId="6" xfId="9" applyFont="1" applyBorder="1" applyAlignment="1" applyProtection="1">
      <alignment vertical="center" wrapText="1"/>
      <protection hidden="1"/>
    </xf>
    <xf numFmtId="0" fontId="21" fillId="0" borderId="9" xfId="0" applyFont="1" applyBorder="1" applyAlignment="1" applyProtection="1">
      <alignment vertical="center"/>
      <protection hidden="1"/>
    </xf>
    <xf numFmtId="0" fontId="28" fillId="0" borderId="5" xfId="0" applyFont="1" applyBorder="1" applyAlignment="1" applyProtection="1">
      <alignment horizontal="right"/>
      <protection hidden="1"/>
    </xf>
    <xf numFmtId="164" fontId="19" fillId="0" borderId="15" xfId="9" applyFont="1" applyBorder="1" applyAlignment="1" applyProtection="1">
      <alignment vertical="center"/>
      <protection hidden="1"/>
    </xf>
    <xf numFmtId="10" fontId="19" fillId="4" borderId="1" xfId="8" applyNumberFormat="1" applyFont="1" applyFill="1" applyBorder="1" applyAlignment="1" applyProtection="1">
      <alignment horizontal="center" vertical="center" wrapText="1"/>
      <protection hidden="1"/>
    </xf>
    <xf numFmtId="0" fontId="19" fillId="0" borderId="1" xfId="0" applyFont="1" applyBorder="1" applyAlignment="1" applyProtection="1">
      <alignment vertical="center"/>
      <protection hidden="1"/>
    </xf>
    <xf numFmtId="0" fontId="21" fillId="0" borderId="31" xfId="0" applyFont="1" applyBorder="1" applyAlignment="1" applyProtection="1">
      <alignment horizontal="left" vertical="center" wrapText="1"/>
      <protection hidden="1"/>
    </xf>
    <xf numFmtId="43" fontId="29" fillId="0" borderId="33" xfId="2" applyFont="1" applyBorder="1" applyAlignment="1" applyProtection="1">
      <alignment vertical="center"/>
      <protection hidden="1"/>
    </xf>
    <xf numFmtId="0" fontId="19" fillId="0" borderId="31" xfId="0" applyFont="1" applyBorder="1" applyAlignment="1" applyProtection="1">
      <alignment horizontal="center" vertical="center"/>
      <protection hidden="1"/>
    </xf>
    <xf numFmtId="0" fontId="19" fillId="0" borderId="38" xfId="0" applyFont="1" applyBorder="1" applyAlignment="1" applyProtection="1">
      <alignment horizontal="center" vertical="center"/>
      <protection hidden="1"/>
    </xf>
    <xf numFmtId="0" fontId="19" fillId="0" borderId="39" xfId="0" applyFont="1" applyBorder="1" applyAlignment="1" applyProtection="1">
      <alignment horizontal="center" vertical="center" textRotation="90"/>
      <protection hidden="1"/>
    </xf>
    <xf numFmtId="0" fontId="19" fillId="0" borderId="40" xfId="0" applyFont="1" applyBorder="1" applyAlignment="1" applyProtection="1">
      <alignment horizontal="center" vertical="center"/>
      <protection hidden="1"/>
    </xf>
    <xf numFmtId="0" fontId="19" fillId="0" borderId="41" xfId="0" applyFont="1" applyBorder="1" applyAlignment="1" applyProtection="1">
      <alignment horizontal="center" vertical="center"/>
      <protection hidden="1"/>
    </xf>
    <xf numFmtId="0" fontId="19" fillId="0" borderId="0" xfId="0" applyFont="1" applyAlignment="1" applyProtection="1">
      <alignment horizontal="center" vertical="center"/>
      <protection hidden="1"/>
    </xf>
    <xf numFmtId="0" fontId="19" fillId="0" borderId="42" xfId="0" applyFont="1" applyBorder="1" applyAlignment="1" applyProtection="1">
      <alignment horizontal="center" vertical="center"/>
      <protection hidden="1"/>
    </xf>
    <xf numFmtId="0" fontId="19" fillId="0" borderId="43" xfId="0" applyFont="1" applyBorder="1" applyAlignment="1" applyProtection="1">
      <alignment horizontal="center" vertical="center"/>
      <protection hidden="1"/>
    </xf>
    <xf numFmtId="0" fontId="19" fillId="0" borderId="39" xfId="0" applyFont="1" applyBorder="1" applyAlignment="1" applyProtection="1">
      <alignment horizontal="center" vertical="center"/>
      <protection hidden="1"/>
    </xf>
    <xf numFmtId="0" fontId="19" fillId="0" borderId="44" xfId="0" applyFont="1" applyBorder="1" applyAlignment="1" applyProtection="1">
      <alignment horizontal="center" vertical="center"/>
      <protection hidden="1"/>
    </xf>
    <xf numFmtId="0" fontId="19" fillId="0" borderId="46" xfId="0" applyFont="1" applyBorder="1" applyAlignment="1" applyProtection="1">
      <alignment horizontal="center" vertical="center"/>
      <protection hidden="1"/>
    </xf>
    <xf numFmtId="0" fontId="19" fillId="0" borderId="45" xfId="0" applyFont="1" applyBorder="1" applyAlignment="1" applyProtection="1">
      <alignment horizontal="center" vertical="center" textRotation="90"/>
      <protection hidden="1"/>
    </xf>
    <xf numFmtId="168" fontId="19" fillId="0" borderId="1" xfId="0" applyNumberFormat="1" applyFont="1" applyBorder="1" applyAlignment="1" applyProtection="1">
      <alignment vertical="center"/>
      <protection hidden="1"/>
    </xf>
    <xf numFmtId="0" fontId="19" fillId="0" borderId="0" xfId="0" applyFont="1" applyAlignment="1" applyProtection="1">
      <alignment horizontal="left" vertical="center" wrapText="1"/>
      <protection hidden="1"/>
    </xf>
    <xf numFmtId="0" fontId="19" fillId="0" borderId="0" xfId="0" applyFont="1" applyAlignment="1" applyProtection="1">
      <alignment vertical="center"/>
      <protection hidden="1"/>
    </xf>
    <xf numFmtId="0" fontId="23" fillId="0" borderId="0" xfId="0" applyFont="1" applyAlignment="1" applyProtection="1">
      <alignment vertical="center"/>
      <protection hidden="1"/>
    </xf>
    <xf numFmtId="10" fontId="13" fillId="0" borderId="0" xfId="8" applyNumberFormat="1" applyFont="1" applyBorder="1" applyAlignment="1" applyProtection="1">
      <alignment vertical="center"/>
      <protection hidden="1"/>
    </xf>
    <xf numFmtId="166" fontId="13" fillId="0" borderId="0" xfId="8" applyNumberFormat="1" applyFont="1" applyBorder="1" applyAlignment="1" applyProtection="1">
      <alignment vertical="center"/>
      <protection hidden="1"/>
    </xf>
    <xf numFmtId="14" fontId="0" fillId="0" borderId="0" xfId="0" applyNumberFormat="1" applyAlignment="1" applyProtection="1">
      <alignment vertical="center"/>
      <protection hidden="1"/>
    </xf>
    <xf numFmtId="169" fontId="13" fillId="0" borderId="0" xfId="8" applyNumberFormat="1" applyFont="1" applyBorder="1" applyAlignment="1" applyProtection="1">
      <alignment vertical="center"/>
      <protection hidden="1"/>
    </xf>
    <xf numFmtId="9" fontId="13" fillId="0" borderId="0" xfId="8" applyFont="1" applyFill="1" applyBorder="1" applyAlignment="1" applyProtection="1">
      <alignment vertical="center"/>
      <protection hidden="1"/>
    </xf>
    <xf numFmtId="10" fontId="13" fillId="0" borderId="0" xfId="8" applyNumberFormat="1" applyFont="1" applyFill="1" applyBorder="1" applyAlignment="1" applyProtection="1">
      <alignment vertical="center"/>
      <protection hidden="1"/>
    </xf>
    <xf numFmtId="9" fontId="13" fillId="0" borderId="0" xfId="8" applyFont="1" applyBorder="1" applyAlignment="1" applyProtection="1">
      <alignment vertical="center"/>
      <protection hidden="1"/>
    </xf>
    <xf numFmtId="0" fontId="0" fillId="0" borderId="0" xfId="0" quotePrefix="1" applyAlignment="1" applyProtection="1">
      <alignment vertical="center"/>
      <protection hidden="1"/>
    </xf>
    <xf numFmtId="0" fontId="30" fillId="0" borderId="0" xfId="0" applyFont="1" applyAlignment="1" applyProtection="1">
      <alignment vertical="center" wrapText="1"/>
      <protection hidden="1"/>
    </xf>
    <xf numFmtId="0" fontId="19" fillId="5" borderId="1" xfId="0" applyFont="1" applyFill="1" applyBorder="1" applyAlignment="1" applyProtection="1">
      <alignment horizontal="left" vertical="center" wrapText="1"/>
      <protection hidden="1"/>
    </xf>
    <xf numFmtId="43" fontId="19" fillId="4" borderId="1" xfId="2" applyFont="1" applyFill="1" applyBorder="1" applyAlignment="1" applyProtection="1">
      <alignment vertical="center"/>
      <protection locked="0"/>
    </xf>
    <xf numFmtId="0" fontId="4" fillId="0" borderId="11" xfId="0" applyFont="1" applyBorder="1" applyAlignment="1" applyProtection="1">
      <alignment vertical="center" wrapText="1"/>
      <protection hidden="1"/>
    </xf>
    <xf numFmtId="0" fontId="21" fillId="0" borderId="31" xfId="0" applyFont="1" applyBorder="1" applyAlignment="1" applyProtection="1">
      <alignment horizontal="center" vertical="center" wrapText="1"/>
      <protection hidden="1"/>
    </xf>
    <xf numFmtId="0" fontId="21" fillId="0" borderId="31" xfId="0" applyFont="1" applyBorder="1" applyAlignment="1" applyProtection="1">
      <alignment horizontal="center" vertical="center" wrapText="1"/>
      <protection locked="0"/>
    </xf>
    <xf numFmtId="0" fontId="21" fillId="0" borderId="31" xfId="0" applyFont="1" applyBorder="1" applyAlignment="1" applyProtection="1">
      <alignment horizontal="center" vertical="center"/>
      <protection hidden="1"/>
    </xf>
    <xf numFmtId="0" fontId="19" fillId="0" borderId="0" xfId="0" applyFont="1" applyProtection="1">
      <protection hidden="1"/>
    </xf>
    <xf numFmtId="0" fontId="5" fillId="0" borderId="31" xfId="1" applyFont="1" applyBorder="1" applyAlignment="1" applyProtection="1">
      <alignment horizontal="center" vertical="center" wrapText="1"/>
      <protection locked="0"/>
    </xf>
    <xf numFmtId="0" fontId="6" fillId="0" borderId="15" xfId="1" applyFont="1" applyBorder="1" applyAlignment="1" applyProtection="1">
      <alignment horizontal="left" vertical="center" wrapText="1"/>
      <protection hidden="1"/>
    </xf>
    <xf numFmtId="0" fontId="6" fillId="0" borderId="1" xfId="1" applyFont="1" applyBorder="1" applyAlignment="1" applyProtection="1">
      <alignment horizontal="left" vertical="center" wrapText="1"/>
      <protection hidden="1"/>
    </xf>
    <xf numFmtId="0" fontId="6" fillId="0" borderId="1" xfId="0" applyFont="1" applyBorder="1" applyAlignment="1" applyProtection="1">
      <alignment horizontal="left" vertical="center" wrapText="1"/>
      <protection hidden="1"/>
    </xf>
    <xf numFmtId="1" fontId="21" fillId="0" borderId="31" xfId="0" applyNumberFormat="1" applyFont="1" applyBorder="1" applyAlignment="1" applyProtection="1">
      <alignment horizontal="center" vertical="center"/>
      <protection hidden="1"/>
    </xf>
    <xf numFmtId="0" fontId="19" fillId="0" borderId="15" xfId="0" applyFont="1" applyBorder="1" applyAlignment="1" applyProtection="1">
      <alignment horizontal="left" vertical="center" wrapText="1"/>
      <protection locked="0"/>
    </xf>
    <xf numFmtId="1" fontId="5" fillId="0" borderId="0" xfId="3" applyNumberFormat="1" applyFont="1" applyAlignment="1" applyProtection="1">
      <alignment vertical="center"/>
      <protection hidden="1"/>
    </xf>
    <xf numFmtId="0" fontId="19" fillId="0" borderId="21" xfId="0" applyFont="1" applyBorder="1" applyAlignment="1" applyProtection="1">
      <alignment vertical="center"/>
      <protection hidden="1"/>
    </xf>
    <xf numFmtId="0" fontId="19" fillId="0" borderId="37" xfId="0" applyFont="1" applyBorder="1" applyAlignment="1" applyProtection="1">
      <alignment horizontal="center" vertical="center"/>
      <protection hidden="1"/>
    </xf>
    <xf numFmtId="0" fontId="19" fillId="0" borderId="45" xfId="0" applyFont="1" applyBorder="1" applyAlignment="1" applyProtection="1">
      <alignment horizontal="center" vertical="center"/>
      <protection hidden="1"/>
    </xf>
    <xf numFmtId="0" fontId="19" fillId="5" borderId="1" xfId="0" applyFont="1" applyFill="1" applyBorder="1" applyAlignment="1" applyProtection="1">
      <alignment horizontal="center" vertical="center"/>
      <protection locked="0" hidden="1"/>
    </xf>
    <xf numFmtId="0" fontId="21" fillId="0" borderId="1" xfId="0" applyFont="1" applyBorder="1" applyAlignment="1" applyProtection="1">
      <alignment horizontal="left" vertical="center" wrapText="1"/>
      <protection hidden="1"/>
    </xf>
    <xf numFmtId="0" fontId="21" fillId="0" borderId="11" xfId="0" applyFont="1" applyBorder="1" applyAlignment="1" applyProtection="1">
      <alignment horizontal="left" vertical="center" wrapText="1"/>
      <protection hidden="1"/>
    </xf>
    <xf numFmtId="0" fontId="21" fillId="0" borderId="16" xfId="0" applyFont="1" applyBorder="1" applyAlignment="1" applyProtection="1">
      <alignment horizontal="left" vertical="center" wrapText="1"/>
      <protection hidden="1"/>
    </xf>
    <xf numFmtId="0" fontId="21" fillId="0" borderId="15" xfId="0" applyFont="1" applyBorder="1" applyAlignment="1" applyProtection="1">
      <alignment horizontal="left" vertical="center" wrapText="1"/>
      <protection hidden="1"/>
    </xf>
    <xf numFmtId="0" fontId="19" fillId="0" borderId="5" xfId="0" applyFont="1" applyBorder="1" applyAlignment="1" applyProtection="1">
      <alignment vertical="center"/>
      <protection hidden="1"/>
    </xf>
    <xf numFmtId="0" fontId="20" fillId="0" borderId="7" xfId="0" applyFont="1" applyBorder="1" applyAlignment="1" applyProtection="1">
      <alignment vertical="center" wrapText="1"/>
      <protection hidden="1"/>
    </xf>
    <xf numFmtId="14" fontId="19" fillId="4" borderId="6" xfId="0" applyNumberFormat="1" applyFont="1" applyFill="1" applyBorder="1" applyAlignment="1" applyProtection="1">
      <alignment vertical="center"/>
      <protection locked="0"/>
    </xf>
    <xf numFmtId="0" fontId="19" fillId="5" borderId="78" xfId="0" applyFont="1" applyFill="1" applyBorder="1" applyAlignment="1" applyProtection="1">
      <alignment vertical="center"/>
      <protection locked="0"/>
    </xf>
    <xf numFmtId="0" fontId="20" fillId="0" borderId="6" xfId="0" applyFont="1" applyBorder="1" applyAlignment="1" applyProtection="1">
      <alignment vertical="center"/>
      <protection hidden="1"/>
    </xf>
    <xf numFmtId="0" fontId="21" fillId="0" borderId="6" xfId="0" applyFont="1" applyBorder="1" applyAlignment="1" applyProtection="1">
      <alignment vertical="center"/>
      <protection hidden="1"/>
    </xf>
    <xf numFmtId="0" fontId="19" fillId="0" borderId="6" xfId="0" applyFont="1" applyBorder="1" applyAlignment="1" applyProtection="1">
      <alignment vertical="center"/>
      <protection hidden="1"/>
    </xf>
    <xf numFmtId="0" fontId="20" fillId="0" borderId="31" xfId="0" applyFont="1" applyBorder="1" applyAlignment="1" applyProtection="1">
      <alignment vertical="center"/>
      <protection hidden="1"/>
    </xf>
    <xf numFmtId="167" fontId="21" fillId="0" borderId="19" xfId="0" applyNumberFormat="1" applyFont="1" applyBorder="1" applyAlignment="1" applyProtection="1">
      <alignment vertical="center"/>
      <protection hidden="1"/>
    </xf>
    <xf numFmtId="0" fontId="20" fillId="0" borderId="5" xfId="0" applyFont="1" applyBorder="1" applyAlignment="1" applyProtection="1">
      <alignment horizontal="center" vertical="center" wrapText="1"/>
      <protection hidden="1"/>
    </xf>
    <xf numFmtId="0" fontId="20" fillId="0" borderId="1" xfId="0" applyFont="1" applyBorder="1" applyAlignment="1" applyProtection="1">
      <alignment horizontal="center" vertical="center" wrapText="1"/>
      <protection hidden="1"/>
    </xf>
    <xf numFmtId="14" fontId="21" fillId="0" borderId="44" xfId="0" applyNumberFormat="1" applyFont="1" applyBorder="1" applyAlignment="1" applyProtection="1">
      <alignment horizontal="center" vertical="top" wrapText="1"/>
      <protection locked="0"/>
    </xf>
    <xf numFmtId="0" fontId="19" fillId="0" borderId="26" xfId="0" applyFont="1" applyBorder="1" applyAlignment="1" applyProtection="1">
      <alignment vertical="center"/>
      <protection hidden="1"/>
    </xf>
    <xf numFmtId="0" fontId="5" fillId="0" borderId="31" xfId="1" applyFont="1" applyBorder="1" applyAlignment="1" applyProtection="1">
      <alignment horizontal="center" vertical="center" wrapText="1"/>
      <protection hidden="1"/>
    </xf>
    <xf numFmtId="0" fontId="19" fillId="0" borderId="1" xfId="0" applyFont="1" applyBorder="1" applyAlignment="1" applyProtection="1">
      <alignment horizontal="left" vertical="center" wrapText="1"/>
      <protection hidden="1"/>
    </xf>
    <xf numFmtId="0" fontId="19" fillId="0" borderId="6" xfId="0" applyFont="1" applyBorder="1" applyAlignment="1" applyProtection="1">
      <alignment horizontal="left" vertical="center" wrapText="1"/>
      <protection hidden="1"/>
    </xf>
    <xf numFmtId="0" fontId="5" fillId="0" borderId="37" xfId="1" applyFont="1" applyBorder="1" applyAlignment="1" applyProtection="1">
      <alignment horizontal="center" vertical="center" wrapText="1"/>
      <protection hidden="1"/>
    </xf>
    <xf numFmtId="0" fontId="5" fillId="0" borderId="47" xfId="1" applyFont="1" applyBorder="1" applyAlignment="1" applyProtection="1">
      <alignment horizontal="center" vertical="center" wrapText="1"/>
      <protection hidden="1"/>
    </xf>
    <xf numFmtId="0" fontId="5" fillId="0" borderId="48" xfId="1" applyFont="1" applyBorder="1" applyAlignment="1" applyProtection="1">
      <alignment horizontal="center" vertical="center" wrapText="1"/>
      <protection hidden="1"/>
    </xf>
    <xf numFmtId="0" fontId="5" fillId="0" borderId="49" xfId="1" applyFont="1" applyBorder="1" applyAlignment="1" applyProtection="1">
      <alignment horizontal="center" vertical="center" wrapText="1"/>
      <protection hidden="1"/>
    </xf>
    <xf numFmtId="0" fontId="19" fillId="0" borderId="15" xfId="0" applyFont="1" applyBorder="1" applyAlignment="1" applyProtection="1">
      <alignment horizontal="left" vertical="center" wrapText="1"/>
      <protection locked="0" hidden="1"/>
    </xf>
    <xf numFmtId="0" fontId="19" fillId="0" borderId="19" xfId="0" applyFont="1" applyBorder="1" applyAlignment="1" applyProtection="1">
      <alignment horizontal="left" vertical="center" wrapText="1"/>
      <protection locked="0" hidden="1"/>
    </xf>
    <xf numFmtId="0" fontId="19" fillId="0" borderId="1" xfId="0" applyFont="1" applyBorder="1" applyAlignment="1" applyProtection="1">
      <alignment horizontal="left" vertical="center" wrapText="1"/>
      <protection locked="0" hidden="1"/>
    </xf>
    <xf numFmtId="0" fontId="19" fillId="0" borderId="6" xfId="0" applyFont="1" applyBorder="1" applyAlignment="1" applyProtection="1">
      <alignment horizontal="left" vertical="center" wrapText="1"/>
      <protection locked="0" hidden="1"/>
    </xf>
    <xf numFmtId="0" fontId="19" fillId="0" borderId="76" xfId="0" applyFont="1" applyBorder="1" applyAlignment="1" applyProtection="1">
      <alignment horizontal="left" vertical="center" wrapText="1"/>
      <protection locked="0" hidden="1"/>
    </xf>
    <xf numFmtId="0" fontId="19" fillId="0" borderId="77" xfId="0" applyFont="1" applyBorder="1" applyAlignment="1" applyProtection="1">
      <alignment horizontal="left" vertical="center" wrapText="1"/>
      <protection locked="0" hidden="1"/>
    </xf>
    <xf numFmtId="0" fontId="19" fillId="0" borderId="9" xfId="0" applyFont="1" applyBorder="1" applyAlignment="1" applyProtection="1">
      <alignment vertical="center"/>
      <protection locked="0" hidden="1"/>
    </xf>
    <xf numFmtId="0" fontId="19" fillId="0" borderId="8" xfId="0" applyFont="1" applyBorder="1" applyAlignment="1" applyProtection="1">
      <alignment horizontal="left" vertical="center" wrapText="1"/>
      <protection locked="0" hidden="1"/>
    </xf>
    <xf numFmtId="0" fontId="19" fillId="0" borderId="7" xfId="0" applyFont="1" applyBorder="1" applyAlignment="1" applyProtection="1">
      <alignment horizontal="left" vertical="center" wrapText="1"/>
      <protection locked="0" hidden="1"/>
    </xf>
    <xf numFmtId="0" fontId="19" fillId="0" borderId="5" xfId="0" applyFont="1" applyBorder="1" applyAlignment="1" applyProtection="1">
      <alignment vertical="center"/>
      <protection locked="0" hidden="1"/>
    </xf>
    <xf numFmtId="0" fontId="19" fillId="0" borderId="14" xfId="0" applyFont="1" applyBorder="1" applyAlignment="1" applyProtection="1">
      <alignment vertical="center"/>
      <protection locked="0" hidden="1"/>
    </xf>
    <xf numFmtId="0" fontId="19" fillId="0" borderId="10" xfId="0" applyFont="1" applyBorder="1" applyAlignment="1" applyProtection="1">
      <alignment horizontal="left" vertical="center" wrapText="1"/>
      <protection locked="0" hidden="1"/>
    </xf>
    <xf numFmtId="0" fontId="19" fillId="0" borderId="13" xfId="0" applyFont="1" applyBorder="1" applyAlignment="1" applyProtection="1">
      <alignment horizontal="left" vertical="center" wrapText="1"/>
      <protection locked="0" hidden="1"/>
    </xf>
    <xf numFmtId="0" fontId="19" fillId="0" borderId="16" xfId="0" applyFont="1" applyBorder="1" applyAlignment="1" applyProtection="1">
      <alignment vertical="center"/>
      <protection locked="0" hidden="1"/>
    </xf>
    <xf numFmtId="0" fontId="20" fillId="0" borderId="20" xfId="0" applyFont="1" applyBorder="1" applyAlignment="1" applyProtection="1">
      <alignment vertical="center" wrapText="1"/>
      <protection hidden="1"/>
    </xf>
    <xf numFmtId="0" fontId="20" fillId="0" borderId="55" xfId="0" applyFont="1" applyBorder="1" applyAlignment="1" applyProtection="1">
      <alignment vertical="center" wrapText="1"/>
      <protection hidden="1"/>
    </xf>
    <xf numFmtId="0" fontId="19" fillId="0" borderId="0" xfId="0" applyFont="1"/>
    <xf numFmtId="0" fontId="21" fillId="0" borderId="1" xfId="0" applyFont="1" applyBorder="1" applyAlignment="1">
      <alignment horizontal="center" vertical="center"/>
    </xf>
    <xf numFmtId="0" fontId="19" fillId="0" borderId="1" xfId="0" applyFont="1" applyBorder="1" applyAlignment="1">
      <alignment horizontal="center" vertical="center"/>
    </xf>
    <xf numFmtId="0" fontId="26" fillId="0" borderId="1" xfId="0" applyFont="1" applyBorder="1" applyProtection="1">
      <protection hidden="1"/>
    </xf>
    <xf numFmtId="14" fontId="26" fillId="0" borderId="1" xfId="0" applyNumberFormat="1" applyFont="1" applyBorder="1" applyProtection="1">
      <protection hidden="1"/>
    </xf>
    <xf numFmtId="0" fontId="24" fillId="0" borderId="0" xfId="0" applyFont="1" applyProtection="1">
      <protection hidden="1"/>
    </xf>
    <xf numFmtId="0" fontId="24" fillId="0" borderId="1" xfId="0" applyFont="1" applyBorder="1" applyProtection="1">
      <protection hidden="1"/>
    </xf>
    <xf numFmtId="14" fontId="24" fillId="0" borderId="1" xfId="0" applyNumberFormat="1" applyFont="1" applyBorder="1" applyProtection="1">
      <protection hidden="1"/>
    </xf>
    <xf numFmtId="14" fontId="24" fillId="0" borderId="0" xfId="0" applyNumberFormat="1" applyFont="1" applyProtection="1">
      <protection hidden="1"/>
    </xf>
    <xf numFmtId="0" fontId="24" fillId="0" borderId="26" xfId="0" applyFont="1" applyBorder="1" applyAlignment="1" applyProtection="1">
      <alignment horizontal="right"/>
      <protection hidden="1"/>
    </xf>
    <xf numFmtId="0" fontId="24" fillId="0" borderId="21" xfId="0" applyFont="1" applyBorder="1" applyProtection="1">
      <protection hidden="1"/>
    </xf>
    <xf numFmtId="0" fontId="24" fillId="0" borderId="28" xfId="0" applyFont="1" applyBorder="1" applyAlignment="1" applyProtection="1">
      <alignment horizontal="right"/>
      <protection hidden="1"/>
    </xf>
    <xf numFmtId="0" fontId="24" fillId="0" borderId="27" xfId="0" applyFont="1" applyBorder="1" applyProtection="1">
      <protection hidden="1"/>
    </xf>
    <xf numFmtId="0" fontId="24" fillId="0" borderId="26" xfId="0" applyFont="1" applyBorder="1" applyProtection="1">
      <protection hidden="1"/>
    </xf>
    <xf numFmtId="0" fontId="24" fillId="0" borderId="25" xfId="0" applyFont="1" applyBorder="1" applyAlignment="1" applyProtection="1">
      <alignment horizontal="right"/>
      <protection hidden="1"/>
    </xf>
    <xf numFmtId="0" fontId="24" fillId="0" borderId="24" xfId="0" applyFont="1" applyBorder="1" applyProtection="1">
      <protection hidden="1"/>
    </xf>
    <xf numFmtId="14" fontId="24" fillId="0" borderId="21" xfId="0" applyNumberFormat="1" applyFont="1" applyBorder="1" applyProtection="1">
      <protection hidden="1"/>
    </xf>
    <xf numFmtId="14" fontId="24" fillId="0" borderId="25" xfId="0" applyNumberFormat="1" applyFont="1" applyBorder="1" applyProtection="1">
      <protection hidden="1"/>
    </xf>
    <xf numFmtId="0" fontId="24" fillId="0" borderId="25" xfId="0" applyFont="1" applyBorder="1" applyProtection="1">
      <protection hidden="1"/>
    </xf>
    <xf numFmtId="14" fontId="24" fillId="0" borderId="24" xfId="0" applyNumberFormat="1" applyFont="1" applyBorder="1" applyProtection="1">
      <protection hidden="1"/>
    </xf>
    <xf numFmtId="0" fontId="26" fillId="0" borderId="33" xfId="0" applyFont="1" applyBorder="1" applyProtection="1">
      <protection hidden="1"/>
    </xf>
    <xf numFmtId="0" fontId="26" fillId="0" borderId="29" xfId="0" applyFont="1" applyBorder="1" applyProtection="1">
      <protection hidden="1"/>
    </xf>
    <xf numFmtId="0" fontId="24" fillId="0" borderId="28" xfId="0" applyFont="1" applyBorder="1" applyProtection="1">
      <protection hidden="1"/>
    </xf>
    <xf numFmtId="0" fontId="24" fillId="0" borderId="32" xfId="0" applyFont="1" applyBorder="1" applyProtection="1">
      <protection hidden="1"/>
    </xf>
    <xf numFmtId="0" fontId="24" fillId="0" borderId="31" xfId="0" applyFont="1" applyBorder="1" applyProtection="1">
      <protection hidden="1"/>
    </xf>
    <xf numFmtId="0" fontId="24" fillId="0" borderId="21" xfId="0" applyFont="1" applyBorder="1" applyAlignment="1" applyProtection="1">
      <alignment wrapText="1"/>
      <protection hidden="1"/>
    </xf>
    <xf numFmtId="0" fontId="36" fillId="0" borderId="21" xfId="0" applyFont="1" applyBorder="1" applyProtection="1">
      <protection hidden="1"/>
    </xf>
    <xf numFmtId="0" fontId="24" fillId="0" borderId="1" xfId="0" applyFont="1" applyBorder="1" applyAlignment="1" applyProtection="1">
      <alignment wrapText="1"/>
      <protection hidden="1"/>
    </xf>
    <xf numFmtId="0" fontId="24" fillId="0" borderId="0" xfId="0" applyFont="1" applyAlignment="1" applyProtection="1">
      <alignment wrapText="1"/>
      <protection hidden="1"/>
    </xf>
    <xf numFmtId="0" fontId="26" fillId="0" borderId="30" xfId="0" applyFont="1" applyBorder="1" applyProtection="1">
      <protection hidden="1"/>
    </xf>
    <xf numFmtId="0" fontId="26" fillId="0" borderId="1" xfId="0" applyFont="1" applyBorder="1" applyAlignment="1" applyProtection="1">
      <alignment wrapText="1"/>
      <protection hidden="1"/>
    </xf>
    <xf numFmtId="14" fontId="26" fillId="0" borderId="1" xfId="0" applyNumberFormat="1" applyFont="1" applyBorder="1" applyAlignment="1" applyProtection="1">
      <alignment wrapText="1"/>
      <protection hidden="1"/>
    </xf>
    <xf numFmtId="0" fontId="26" fillId="0" borderId="20" xfId="0" applyFont="1" applyBorder="1" applyAlignment="1" applyProtection="1">
      <alignment wrapText="1"/>
      <protection hidden="1"/>
    </xf>
    <xf numFmtId="0" fontId="24" fillId="0" borderId="16" xfId="0" applyFont="1" applyBorder="1" applyProtection="1">
      <protection hidden="1"/>
    </xf>
    <xf numFmtId="0" fontId="24" fillId="0" borderId="19" xfId="0" applyFont="1" applyBorder="1" applyAlignment="1" applyProtection="1">
      <alignment wrapText="1"/>
      <protection hidden="1"/>
    </xf>
    <xf numFmtId="0" fontId="24" fillId="0" borderId="5" xfId="0" applyFont="1" applyBorder="1" applyProtection="1">
      <protection hidden="1"/>
    </xf>
    <xf numFmtId="0" fontId="24" fillId="0" borderId="6" xfId="0" applyFont="1" applyBorder="1" applyProtection="1">
      <protection hidden="1"/>
    </xf>
    <xf numFmtId="0" fontId="36" fillId="0" borderId="5" xfId="0" applyFont="1" applyBorder="1" applyAlignment="1" applyProtection="1">
      <alignment wrapText="1"/>
      <protection hidden="1"/>
    </xf>
    <xf numFmtId="14" fontId="24" fillId="0" borderId="6" xfId="0" applyNumberFormat="1" applyFont="1" applyBorder="1" applyProtection="1">
      <protection hidden="1"/>
    </xf>
    <xf numFmtId="0" fontId="36" fillId="0" borderId="5" xfId="0" applyFont="1" applyBorder="1" applyProtection="1">
      <protection hidden="1"/>
    </xf>
    <xf numFmtId="168" fontId="24" fillId="0" borderId="24" xfId="2" applyNumberFormat="1" applyFont="1" applyBorder="1" applyProtection="1">
      <protection hidden="1"/>
    </xf>
    <xf numFmtId="14" fontId="24" fillId="0" borderId="27" xfId="0" applyNumberFormat="1" applyFont="1" applyBorder="1" applyProtection="1">
      <protection hidden="1"/>
    </xf>
    <xf numFmtId="0" fontId="24" fillId="0" borderId="5" xfId="0" applyFont="1" applyBorder="1" applyAlignment="1" applyProtection="1">
      <alignment wrapText="1"/>
      <protection hidden="1"/>
    </xf>
    <xf numFmtId="0" fontId="36" fillId="0" borderId="1" xfId="0" applyFont="1" applyBorder="1" applyProtection="1">
      <protection hidden="1"/>
    </xf>
    <xf numFmtId="0" fontId="24" fillId="0" borderId="9" xfId="0" applyFont="1" applyBorder="1" applyProtection="1">
      <protection hidden="1"/>
    </xf>
    <xf numFmtId="0" fontId="24" fillId="0" borderId="7" xfId="0" applyFont="1" applyBorder="1" applyProtection="1">
      <protection hidden="1"/>
    </xf>
    <xf numFmtId="0" fontId="36" fillId="0" borderId="14" xfId="0" applyFont="1" applyBorder="1" applyProtection="1">
      <protection hidden="1"/>
    </xf>
    <xf numFmtId="0" fontId="24" fillId="0" borderId="13" xfId="0" applyFont="1" applyBorder="1" applyProtection="1">
      <protection hidden="1"/>
    </xf>
    <xf numFmtId="0" fontId="24" fillId="0" borderId="26" xfId="0" applyFont="1" applyBorder="1" applyAlignment="1" applyProtection="1">
      <alignment vertical="center"/>
      <protection hidden="1"/>
    </xf>
    <xf numFmtId="0" fontId="24" fillId="0" borderId="21" xfId="0" applyFont="1" applyBorder="1" applyAlignment="1" applyProtection="1">
      <alignment vertical="center"/>
      <protection hidden="1"/>
    </xf>
    <xf numFmtId="43" fontId="24" fillId="0" borderId="21" xfId="2" applyFont="1" applyBorder="1" applyAlignment="1" applyProtection="1">
      <alignment vertical="center"/>
      <protection hidden="1"/>
    </xf>
    <xf numFmtId="0" fontId="24" fillId="7" borderId="26" xfId="0" applyFont="1" applyFill="1" applyBorder="1" applyAlignment="1" applyProtection="1">
      <alignment vertical="center"/>
      <protection hidden="1"/>
    </xf>
    <xf numFmtId="0" fontId="24" fillId="0" borderId="25" xfId="0" applyFont="1" applyBorder="1" applyAlignment="1" applyProtection="1">
      <alignment vertical="center"/>
      <protection hidden="1"/>
    </xf>
    <xf numFmtId="0" fontId="24" fillId="0" borderId="24" xfId="0" applyFont="1" applyBorder="1" applyAlignment="1" applyProtection="1">
      <alignment vertical="center"/>
      <protection hidden="1"/>
    </xf>
    <xf numFmtId="0" fontId="24" fillId="0" borderId="32" xfId="0" quotePrefix="1" applyFont="1" applyBorder="1" applyProtection="1">
      <protection hidden="1"/>
    </xf>
    <xf numFmtId="0" fontId="24" fillId="0" borderId="27" xfId="0" quotePrefix="1" applyFont="1" applyBorder="1" applyProtection="1">
      <protection hidden="1"/>
    </xf>
    <xf numFmtId="14" fontId="24" fillId="0" borderId="24" xfId="0" applyNumberFormat="1" applyFont="1" applyBorder="1" applyAlignment="1" applyProtection="1">
      <alignment vertical="center"/>
      <protection hidden="1"/>
    </xf>
    <xf numFmtId="0" fontId="26" fillId="0" borderId="30" xfId="0" applyFont="1" applyBorder="1" applyAlignment="1" applyProtection="1">
      <alignment vertical="center"/>
      <protection hidden="1"/>
    </xf>
    <xf numFmtId="0" fontId="26" fillId="0" borderId="29" xfId="0" applyFont="1" applyBorder="1" applyAlignment="1" applyProtection="1">
      <alignment vertical="center" wrapText="1"/>
      <protection hidden="1"/>
    </xf>
    <xf numFmtId="43" fontId="24" fillId="0" borderId="21" xfId="2" applyFont="1" applyFill="1" applyBorder="1" applyAlignment="1" applyProtection="1">
      <alignment vertical="center"/>
      <protection hidden="1"/>
    </xf>
    <xf numFmtId="0" fontId="5" fillId="0" borderId="28" xfId="0" applyFont="1" applyBorder="1" applyAlignment="1" applyProtection="1">
      <alignment horizontal="left" vertical="center" wrapText="1"/>
      <protection hidden="1"/>
    </xf>
    <xf numFmtId="14" fontId="24" fillId="0" borderId="34" xfId="0" applyNumberFormat="1" applyFont="1" applyBorder="1" applyProtection="1">
      <protection hidden="1"/>
    </xf>
    <xf numFmtId="0" fontId="37" fillId="0" borderId="21" xfId="0" applyFont="1" applyBorder="1" applyAlignment="1" applyProtection="1">
      <alignment vertical="center"/>
      <protection hidden="1"/>
    </xf>
    <xf numFmtId="167" fontId="24" fillId="7" borderId="25" xfId="0" applyNumberFormat="1" applyFont="1" applyFill="1" applyBorder="1" applyAlignment="1" applyProtection="1">
      <alignment vertical="center"/>
      <protection hidden="1"/>
    </xf>
    <xf numFmtId="0" fontId="24" fillId="0" borderId="30" xfId="0" applyFont="1" applyBorder="1" applyProtection="1">
      <protection hidden="1"/>
    </xf>
    <xf numFmtId="0" fontId="24" fillId="0" borderId="29" xfId="0" applyFont="1" applyBorder="1" applyProtection="1">
      <protection hidden="1"/>
    </xf>
    <xf numFmtId="14" fontId="24" fillId="0" borderId="21" xfId="0" applyNumberFormat="1" applyFont="1" applyBorder="1" applyAlignment="1" applyProtection="1">
      <alignment vertical="center"/>
      <protection hidden="1"/>
    </xf>
    <xf numFmtId="0" fontId="37" fillId="0" borderId="24" xfId="0" applyFont="1" applyBorder="1" applyAlignment="1" applyProtection="1">
      <alignment vertical="center"/>
      <protection hidden="1"/>
    </xf>
    <xf numFmtId="0" fontId="5" fillId="0" borderId="16" xfId="0" applyFont="1" applyBorder="1" applyAlignment="1" applyProtection="1">
      <alignment horizontal="left" vertical="center" wrapText="1"/>
      <protection hidden="1"/>
    </xf>
    <xf numFmtId="0" fontId="5" fillId="0" borderId="5" xfId="0" applyFont="1" applyBorder="1" applyAlignment="1" applyProtection="1">
      <alignment horizontal="left" vertical="center" wrapText="1"/>
      <protection hidden="1"/>
    </xf>
    <xf numFmtId="0" fontId="24" fillId="0" borderId="29" xfId="0" applyFont="1" applyBorder="1" applyAlignment="1" applyProtection="1">
      <alignment vertical="center"/>
      <protection hidden="1"/>
    </xf>
    <xf numFmtId="0" fontId="24" fillId="0" borderId="0" xfId="0" applyFont="1" applyAlignment="1" applyProtection="1">
      <alignment vertical="center"/>
      <protection hidden="1"/>
    </xf>
    <xf numFmtId="0" fontId="24" fillId="0" borderId="24" xfId="0" applyFont="1" applyBorder="1" applyAlignment="1" applyProtection="1">
      <alignment vertical="center" wrapText="1"/>
      <protection hidden="1"/>
    </xf>
    <xf numFmtId="43" fontId="24" fillId="0" borderId="21" xfId="2" applyFont="1" applyBorder="1" applyProtection="1">
      <protection hidden="1"/>
    </xf>
    <xf numFmtId="14" fontId="24" fillId="0" borderId="21" xfId="2" applyNumberFormat="1" applyFont="1" applyBorder="1" applyProtection="1">
      <protection hidden="1"/>
    </xf>
    <xf numFmtId="168" fontId="24" fillId="0" borderId="21" xfId="0" applyNumberFormat="1" applyFont="1" applyBorder="1" applyProtection="1">
      <protection hidden="1"/>
    </xf>
    <xf numFmtId="43" fontId="24" fillId="0" borderId="0" xfId="0" applyNumberFormat="1" applyFont="1" applyProtection="1">
      <protection hidden="1"/>
    </xf>
    <xf numFmtId="14" fontId="24" fillId="0" borderId="28" xfId="0" applyNumberFormat="1" applyFont="1" applyBorder="1" applyProtection="1">
      <protection hidden="1"/>
    </xf>
    <xf numFmtId="0" fontId="24" fillId="0" borderId="29" xfId="0" applyFont="1" applyBorder="1" applyAlignment="1" applyProtection="1">
      <alignment wrapText="1"/>
      <protection hidden="1"/>
    </xf>
    <xf numFmtId="0" fontId="24" fillId="0" borderId="8" xfId="0" applyFont="1" applyBorder="1" applyProtection="1">
      <protection hidden="1"/>
    </xf>
    <xf numFmtId="10" fontId="24" fillId="0" borderId="7" xfId="8" applyNumberFormat="1" applyFont="1" applyBorder="1" applyProtection="1">
      <protection hidden="1"/>
    </xf>
    <xf numFmtId="10" fontId="24" fillId="0" borderId="31" xfId="8" applyNumberFormat="1" applyFont="1" applyBorder="1" applyProtection="1">
      <protection hidden="1"/>
    </xf>
    <xf numFmtId="0" fontId="24" fillId="0" borderId="14" xfId="0" applyFont="1" applyBorder="1" applyProtection="1">
      <protection hidden="1"/>
    </xf>
    <xf numFmtId="0" fontId="24" fillId="0" borderId="10" xfId="0" applyFont="1" applyBorder="1" applyProtection="1">
      <protection hidden="1"/>
    </xf>
    <xf numFmtId="0" fontId="6" fillId="0" borderId="9" xfId="0" applyFont="1" applyBorder="1" applyProtection="1">
      <protection hidden="1"/>
    </xf>
    <xf numFmtId="0" fontId="6" fillId="0" borderId="8" xfId="0" applyFont="1" applyBorder="1" applyProtection="1">
      <protection hidden="1"/>
    </xf>
    <xf numFmtId="43" fontId="6" fillId="0" borderId="8" xfId="2" applyFont="1" applyBorder="1" applyProtection="1">
      <protection hidden="1"/>
    </xf>
    <xf numFmtId="0" fontId="6" fillId="0" borderId="7" xfId="0" applyFont="1" applyBorder="1" applyProtection="1">
      <protection hidden="1"/>
    </xf>
    <xf numFmtId="0" fontId="6" fillId="0" borderId="5" xfId="0" applyFont="1" applyBorder="1" applyAlignment="1" applyProtection="1">
      <alignment vertical="center"/>
      <protection hidden="1"/>
    </xf>
    <xf numFmtId="0" fontId="6" fillId="0" borderId="1" xfId="0" applyFont="1" applyBorder="1" applyAlignment="1" applyProtection="1">
      <alignment vertical="center"/>
      <protection hidden="1"/>
    </xf>
    <xf numFmtId="0" fontId="6" fillId="0" borderId="1" xfId="0" applyFont="1" applyBorder="1" applyProtection="1">
      <protection hidden="1"/>
    </xf>
    <xf numFmtId="9" fontId="6" fillId="0" borderId="1" xfId="8" applyFont="1" applyBorder="1" applyProtection="1">
      <protection hidden="1"/>
    </xf>
    <xf numFmtId="43" fontId="6" fillId="0" borderId="35" xfId="2" applyFont="1" applyBorder="1" applyProtection="1">
      <protection hidden="1"/>
    </xf>
    <xf numFmtId="43" fontId="6" fillId="0" borderId="26" xfId="2" applyFont="1" applyBorder="1" applyProtection="1">
      <protection hidden="1"/>
    </xf>
    <xf numFmtId="43" fontId="6" fillId="0" borderId="0" xfId="2" applyFont="1" applyBorder="1" applyProtection="1">
      <protection hidden="1"/>
    </xf>
    <xf numFmtId="0" fontId="6" fillId="0" borderId="0" xfId="0" applyFont="1" applyProtection="1">
      <protection hidden="1"/>
    </xf>
    <xf numFmtId="43" fontId="6" fillId="0" borderId="0" xfId="0" applyNumberFormat="1" applyFont="1" applyProtection="1">
      <protection hidden="1"/>
    </xf>
    <xf numFmtId="43" fontId="6" fillId="0" borderId="31" xfId="2" applyFont="1" applyBorder="1" applyProtection="1">
      <protection hidden="1"/>
    </xf>
    <xf numFmtId="0" fontId="6" fillId="0" borderId="26" xfId="0" applyFont="1" applyBorder="1" applyProtection="1">
      <protection hidden="1"/>
    </xf>
    <xf numFmtId="0" fontId="6" fillId="0" borderId="21" xfId="0" applyFont="1" applyBorder="1" applyProtection="1">
      <protection hidden="1"/>
    </xf>
    <xf numFmtId="9" fontId="24" fillId="0" borderId="26" xfId="0" applyNumberFormat="1" applyFont="1" applyBorder="1" applyProtection="1">
      <protection hidden="1"/>
    </xf>
    <xf numFmtId="0" fontId="6" fillId="0" borderId="5" xfId="0" applyFont="1" applyBorder="1" applyProtection="1">
      <protection hidden="1"/>
    </xf>
    <xf numFmtId="9" fontId="24" fillId="0" borderId="0" xfId="8" applyFont="1" applyBorder="1" applyProtection="1">
      <protection hidden="1"/>
    </xf>
    <xf numFmtId="0" fontId="24" fillId="0" borderId="36" xfId="0" applyFont="1" applyBorder="1" applyProtection="1">
      <protection hidden="1"/>
    </xf>
    <xf numFmtId="0" fontId="6" fillId="0" borderId="31" xfId="0" applyFont="1" applyBorder="1" applyProtection="1">
      <protection hidden="1"/>
    </xf>
    <xf numFmtId="0" fontId="24" fillId="0" borderId="34" xfId="0" applyFont="1" applyBorder="1" applyProtection="1">
      <protection hidden="1"/>
    </xf>
    <xf numFmtId="164" fontId="6" fillId="0" borderId="0" xfId="0" applyNumberFormat="1" applyFont="1" applyProtection="1">
      <protection hidden="1"/>
    </xf>
    <xf numFmtId="9" fontId="6" fillId="0" borderId="1" xfId="0" applyNumberFormat="1" applyFont="1" applyBorder="1" applyProtection="1">
      <protection hidden="1"/>
    </xf>
    <xf numFmtId="43" fontId="6" fillId="0" borderId="6" xfId="2" applyFont="1" applyBorder="1" applyProtection="1">
      <protection hidden="1"/>
    </xf>
    <xf numFmtId="10" fontId="24" fillId="0" borderId="27" xfId="8" applyNumberFormat="1" applyFont="1" applyBorder="1" applyProtection="1">
      <protection hidden="1"/>
    </xf>
    <xf numFmtId="0" fontId="26" fillId="0" borderId="31" xfId="0" applyFont="1" applyBorder="1" applyProtection="1">
      <protection hidden="1"/>
    </xf>
    <xf numFmtId="43" fontId="6" fillId="0" borderId="1" xfId="2" applyFont="1" applyBorder="1" applyProtection="1">
      <protection hidden="1"/>
    </xf>
    <xf numFmtId="1" fontId="24" fillId="0" borderId="26" xfId="0" applyNumberFormat="1" applyFont="1" applyBorder="1" applyProtection="1">
      <protection hidden="1"/>
    </xf>
    <xf numFmtId="0" fontId="6" fillId="0" borderId="20" xfId="0" applyFont="1" applyBorder="1" applyAlignment="1" applyProtection="1">
      <alignment vertical="center"/>
      <protection hidden="1"/>
    </xf>
    <xf numFmtId="0" fontId="6" fillId="0" borderId="18" xfId="0" applyFont="1" applyBorder="1" applyAlignment="1" applyProtection="1">
      <alignment vertical="center"/>
      <protection hidden="1"/>
    </xf>
    <xf numFmtId="0" fontId="6" fillId="0" borderId="17" xfId="0" applyFont="1" applyBorder="1" applyAlignment="1" applyProtection="1">
      <alignment vertical="center"/>
      <protection hidden="1"/>
    </xf>
    <xf numFmtId="0" fontId="6" fillId="0" borderId="17" xfId="0" applyFont="1" applyBorder="1" applyProtection="1">
      <protection hidden="1"/>
    </xf>
    <xf numFmtId="0" fontId="6" fillId="0" borderId="37" xfId="0" applyFont="1" applyBorder="1" applyProtection="1">
      <protection hidden="1"/>
    </xf>
    <xf numFmtId="0" fontId="6" fillId="0" borderId="25" xfId="0" applyFont="1" applyBorder="1" applyProtection="1">
      <protection hidden="1"/>
    </xf>
    <xf numFmtId="0" fontId="6" fillId="0" borderId="34" xfId="0" applyFont="1" applyBorder="1" applyProtection="1">
      <protection hidden="1"/>
    </xf>
    <xf numFmtId="0" fontId="6" fillId="0" borderId="30" xfId="0" applyFont="1" applyBorder="1" applyProtection="1">
      <protection hidden="1"/>
    </xf>
    <xf numFmtId="43" fontId="6" fillId="0" borderId="29" xfId="0" applyNumberFormat="1" applyFont="1" applyBorder="1" applyProtection="1">
      <protection hidden="1"/>
    </xf>
    <xf numFmtId="14" fontId="24" fillId="0" borderId="32" xfId="0" applyNumberFormat="1" applyFont="1" applyBorder="1" applyProtection="1">
      <protection hidden="1"/>
    </xf>
    <xf numFmtId="1" fontId="24" fillId="0" borderId="32" xfId="0" applyNumberFormat="1" applyFont="1" applyBorder="1" applyProtection="1">
      <protection hidden="1"/>
    </xf>
    <xf numFmtId="43" fontId="24" fillId="0" borderId="32" xfId="2" applyFont="1" applyBorder="1" applyProtection="1">
      <protection hidden="1"/>
    </xf>
    <xf numFmtId="2" fontId="24" fillId="0" borderId="26" xfId="0" applyNumberFormat="1" applyFont="1" applyBorder="1" applyProtection="1">
      <protection hidden="1"/>
    </xf>
    <xf numFmtId="43" fontId="24" fillId="0" borderId="26" xfId="2" applyFont="1" applyBorder="1" applyProtection="1">
      <protection hidden="1"/>
    </xf>
    <xf numFmtId="1" fontId="24" fillId="0" borderId="0" xfId="0" applyNumberFormat="1" applyFont="1" applyProtection="1">
      <protection hidden="1"/>
    </xf>
    <xf numFmtId="43" fontId="24" fillId="0" borderId="0" xfId="2" applyFont="1" applyBorder="1" applyProtection="1">
      <protection hidden="1"/>
    </xf>
    <xf numFmtId="164" fontId="24" fillId="0" borderId="0" xfId="0" applyNumberFormat="1" applyFont="1" applyProtection="1">
      <protection hidden="1"/>
    </xf>
    <xf numFmtId="14" fontId="24" fillId="0" borderId="5" xfId="0" applyNumberFormat="1" applyFont="1" applyBorder="1" applyProtection="1">
      <protection hidden="1"/>
    </xf>
    <xf numFmtId="0" fontId="24" fillId="0" borderId="18" xfId="0" applyFont="1" applyBorder="1" applyProtection="1">
      <protection hidden="1"/>
    </xf>
    <xf numFmtId="0" fontId="24" fillId="0" borderId="17" xfId="0" applyFont="1" applyBorder="1" applyProtection="1">
      <protection hidden="1"/>
    </xf>
    <xf numFmtId="0" fontId="24" fillId="0" borderId="31" xfId="0" applyFont="1" applyBorder="1" applyAlignment="1" applyProtection="1">
      <alignment wrapText="1"/>
      <protection hidden="1"/>
    </xf>
    <xf numFmtId="43" fontId="24" fillId="0" borderId="31" xfId="0" applyNumberFormat="1" applyFont="1" applyBorder="1" applyProtection="1">
      <protection hidden="1"/>
    </xf>
    <xf numFmtId="0" fontId="5" fillId="0" borderId="0" xfId="0" applyFont="1" applyProtection="1">
      <protection hidden="1"/>
    </xf>
    <xf numFmtId="0" fontId="5" fillId="0" borderId="11" xfId="0" applyFont="1" applyBorder="1" applyAlignment="1" applyProtection="1">
      <alignment horizontal="left" vertical="center" wrapText="1"/>
      <protection hidden="1"/>
    </xf>
    <xf numFmtId="0" fontId="5" fillId="0" borderId="0" xfId="0" applyFont="1" applyAlignment="1" applyProtection="1">
      <alignment horizontal="left" vertical="center" wrapText="1"/>
      <protection hidden="1"/>
    </xf>
    <xf numFmtId="0" fontId="5" fillId="0" borderId="0" xfId="0" applyFont="1" applyAlignment="1" applyProtection="1">
      <alignment vertical="center"/>
      <protection hidden="1"/>
    </xf>
    <xf numFmtId="0" fontId="38" fillId="0" borderId="0" xfId="0" applyFont="1" applyProtection="1">
      <protection hidden="1"/>
    </xf>
    <xf numFmtId="0" fontId="6" fillId="0" borderId="0" xfId="0" applyFont="1" applyAlignment="1" applyProtection="1">
      <alignment vertical="center"/>
      <protection hidden="1"/>
    </xf>
    <xf numFmtId="166" fontId="6" fillId="0" borderId="0" xfId="8" applyNumberFormat="1" applyFont="1" applyProtection="1">
      <protection hidden="1"/>
    </xf>
    <xf numFmtId="0" fontId="6" fillId="0" borderId="0" xfId="0" quotePrefix="1" applyFont="1" applyProtection="1">
      <protection hidden="1"/>
    </xf>
    <xf numFmtId="10" fontId="6" fillId="0" borderId="0" xfId="8" applyNumberFormat="1" applyFont="1" applyFill="1" applyProtection="1">
      <protection hidden="1"/>
    </xf>
    <xf numFmtId="169" fontId="6" fillId="0" borderId="0" xfId="8" applyNumberFormat="1" applyFont="1" applyProtection="1">
      <protection hidden="1"/>
    </xf>
    <xf numFmtId="9" fontId="6" fillId="0" borderId="0" xfId="8" applyFont="1" applyFill="1" applyProtection="1">
      <protection hidden="1"/>
    </xf>
    <xf numFmtId="9" fontId="6" fillId="0" borderId="0" xfId="8" applyFont="1" applyProtection="1">
      <protection hidden="1"/>
    </xf>
    <xf numFmtId="0" fontId="24" fillId="0" borderId="24" xfId="0" applyFont="1" applyBorder="1" applyAlignment="1" applyProtection="1">
      <alignment wrapText="1"/>
      <protection hidden="1"/>
    </xf>
    <xf numFmtId="0" fontId="26" fillId="0" borderId="47" xfId="0" applyFont="1" applyBorder="1" applyAlignment="1" applyProtection="1">
      <alignment wrapText="1"/>
      <protection hidden="1"/>
    </xf>
    <xf numFmtId="0" fontId="26" fillId="0" borderId="49" xfId="0" applyFont="1" applyBorder="1" applyAlignment="1" applyProtection="1">
      <alignment wrapText="1"/>
      <protection hidden="1"/>
    </xf>
    <xf numFmtId="14" fontId="24" fillId="0" borderId="26" xfId="0" applyNumberFormat="1" applyFont="1" applyBorder="1" applyProtection="1">
      <protection hidden="1"/>
    </xf>
    <xf numFmtId="0" fontId="26" fillId="0" borderId="5" xfId="0" applyFont="1" applyBorder="1" applyAlignment="1" applyProtection="1">
      <alignment wrapText="1"/>
      <protection hidden="1"/>
    </xf>
    <xf numFmtId="0" fontId="26" fillId="0" borderId="6" xfId="0" applyFont="1" applyBorder="1" applyAlignment="1" applyProtection="1">
      <alignment wrapText="1"/>
      <protection hidden="1"/>
    </xf>
    <xf numFmtId="14" fontId="24" fillId="0" borderId="29" xfId="0" applyNumberFormat="1" applyFont="1" applyBorder="1" applyProtection="1">
      <protection hidden="1"/>
    </xf>
    <xf numFmtId="43" fontId="24" fillId="0" borderId="0" xfId="2" applyFont="1" applyProtection="1">
      <protection hidden="1"/>
    </xf>
    <xf numFmtId="0" fontId="24" fillId="0" borderId="37" xfId="0" applyFont="1" applyBorder="1" applyProtection="1">
      <protection hidden="1"/>
    </xf>
    <xf numFmtId="14" fontId="19" fillId="4" borderId="1" xfId="0" applyNumberFormat="1" applyFont="1" applyFill="1" applyBorder="1" applyAlignment="1" applyProtection="1">
      <alignment horizontal="right" vertical="center"/>
      <protection locked="0"/>
    </xf>
    <xf numFmtId="1" fontId="5" fillId="0" borderId="3" xfId="3" applyNumberFormat="1" applyFont="1" applyBorder="1" applyAlignment="1" applyProtection="1">
      <alignment horizontal="right" vertical="center"/>
      <protection hidden="1"/>
    </xf>
    <xf numFmtId="0" fontId="19" fillId="0" borderId="3" xfId="0" applyFont="1" applyBorder="1" applyAlignment="1" applyProtection="1">
      <alignment horizontal="right" vertical="center"/>
      <protection hidden="1"/>
    </xf>
    <xf numFmtId="0" fontId="19" fillId="0" borderId="2" xfId="0" applyFont="1" applyBorder="1" applyAlignment="1" applyProtection="1">
      <alignment horizontal="right" vertical="center"/>
      <protection hidden="1"/>
    </xf>
    <xf numFmtId="0" fontId="0" fillId="0" borderId="1" xfId="0" applyBorder="1" applyProtection="1">
      <protection hidden="1"/>
    </xf>
    <xf numFmtId="0" fontId="5" fillId="0" borderId="26" xfId="0" applyFont="1" applyBorder="1" applyAlignment="1" applyProtection="1">
      <alignment horizontal="left" vertical="center" wrapText="1"/>
      <protection hidden="1"/>
    </xf>
    <xf numFmtId="0" fontId="19" fillId="0" borderId="11" xfId="0" applyFont="1" applyBorder="1" applyAlignment="1" applyProtection="1">
      <alignment vertical="center"/>
      <protection locked="0" hidden="1"/>
    </xf>
    <xf numFmtId="0" fontId="19" fillId="4" borderId="1" xfId="0" applyFont="1" applyFill="1" applyBorder="1" applyAlignment="1" applyProtection="1">
      <alignment horizontal="center" vertical="center"/>
      <protection locked="0"/>
    </xf>
    <xf numFmtId="0" fontId="24" fillId="0" borderId="6" xfId="2" applyNumberFormat="1" applyFont="1" applyBorder="1" applyProtection="1">
      <protection hidden="1"/>
    </xf>
    <xf numFmtId="43" fontId="24" fillId="0" borderId="6" xfId="2" applyFont="1" applyBorder="1" applyProtection="1">
      <protection hidden="1"/>
    </xf>
    <xf numFmtId="0" fontId="21" fillId="0" borderId="54" xfId="0" applyFont="1" applyBorder="1" applyAlignment="1" applyProtection="1">
      <alignment vertical="center" wrapText="1"/>
      <protection hidden="1"/>
    </xf>
    <xf numFmtId="168" fontId="24" fillId="0" borderId="13" xfId="2" applyNumberFormat="1" applyFont="1" applyBorder="1" applyProtection="1">
      <protection hidden="1"/>
    </xf>
    <xf numFmtId="0" fontId="21" fillId="0" borderId="81" xfId="0" applyFont="1" applyBorder="1" applyAlignment="1" applyProtection="1">
      <alignment horizontal="left" vertical="center" wrapText="1"/>
      <protection hidden="1"/>
    </xf>
    <xf numFmtId="1" fontId="5" fillId="0" borderId="82" xfId="3" applyNumberFormat="1" applyFont="1" applyBorder="1" applyAlignment="1" applyProtection="1">
      <alignment vertical="center"/>
      <protection hidden="1"/>
    </xf>
    <xf numFmtId="0" fontId="21" fillId="0" borderId="82" xfId="0" applyFont="1" applyBorder="1" applyAlignment="1" applyProtection="1">
      <alignment vertical="center"/>
      <protection hidden="1"/>
    </xf>
    <xf numFmtId="0" fontId="19" fillId="0" borderId="82" xfId="0" applyFont="1" applyBorder="1" applyAlignment="1" applyProtection="1">
      <alignment vertical="center"/>
      <protection hidden="1"/>
    </xf>
    <xf numFmtId="0" fontId="19" fillId="0" borderId="83" xfId="0" applyFont="1" applyBorder="1" applyAlignment="1" applyProtection="1">
      <alignment vertical="center"/>
      <protection hidden="1"/>
    </xf>
    <xf numFmtId="0" fontId="20" fillId="0" borderId="15" xfId="0" applyFont="1" applyBorder="1" applyAlignment="1" applyProtection="1">
      <alignment vertical="center" wrapText="1"/>
      <protection hidden="1"/>
    </xf>
    <xf numFmtId="0" fontId="20" fillId="0" borderId="50" xfId="0" applyFont="1" applyBorder="1" applyAlignment="1" applyProtection="1">
      <alignment vertical="center" wrapText="1"/>
      <protection hidden="1"/>
    </xf>
    <xf numFmtId="0" fontId="20" fillId="0" borderId="19" xfId="0" applyFont="1" applyBorder="1" applyAlignment="1" applyProtection="1">
      <alignment horizontal="center" vertical="center" wrapText="1"/>
      <protection hidden="1"/>
    </xf>
    <xf numFmtId="1" fontId="35" fillId="4" borderId="22" xfId="3" applyNumberFormat="1" applyFont="1" applyFill="1" applyBorder="1" applyAlignment="1" applyProtection="1">
      <alignment vertical="center"/>
      <protection locked="0"/>
    </xf>
    <xf numFmtId="0" fontId="19" fillId="5" borderId="70" xfId="0" applyFont="1" applyFill="1" applyBorder="1" applyAlignment="1" applyProtection="1">
      <alignment vertical="center"/>
      <protection locked="0"/>
    </xf>
    <xf numFmtId="0" fontId="19" fillId="5" borderId="69" xfId="0" applyFont="1" applyFill="1" applyBorder="1" applyAlignment="1" applyProtection="1">
      <alignment vertical="center"/>
      <protection locked="0"/>
    </xf>
    <xf numFmtId="0" fontId="19" fillId="5" borderId="68" xfId="0" applyFont="1" applyFill="1" applyBorder="1" applyAlignment="1" applyProtection="1">
      <alignment vertical="center"/>
      <protection locked="0"/>
    </xf>
    <xf numFmtId="14" fontId="19" fillId="5" borderId="1" xfId="0" applyNumberFormat="1" applyFont="1" applyFill="1" applyBorder="1" applyAlignment="1" applyProtection="1">
      <alignment horizontal="left" vertical="center" wrapText="1"/>
      <protection locked="0"/>
    </xf>
    <xf numFmtId="0" fontId="19" fillId="5" borderId="20" xfId="0" applyFont="1" applyFill="1" applyBorder="1" applyAlignment="1" applyProtection="1">
      <alignment vertical="center" wrapText="1"/>
      <protection locked="0"/>
    </xf>
    <xf numFmtId="14" fontId="19" fillId="4" borderId="15" xfId="0" applyNumberFormat="1" applyFont="1" applyFill="1" applyBorder="1" applyAlignment="1" applyProtection="1">
      <alignment vertical="center"/>
      <protection locked="0"/>
    </xf>
    <xf numFmtId="167" fontId="19" fillId="4" borderId="15" xfId="2" applyNumberFormat="1" applyFont="1" applyFill="1" applyBorder="1" applyAlignment="1" applyProtection="1">
      <alignment vertical="center"/>
      <protection locked="0"/>
    </xf>
    <xf numFmtId="14" fontId="5" fillId="4" borderId="1" xfId="3" applyNumberFormat="1" applyFont="1" applyFill="1" applyBorder="1" applyAlignment="1" applyProtection="1">
      <alignment vertical="center"/>
      <protection locked="0"/>
    </xf>
    <xf numFmtId="0" fontId="19" fillId="5" borderId="8" xfId="0" applyFont="1" applyFill="1" applyBorder="1" applyAlignment="1" applyProtection="1">
      <alignment vertical="center"/>
      <protection locked="0"/>
    </xf>
    <xf numFmtId="14" fontId="19" fillId="4" borderId="1" xfId="0" applyNumberFormat="1" applyFont="1" applyFill="1" applyBorder="1" applyAlignment="1" applyProtection="1">
      <alignment vertical="center" wrapText="1"/>
      <protection locked="0"/>
    </xf>
    <xf numFmtId="9" fontId="19" fillId="4" borderId="1" xfId="8" applyFont="1" applyFill="1" applyBorder="1" applyAlignment="1" applyProtection="1">
      <alignment horizontal="right" vertical="center"/>
      <protection locked="0"/>
    </xf>
    <xf numFmtId="9" fontId="19" fillId="4" borderId="17" xfId="8" applyFont="1" applyFill="1" applyBorder="1" applyAlignment="1" applyProtection="1">
      <alignment horizontal="right" vertical="center"/>
      <protection locked="0"/>
    </xf>
    <xf numFmtId="0" fontId="19" fillId="4" borderId="7" xfId="0" applyFont="1" applyFill="1" applyBorder="1" applyAlignment="1" applyProtection="1">
      <alignment horizontal="right" vertical="center"/>
      <protection locked="0"/>
    </xf>
    <xf numFmtId="14" fontId="19" fillId="4" borderId="6" xfId="0" applyNumberFormat="1" applyFont="1" applyFill="1" applyBorder="1" applyAlignment="1" applyProtection="1">
      <alignment horizontal="right" vertical="center"/>
      <protection locked="0"/>
    </xf>
    <xf numFmtId="167" fontId="19" fillId="4" borderId="6" xfId="2" applyNumberFormat="1" applyFont="1" applyFill="1" applyBorder="1" applyAlignment="1" applyProtection="1">
      <alignment horizontal="right" vertical="center"/>
      <protection locked="0"/>
    </xf>
    <xf numFmtId="0" fontId="19" fillId="5" borderId="15" xfId="0" applyFont="1" applyFill="1" applyBorder="1" applyAlignment="1" applyProtection="1">
      <alignment vertical="center"/>
      <protection locked="0"/>
    </xf>
    <xf numFmtId="0" fontId="19" fillId="5" borderId="1" xfId="0" applyFont="1" applyFill="1" applyBorder="1" applyAlignment="1" applyProtection="1">
      <alignment horizontal="center" vertical="center"/>
      <protection locked="0"/>
    </xf>
    <xf numFmtId="10" fontId="19" fillId="5" borderId="1" xfId="8" applyNumberFormat="1" applyFont="1" applyFill="1" applyBorder="1" applyAlignment="1" applyProtection="1">
      <alignment horizontal="center" vertical="center"/>
      <protection locked="0"/>
    </xf>
    <xf numFmtId="14" fontId="19" fillId="4" borderId="10" xfId="0" applyNumberFormat="1" applyFont="1" applyFill="1" applyBorder="1" applyAlignment="1" applyProtection="1">
      <alignment vertical="center"/>
      <protection locked="0"/>
    </xf>
    <xf numFmtId="167" fontId="19" fillId="4" borderId="6" xfId="9" applyNumberFormat="1" applyFont="1" applyFill="1" applyBorder="1" applyAlignment="1" applyProtection="1">
      <alignment vertical="center"/>
      <protection locked="0"/>
    </xf>
    <xf numFmtId="14" fontId="19" fillId="4" borderId="1" xfId="0" applyNumberFormat="1" applyFont="1" applyFill="1" applyBorder="1" applyAlignment="1" applyProtection="1">
      <alignment horizontal="right" vertical="center" wrapText="1"/>
      <protection locked="0"/>
    </xf>
    <xf numFmtId="0" fontId="19" fillId="4" borderId="7" xfId="0" applyFont="1" applyFill="1" applyBorder="1" applyAlignment="1" applyProtection="1">
      <alignment vertical="center"/>
      <protection locked="0"/>
    </xf>
    <xf numFmtId="167" fontId="19" fillId="4" borderId="6" xfId="2" applyNumberFormat="1" applyFont="1" applyFill="1" applyBorder="1" applyAlignment="1" applyProtection="1">
      <alignment vertical="center"/>
      <protection locked="0"/>
    </xf>
    <xf numFmtId="0" fontId="19" fillId="5" borderId="8" xfId="0" applyFont="1" applyFill="1" applyBorder="1" applyAlignment="1" applyProtection="1">
      <alignment vertical="center" wrapText="1"/>
      <protection locked="0"/>
    </xf>
    <xf numFmtId="168" fontId="19" fillId="4" borderId="8" xfId="2" applyNumberFormat="1" applyFont="1" applyFill="1" applyBorder="1" applyAlignment="1" applyProtection="1">
      <alignment vertical="center"/>
      <protection locked="0"/>
    </xf>
    <xf numFmtId="14" fontId="19" fillId="4" borderId="7" xfId="0" applyNumberFormat="1" applyFont="1" applyFill="1" applyBorder="1" applyAlignment="1" applyProtection="1">
      <alignment vertical="center"/>
      <protection locked="0"/>
    </xf>
    <xf numFmtId="0" fontId="19" fillId="5" borderId="1" xfId="0" applyFont="1" applyFill="1" applyBorder="1" applyAlignment="1" applyProtection="1">
      <alignment vertical="center" wrapText="1"/>
      <protection locked="0"/>
    </xf>
    <xf numFmtId="14" fontId="19" fillId="4" borderId="8" xfId="0" applyNumberFormat="1" applyFont="1" applyFill="1" applyBorder="1" applyAlignment="1" applyProtection="1">
      <alignment vertical="center"/>
      <protection locked="0"/>
    </xf>
    <xf numFmtId="0" fontId="19" fillId="5" borderId="1" xfId="0" applyFont="1" applyFill="1" applyBorder="1" applyAlignment="1" applyProtection="1">
      <alignment horizontal="right" vertical="center"/>
      <protection locked="0"/>
    </xf>
    <xf numFmtId="14" fontId="19" fillId="4" borderId="6" xfId="0" applyNumberFormat="1" applyFont="1" applyFill="1" applyBorder="1" applyAlignment="1" applyProtection="1">
      <alignment horizontal="right" vertical="center" wrapText="1"/>
      <protection locked="0"/>
    </xf>
    <xf numFmtId="167" fontId="19" fillId="4" borderId="1" xfId="2" applyNumberFormat="1" applyFont="1" applyFill="1" applyBorder="1" applyAlignment="1" applyProtection="1">
      <alignment horizontal="right" vertical="center"/>
      <protection locked="0"/>
    </xf>
    <xf numFmtId="43" fontId="19" fillId="4" borderId="6" xfId="2" applyFont="1" applyFill="1" applyBorder="1" applyAlignment="1" applyProtection="1">
      <alignment horizontal="right" vertical="center" wrapText="1"/>
      <protection locked="0"/>
    </xf>
    <xf numFmtId="1" fontId="5" fillId="5" borderId="1" xfId="3" applyNumberFormat="1" applyFont="1" applyFill="1" applyBorder="1" applyAlignment="1" applyProtection="1">
      <alignment vertical="center"/>
      <protection locked="0"/>
    </xf>
    <xf numFmtId="14" fontId="19" fillId="4" borderId="15" xfId="0" applyNumberFormat="1" applyFont="1" applyFill="1" applyBorder="1" applyAlignment="1" applyProtection="1">
      <alignment horizontal="center" vertical="center"/>
      <protection locked="0"/>
    </xf>
    <xf numFmtId="164" fontId="19" fillId="4" borderId="1" xfId="9" applyFont="1" applyFill="1" applyBorder="1" applyAlignment="1" applyProtection="1">
      <alignment horizontal="center" vertical="center"/>
      <protection locked="0"/>
    </xf>
    <xf numFmtId="0" fontId="19" fillId="5" borderId="1" xfId="0" applyFont="1" applyFill="1" applyBorder="1" applyAlignment="1" applyProtection="1">
      <alignment horizontal="center" vertical="center" wrapText="1"/>
      <protection locked="0"/>
    </xf>
    <xf numFmtId="0" fontId="19" fillId="5" borderId="10" xfId="0" applyFont="1" applyFill="1" applyBorder="1" applyAlignment="1" applyProtection="1">
      <alignment vertical="center" wrapText="1"/>
      <protection locked="0"/>
    </xf>
    <xf numFmtId="164" fontId="19" fillId="4" borderId="6" xfId="9" applyFont="1" applyFill="1" applyBorder="1" applyAlignment="1" applyProtection="1">
      <alignment vertical="center"/>
      <protection locked="0"/>
    </xf>
    <xf numFmtId="1" fontId="19" fillId="4" borderId="7" xfId="0" applyNumberFormat="1" applyFont="1" applyFill="1" applyBorder="1" applyAlignment="1" applyProtection="1">
      <alignment vertical="center"/>
      <protection locked="0"/>
    </xf>
    <xf numFmtId="0" fontId="20" fillId="0" borderId="15" xfId="0" applyFont="1" applyBorder="1" applyAlignment="1" applyProtection="1">
      <alignment horizontal="center" vertical="center" wrapText="1"/>
      <protection hidden="1"/>
    </xf>
    <xf numFmtId="0" fontId="19" fillId="5" borderId="1" xfId="0" applyFont="1" applyFill="1" applyBorder="1" applyAlignment="1" applyProtection="1">
      <alignment vertical="center"/>
      <protection hidden="1"/>
    </xf>
    <xf numFmtId="0" fontId="22" fillId="0" borderId="5" xfId="0" applyFont="1" applyBorder="1" applyAlignment="1" applyProtection="1">
      <alignment vertical="center" wrapText="1"/>
      <protection hidden="1"/>
    </xf>
    <xf numFmtId="0" fontId="21" fillId="0" borderId="14" xfId="0" applyFont="1" applyBorder="1" applyAlignment="1" applyProtection="1">
      <alignment horizontal="left" vertical="center" wrapText="1"/>
      <protection hidden="1"/>
    </xf>
    <xf numFmtId="165" fontId="15" fillId="0" borderId="0" xfId="5" applyNumberFormat="1" applyFont="1" applyAlignment="1">
      <alignment horizontal="center" vertical="center"/>
    </xf>
    <xf numFmtId="0" fontId="19" fillId="0" borderId="41" xfId="0" applyFont="1" applyBorder="1" applyAlignment="1" applyProtection="1">
      <alignment horizontal="center" vertical="center" textRotation="90"/>
      <protection hidden="1"/>
    </xf>
    <xf numFmtId="0" fontId="19" fillId="0" borderId="51" xfId="0" applyFont="1" applyBorder="1" applyAlignment="1" applyProtection="1">
      <alignment vertical="center"/>
      <protection locked="0" hidden="1"/>
    </xf>
    <xf numFmtId="0" fontId="19" fillId="0" borderId="11" xfId="0" applyFont="1" applyBorder="1" applyAlignment="1" applyProtection="1">
      <alignment vertical="center"/>
      <protection hidden="1"/>
    </xf>
    <xf numFmtId="0" fontId="19" fillId="0" borderId="53" xfId="0" applyFont="1" applyBorder="1" applyAlignment="1" applyProtection="1">
      <alignment vertical="center"/>
      <protection locked="0" hidden="1"/>
    </xf>
    <xf numFmtId="0" fontId="19" fillId="5" borderId="10" xfId="0" applyFont="1" applyFill="1" applyBorder="1" applyAlignment="1" applyProtection="1">
      <alignment vertical="center"/>
      <protection locked="0"/>
    </xf>
    <xf numFmtId="0" fontId="21" fillId="5" borderId="10" xfId="0" applyFont="1" applyFill="1" applyBorder="1" applyAlignment="1" applyProtection="1">
      <alignment vertical="center"/>
      <protection locked="0"/>
    </xf>
    <xf numFmtId="0" fontId="21" fillId="0" borderId="10" xfId="0" applyFont="1" applyBorder="1" applyAlignment="1" applyProtection="1">
      <alignment vertical="center" wrapText="1"/>
      <protection hidden="1"/>
    </xf>
    <xf numFmtId="0" fontId="19" fillId="4" borderId="13" xfId="0" applyFont="1" applyFill="1" applyBorder="1" applyAlignment="1" applyProtection="1">
      <alignment vertical="center" wrapText="1"/>
      <protection locked="0"/>
    </xf>
    <xf numFmtId="0" fontId="19" fillId="5" borderId="6" xfId="0" applyFont="1" applyFill="1" applyBorder="1" applyAlignment="1" applyProtection="1">
      <alignment vertical="center" wrapText="1"/>
      <protection locked="0"/>
    </xf>
    <xf numFmtId="0" fontId="19" fillId="5" borderId="68" xfId="0" applyFont="1" applyFill="1" applyBorder="1" applyAlignment="1" applyProtection="1">
      <alignment vertical="center" wrapText="1"/>
      <protection locked="0"/>
    </xf>
    <xf numFmtId="0" fontId="19" fillId="0" borderId="18" xfId="0" applyFont="1" applyBorder="1" applyAlignment="1" applyProtection="1">
      <alignment vertical="center"/>
      <protection locked="0" hidden="1"/>
    </xf>
    <xf numFmtId="0" fontId="19" fillId="0" borderId="17" xfId="0" applyFont="1" applyBorder="1" applyAlignment="1" applyProtection="1">
      <alignment horizontal="left" vertical="center" wrapText="1"/>
      <protection locked="0" hidden="1"/>
    </xf>
    <xf numFmtId="0" fontId="19" fillId="0" borderId="35" xfId="0" applyFont="1" applyBorder="1" applyAlignment="1" applyProtection="1">
      <alignment horizontal="left" vertical="center" wrapText="1"/>
      <protection locked="0" hidden="1"/>
    </xf>
    <xf numFmtId="0" fontId="41" fillId="0" borderId="14" xfId="0" applyFont="1" applyBorder="1" applyAlignment="1" applyProtection="1">
      <alignment vertical="center" wrapText="1"/>
      <protection hidden="1"/>
    </xf>
    <xf numFmtId="14" fontId="24" fillId="0" borderId="36" xfId="0" applyNumberFormat="1" applyFont="1" applyBorder="1" applyProtection="1">
      <protection hidden="1"/>
    </xf>
    <xf numFmtId="0" fontId="24" fillId="0" borderId="45" xfId="0" applyFont="1" applyBorder="1" applyProtection="1">
      <protection hidden="1"/>
    </xf>
    <xf numFmtId="14" fontId="24" fillId="0" borderId="37" xfId="0" applyNumberFormat="1" applyFont="1" applyBorder="1" applyProtection="1">
      <protection hidden="1"/>
    </xf>
    <xf numFmtId="0" fontId="19" fillId="9" borderId="1" xfId="0" applyFont="1" applyFill="1" applyBorder="1" applyAlignment="1" applyProtection="1">
      <alignment vertical="center"/>
      <protection hidden="1"/>
    </xf>
    <xf numFmtId="0" fontId="6" fillId="0" borderId="0" xfId="0" applyFont="1" applyAlignment="1" applyProtection="1">
      <alignment wrapText="1"/>
      <protection hidden="1"/>
    </xf>
    <xf numFmtId="0" fontId="14" fillId="6" borderId="31" xfId="0" applyFont="1" applyFill="1" applyBorder="1" applyAlignment="1" applyProtection="1">
      <alignment horizontal="center"/>
      <protection hidden="1"/>
    </xf>
    <xf numFmtId="0" fontId="0" fillId="10" borderId="44" xfId="0" applyFill="1" applyBorder="1" applyProtection="1">
      <protection hidden="1"/>
    </xf>
    <xf numFmtId="0" fontId="0" fillId="10" borderId="38" xfId="0" applyFill="1" applyBorder="1" applyAlignment="1" applyProtection="1">
      <alignment horizontal="center"/>
      <protection hidden="1"/>
    </xf>
    <xf numFmtId="0" fontId="0" fillId="10" borderId="43" xfId="0" applyFill="1" applyBorder="1" applyProtection="1">
      <protection hidden="1"/>
    </xf>
    <xf numFmtId="0" fontId="0" fillId="10" borderId="4" xfId="0" applyFill="1" applyBorder="1" applyAlignment="1" applyProtection="1">
      <alignment horizontal="center"/>
      <protection hidden="1"/>
    </xf>
    <xf numFmtId="0" fontId="0" fillId="11" borderId="42" xfId="0" applyFill="1" applyBorder="1" applyProtection="1">
      <protection hidden="1"/>
    </xf>
    <xf numFmtId="0" fontId="0" fillId="11" borderId="46" xfId="0" applyFill="1" applyBorder="1" applyAlignment="1" applyProtection="1">
      <alignment horizontal="center"/>
      <protection hidden="1"/>
    </xf>
    <xf numFmtId="0" fontId="0" fillId="11" borderId="43" xfId="0" applyFill="1" applyBorder="1" applyProtection="1">
      <protection hidden="1"/>
    </xf>
    <xf numFmtId="0" fontId="0" fillId="11" borderId="4" xfId="0" applyFill="1" applyBorder="1" applyAlignment="1" applyProtection="1">
      <alignment horizontal="center"/>
      <protection hidden="1"/>
    </xf>
    <xf numFmtId="0" fontId="0" fillId="3" borderId="43" xfId="0" applyFill="1" applyBorder="1" applyProtection="1">
      <protection hidden="1"/>
    </xf>
    <xf numFmtId="0" fontId="0" fillId="3" borderId="4" xfId="0" applyFill="1" applyBorder="1" applyAlignment="1" applyProtection="1">
      <alignment horizontal="center"/>
      <protection hidden="1"/>
    </xf>
    <xf numFmtId="0" fontId="0" fillId="3" borderId="39" xfId="0" applyFill="1" applyBorder="1" applyProtection="1">
      <protection hidden="1"/>
    </xf>
    <xf numFmtId="0" fontId="0" fillId="3" borderId="41" xfId="0" applyFill="1" applyBorder="1" applyAlignment="1" applyProtection="1">
      <alignment horizontal="center"/>
      <protection hidden="1"/>
    </xf>
    <xf numFmtId="0" fontId="0" fillId="0" borderId="0" xfId="0" applyAlignment="1" applyProtection="1">
      <alignment horizontal="center"/>
      <protection hidden="1"/>
    </xf>
    <xf numFmtId="0" fontId="21" fillId="0" borderId="9" xfId="0" applyFont="1" applyBorder="1" applyAlignment="1" applyProtection="1">
      <alignment horizontal="left" vertical="center"/>
      <protection hidden="1"/>
    </xf>
    <xf numFmtId="0" fontId="19" fillId="0" borderId="32" xfId="0" applyFont="1" applyBorder="1" applyAlignment="1" applyProtection="1">
      <alignment vertical="center"/>
      <protection hidden="1"/>
    </xf>
    <xf numFmtId="0" fontId="19" fillId="0" borderId="27" xfId="0" applyFont="1" applyBorder="1" applyAlignment="1" applyProtection="1">
      <alignment vertical="center"/>
      <protection hidden="1"/>
    </xf>
    <xf numFmtId="0" fontId="21" fillId="0" borderId="5" xfId="0" applyFont="1" applyBorder="1" applyAlignment="1" applyProtection="1">
      <alignment horizontal="left" vertical="center"/>
      <protection hidden="1"/>
    </xf>
    <xf numFmtId="0" fontId="19" fillId="9" borderId="5" xfId="0" applyFont="1" applyFill="1" applyBorder="1" applyAlignment="1" applyProtection="1">
      <alignment horizontal="left" vertical="center" wrapText="1"/>
      <protection hidden="1"/>
    </xf>
    <xf numFmtId="0" fontId="19" fillId="9" borderId="14" xfId="0" applyFont="1" applyFill="1" applyBorder="1" applyAlignment="1" applyProtection="1">
      <alignment horizontal="left" vertical="center" wrapText="1"/>
      <protection hidden="1"/>
    </xf>
    <xf numFmtId="0" fontId="19" fillId="9" borderId="10" xfId="0" applyFont="1" applyFill="1" applyBorder="1" applyAlignment="1" applyProtection="1">
      <alignment vertical="center" wrapText="1"/>
      <protection hidden="1"/>
    </xf>
    <xf numFmtId="14" fontId="21" fillId="0" borderId="8" xfId="0" applyNumberFormat="1" applyFont="1" applyBorder="1" applyAlignment="1" applyProtection="1">
      <alignment vertical="center"/>
      <protection hidden="1"/>
    </xf>
    <xf numFmtId="0" fontId="21" fillId="0" borderId="14" xfId="0" applyFont="1" applyBorder="1" applyAlignment="1" applyProtection="1">
      <alignment horizontal="left" vertical="center"/>
      <protection hidden="1"/>
    </xf>
    <xf numFmtId="0" fontId="19" fillId="0" borderId="31" xfId="0" applyFont="1" applyBorder="1" applyAlignment="1" applyProtection="1">
      <alignment horizontal="center" vertical="center" textRotation="90"/>
      <protection hidden="1"/>
    </xf>
    <xf numFmtId="0" fontId="24" fillId="0" borderId="26" xfId="0" applyFont="1" applyBorder="1" applyAlignment="1" applyProtection="1">
      <alignment wrapText="1"/>
      <protection hidden="1"/>
    </xf>
    <xf numFmtId="0" fontId="42" fillId="0" borderId="2" xfId="10" applyFill="1" applyBorder="1" applyAlignment="1" applyProtection="1">
      <alignment vertical="center" wrapText="1"/>
    </xf>
    <xf numFmtId="0" fontId="43" fillId="5" borderId="1" xfId="0" applyFont="1" applyFill="1" applyBorder="1" applyAlignment="1" applyProtection="1">
      <alignment vertical="center"/>
      <protection locked="0"/>
    </xf>
    <xf numFmtId="14" fontId="6" fillId="0" borderId="0" xfId="0" applyNumberFormat="1" applyFont="1" applyProtection="1">
      <protection hidden="1"/>
    </xf>
    <xf numFmtId="43" fontId="24" fillId="0" borderId="1" xfId="2" applyFont="1" applyBorder="1" applyProtection="1">
      <protection hidden="1"/>
    </xf>
    <xf numFmtId="0" fontId="19" fillId="0" borderId="85" xfId="0" applyFont="1" applyBorder="1" applyAlignment="1" applyProtection="1">
      <alignment vertical="center"/>
      <protection locked="0" hidden="1"/>
    </xf>
    <xf numFmtId="0" fontId="20" fillId="8" borderId="18" xfId="0" applyFont="1" applyFill="1" applyBorder="1" applyAlignment="1" applyProtection="1">
      <alignment horizontal="center" vertical="center" wrapText="1"/>
      <protection hidden="1"/>
    </xf>
    <xf numFmtId="0" fontId="20" fillId="0" borderId="17" xfId="0" applyFont="1" applyBorder="1" applyAlignment="1" applyProtection="1">
      <alignment horizontal="center" vertical="center" wrapText="1"/>
      <protection hidden="1"/>
    </xf>
    <xf numFmtId="0" fontId="20" fillId="0" borderId="35" xfId="0" applyFont="1" applyBorder="1" applyAlignment="1" applyProtection="1">
      <alignment horizontal="center" vertical="center" wrapText="1"/>
      <protection hidden="1"/>
    </xf>
    <xf numFmtId="0" fontId="19" fillId="0" borderId="81" xfId="0" applyFont="1" applyBorder="1" applyAlignment="1" applyProtection="1">
      <alignment horizontal="center" vertical="center"/>
      <protection hidden="1"/>
    </xf>
    <xf numFmtId="0" fontId="19" fillId="0" borderId="20" xfId="0" applyFont="1" applyBorder="1" applyAlignment="1" applyProtection="1">
      <alignment horizontal="center" vertical="center"/>
      <protection hidden="1"/>
    </xf>
    <xf numFmtId="0" fontId="19" fillId="0" borderId="25" xfId="0" applyFont="1" applyBorder="1" applyAlignment="1" applyProtection="1">
      <alignment horizontal="center" vertical="center" textRotation="90"/>
      <protection hidden="1"/>
    </xf>
    <xf numFmtId="0" fontId="19" fillId="0" borderId="12" xfId="0" applyFont="1" applyBorder="1" applyAlignment="1" applyProtection="1">
      <alignment vertical="center"/>
      <protection locked="0" hidden="1"/>
    </xf>
    <xf numFmtId="0" fontId="20" fillId="8" borderId="5" xfId="0" applyFont="1" applyFill="1" applyBorder="1" applyAlignment="1" applyProtection="1">
      <alignment horizontal="center" vertical="center" wrapText="1"/>
      <protection hidden="1"/>
    </xf>
    <xf numFmtId="1" fontId="19" fillId="4" borderId="1" xfId="0" applyNumberFormat="1" applyFont="1" applyFill="1" applyBorder="1" applyAlignment="1" applyProtection="1">
      <alignment vertical="center"/>
      <protection locked="0"/>
    </xf>
    <xf numFmtId="0" fontId="19" fillId="0" borderId="0" xfId="0" applyFont="1" applyAlignment="1" applyProtection="1">
      <alignment horizontal="center" vertical="center" textRotation="90"/>
      <protection hidden="1"/>
    </xf>
    <xf numFmtId="0" fontId="21" fillId="0" borderId="16" xfId="0" applyFont="1" applyBorder="1" applyAlignment="1" applyProtection="1">
      <alignment vertical="center" wrapText="1"/>
      <protection hidden="1"/>
    </xf>
    <xf numFmtId="0" fontId="24" fillId="8" borderId="1" xfId="7" applyFont="1" applyFill="1" applyBorder="1" applyAlignment="1" applyProtection="1">
      <alignment wrapText="1"/>
      <protection hidden="1"/>
    </xf>
    <xf numFmtId="0" fontId="5" fillId="0" borderId="0" xfId="0" applyFont="1" applyAlignment="1" applyProtection="1">
      <alignment horizontal="center" vertical="center" wrapText="1"/>
      <protection hidden="1"/>
    </xf>
    <xf numFmtId="0" fontId="24" fillId="7" borderId="1" xfId="7" applyFont="1" applyFill="1" applyBorder="1" applyProtection="1">
      <protection hidden="1"/>
    </xf>
    <xf numFmtId="0" fontId="0" fillId="7" borderId="26" xfId="0" applyFill="1" applyBorder="1" applyAlignment="1" applyProtection="1">
      <alignment vertical="center"/>
      <protection hidden="1"/>
    </xf>
    <xf numFmtId="49" fontId="9" fillId="7" borderId="1" xfId="0" applyNumberFormat="1" applyFont="1" applyFill="1" applyBorder="1" applyProtection="1">
      <protection hidden="1"/>
    </xf>
    <xf numFmtId="0" fontId="0" fillId="7" borderId="1" xfId="0" applyFill="1" applyBorder="1" applyProtection="1">
      <protection hidden="1"/>
    </xf>
    <xf numFmtId="0" fontId="0" fillId="7" borderId="0" xfId="0" applyFill="1" applyProtection="1">
      <protection hidden="1"/>
    </xf>
    <xf numFmtId="0" fontId="24" fillId="7" borderId="0" xfId="7" applyFont="1" applyFill="1" applyProtection="1">
      <protection hidden="1"/>
    </xf>
    <xf numFmtId="0" fontId="26" fillId="0" borderId="0" xfId="0" applyFont="1" applyProtection="1">
      <protection hidden="1"/>
    </xf>
    <xf numFmtId="0" fontId="0" fillId="0" borderId="28" xfId="0" applyBorder="1"/>
    <xf numFmtId="0" fontId="0" fillId="0" borderId="32" xfId="0" applyBorder="1"/>
    <xf numFmtId="0" fontId="0" fillId="0" borderId="27" xfId="0" applyBorder="1"/>
    <xf numFmtId="0" fontId="0" fillId="0" borderId="26" xfId="0" applyBorder="1"/>
    <xf numFmtId="0" fontId="0" fillId="0" borderId="21" xfId="0" applyBorder="1"/>
    <xf numFmtId="0" fontId="0" fillId="0" borderId="25" xfId="0" applyBorder="1"/>
    <xf numFmtId="0" fontId="0" fillId="0" borderId="34" xfId="0" applyBorder="1"/>
    <xf numFmtId="0" fontId="0" fillId="0" borderId="24" xfId="0" applyBorder="1"/>
    <xf numFmtId="170" fontId="24" fillId="0" borderId="24" xfId="0" applyNumberFormat="1" applyFont="1" applyBorder="1" applyProtection="1">
      <protection hidden="1"/>
    </xf>
    <xf numFmtId="14" fontId="24" fillId="0" borderId="30" xfId="0" applyNumberFormat="1" applyFont="1" applyBorder="1" applyProtection="1">
      <protection hidden="1"/>
    </xf>
    <xf numFmtId="0" fontId="45" fillId="0" borderId="1" xfId="0" applyFont="1" applyBorder="1" applyAlignment="1" applyProtection="1">
      <alignment vertical="center" wrapText="1"/>
      <protection hidden="1"/>
    </xf>
    <xf numFmtId="0" fontId="19" fillId="0" borderId="0" xfId="0" applyFont="1" applyAlignment="1" applyProtection="1">
      <alignment horizontal="center" vertical="center" wrapText="1"/>
      <protection locked="0"/>
    </xf>
    <xf numFmtId="0" fontId="19" fillId="0" borderId="0" xfId="0" applyFont="1" applyAlignment="1" applyProtection="1">
      <alignment vertical="center"/>
      <protection locked="0" hidden="1"/>
    </xf>
    <xf numFmtId="0" fontId="19" fillId="0" borderId="0" xfId="0" applyFont="1" applyAlignment="1" applyProtection="1">
      <alignment horizontal="left" vertical="center" wrapText="1"/>
      <protection locked="0" hidden="1"/>
    </xf>
    <xf numFmtId="10" fontId="24" fillId="0" borderId="28" xfId="8" applyNumberFormat="1" applyFont="1" applyBorder="1" applyProtection="1">
      <protection hidden="1"/>
    </xf>
    <xf numFmtId="10" fontId="24" fillId="0" borderId="26" xfId="8" applyNumberFormat="1" applyFont="1" applyBorder="1" applyProtection="1">
      <protection hidden="1"/>
    </xf>
    <xf numFmtId="10" fontId="19" fillId="4" borderId="10" xfId="8" applyNumberFormat="1" applyFont="1" applyFill="1" applyBorder="1" applyAlignment="1" applyProtection="1">
      <alignment horizontal="center" vertical="center" wrapText="1"/>
      <protection locked="0"/>
    </xf>
    <xf numFmtId="0" fontId="5" fillId="0" borderId="1" xfId="0" applyFont="1" applyBorder="1" applyAlignment="1" applyProtection="1">
      <alignment horizontal="left" vertical="center"/>
      <protection hidden="1"/>
    </xf>
    <xf numFmtId="0" fontId="50" fillId="0" borderId="28" xfId="0" applyFont="1" applyBorder="1" applyProtection="1">
      <protection hidden="1"/>
    </xf>
    <xf numFmtId="0" fontId="50" fillId="0" borderId="27" xfId="0" applyFont="1" applyBorder="1" applyProtection="1">
      <protection hidden="1"/>
    </xf>
    <xf numFmtId="0" fontId="50" fillId="0" borderId="26" xfId="0" applyFont="1" applyBorder="1" applyProtection="1">
      <protection hidden="1"/>
    </xf>
    <xf numFmtId="0" fontId="50" fillId="0" borderId="21" xfId="0" applyFont="1" applyBorder="1" applyProtection="1">
      <protection hidden="1"/>
    </xf>
    <xf numFmtId="0" fontId="50" fillId="0" borderId="25" xfId="0" applyFont="1" applyBorder="1" applyProtection="1">
      <protection hidden="1"/>
    </xf>
    <xf numFmtId="0" fontId="50" fillId="0" borderId="24" xfId="0" applyFont="1" applyBorder="1" applyProtection="1">
      <protection hidden="1"/>
    </xf>
    <xf numFmtId="0" fontId="44" fillId="0" borderId="5" xfId="0" applyFont="1" applyBorder="1" applyAlignment="1" applyProtection="1">
      <alignment horizontal="left" vertical="center"/>
      <protection hidden="1"/>
    </xf>
    <xf numFmtId="0" fontId="5" fillId="0" borderId="15" xfId="0" applyFont="1" applyBorder="1" applyAlignment="1" applyProtection="1">
      <alignment vertical="center" wrapText="1"/>
      <protection hidden="1"/>
    </xf>
    <xf numFmtId="10" fontId="19" fillId="0" borderId="34" xfId="8" applyNumberFormat="1" applyFont="1" applyFill="1" applyBorder="1" applyAlignment="1" applyProtection="1">
      <alignment horizontal="center" vertical="center" wrapText="1"/>
      <protection locked="0"/>
    </xf>
    <xf numFmtId="0" fontId="21" fillId="0" borderId="34" xfId="0" applyFont="1" applyBorder="1" applyAlignment="1" applyProtection="1">
      <alignment horizontal="center" vertical="center" wrapText="1"/>
      <protection locked="0"/>
    </xf>
    <xf numFmtId="0" fontId="20" fillId="0" borderId="34" xfId="0" applyFont="1" applyBorder="1" applyAlignment="1" applyProtection="1">
      <alignment horizontal="center" vertical="center" wrapText="1"/>
      <protection locked="0"/>
    </xf>
    <xf numFmtId="170" fontId="0" fillId="0" borderId="21" xfId="0" applyNumberFormat="1" applyBorder="1"/>
    <xf numFmtId="10" fontId="0" fillId="0" borderId="0" xfId="8" applyNumberFormat="1" applyFont="1"/>
    <xf numFmtId="172" fontId="0" fillId="0" borderId="0" xfId="8" applyNumberFormat="1" applyFont="1"/>
    <xf numFmtId="1" fontId="5" fillId="0" borderId="1" xfId="3" applyNumberFormat="1" applyFont="1" applyBorder="1" applyAlignment="1" applyProtection="1">
      <alignment vertical="center"/>
      <protection hidden="1"/>
    </xf>
    <xf numFmtId="0" fontId="50" fillId="0" borderId="31" xfId="0" applyFont="1" applyBorder="1" applyProtection="1">
      <protection hidden="1"/>
    </xf>
    <xf numFmtId="10" fontId="50" fillId="7" borderId="21" xfId="8" applyNumberFormat="1" applyFont="1" applyFill="1" applyBorder="1" applyProtection="1">
      <protection hidden="1"/>
    </xf>
    <xf numFmtId="43" fontId="24" fillId="0" borderId="37" xfId="2" applyFont="1" applyBorder="1" applyProtection="1">
      <protection hidden="1"/>
    </xf>
    <xf numFmtId="43" fontId="24" fillId="0" borderId="36" xfId="2" applyFont="1" applyBorder="1" applyProtection="1">
      <protection hidden="1"/>
    </xf>
    <xf numFmtId="43" fontId="24" fillId="0" borderId="45" xfId="2" applyFont="1" applyBorder="1" applyProtection="1">
      <protection hidden="1"/>
    </xf>
    <xf numFmtId="171" fontId="53" fillId="0" borderId="6" xfId="0" applyNumberFormat="1" applyFont="1" applyBorder="1" applyAlignment="1" applyProtection="1">
      <alignment vertical="center" wrapText="1"/>
      <protection hidden="1"/>
    </xf>
    <xf numFmtId="173" fontId="24" fillId="0" borderId="24" xfId="2" applyNumberFormat="1" applyFont="1" applyBorder="1" applyProtection="1">
      <protection hidden="1"/>
    </xf>
    <xf numFmtId="10" fontId="19" fillId="0" borderId="0" xfId="8" applyNumberFormat="1" applyFont="1" applyFill="1" applyBorder="1" applyAlignment="1" applyProtection="1">
      <alignment horizontal="center" vertical="center" wrapText="1"/>
      <protection locked="0"/>
    </xf>
    <xf numFmtId="0" fontId="21" fillId="0" borderId="0" xfId="0" applyFont="1" applyAlignment="1" applyProtection="1">
      <alignment horizontal="center" vertical="center" wrapText="1"/>
      <protection locked="0"/>
    </xf>
    <xf numFmtId="0" fontId="20" fillId="0" borderId="0" xfId="0" applyFont="1" applyAlignment="1" applyProtection="1">
      <alignment horizontal="center" vertical="center" wrapText="1"/>
      <protection locked="0"/>
    </xf>
    <xf numFmtId="43" fontId="24" fillId="0" borderId="25" xfId="2" applyFont="1" applyBorder="1" applyProtection="1">
      <protection hidden="1"/>
    </xf>
    <xf numFmtId="43" fontId="24" fillId="0" borderId="27" xfId="2" applyFont="1" applyBorder="1" applyProtection="1">
      <protection hidden="1"/>
    </xf>
    <xf numFmtId="171" fontId="53" fillId="0" borderId="13" xfId="0" applyNumberFormat="1" applyFont="1" applyBorder="1" applyAlignment="1" applyProtection="1">
      <alignment vertical="center" wrapText="1"/>
      <protection hidden="1"/>
    </xf>
    <xf numFmtId="0" fontId="46" fillId="0" borderId="1" xfId="0" applyFont="1" applyBorder="1" applyAlignment="1" applyProtection="1">
      <alignment vertical="center" wrapText="1"/>
      <protection hidden="1"/>
    </xf>
    <xf numFmtId="0" fontId="19" fillId="0" borderId="28" xfId="0" applyFont="1" applyBorder="1" applyAlignment="1" applyProtection="1">
      <alignment horizontal="center" vertical="center"/>
      <protection hidden="1"/>
    </xf>
    <xf numFmtId="0" fontId="5" fillId="0" borderId="5" xfId="0" applyFont="1" applyBorder="1" applyAlignment="1" applyProtection="1">
      <alignment horizontal="left" vertical="center"/>
      <protection hidden="1"/>
    </xf>
    <xf numFmtId="0" fontId="45" fillId="0" borderId="5" xfId="0" applyFont="1" applyBorder="1" applyAlignment="1" applyProtection="1">
      <alignment vertical="center" wrapText="1"/>
      <protection hidden="1"/>
    </xf>
    <xf numFmtId="0" fontId="52" fillId="0" borderId="13" xfId="0" quotePrefix="1" applyFont="1" applyBorder="1" applyAlignment="1" applyProtection="1">
      <alignment horizontal="left" vertical="center" wrapText="1"/>
      <protection hidden="1"/>
    </xf>
    <xf numFmtId="0" fontId="6" fillId="5" borderId="19" xfId="0" applyFont="1" applyFill="1" applyBorder="1" applyAlignment="1" applyProtection="1">
      <alignment vertical="center"/>
      <protection locked="0"/>
    </xf>
    <xf numFmtId="0" fontId="20" fillId="0" borderId="6" xfId="0" applyFont="1" applyBorder="1" applyAlignment="1" applyProtection="1">
      <alignment horizontal="center" vertical="center" wrapText="1"/>
      <protection hidden="1"/>
    </xf>
    <xf numFmtId="167" fontId="19" fillId="4" borderId="1" xfId="2" applyNumberFormat="1" applyFont="1" applyFill="1" applyBorder="1" applyAlignment="1" applyProtection="1">
      <alignment vertical="center"/>
      <protection locked="0"/>
    </xf>
    <xf numFmtId="0" fontId="21" fillId="0" borderId="10" xfId="0" applyFont="1" applyBorder="1" applyAlignment="1" applyProtection="1">
      <alignment horizontal="center" vertical="center" wrapText="1"/>
      <protection hidden="1"/>
    </xf>
    <xf numFmtId="43" fontId="19" fillId="4" borderId="1" xfId="2" applyFont="1" applyFill="1" applyBorder="1" applyAlignment="1" applyProtection="1">
      <alignment horizontal="right" vertical="center"/>
      <protection locked="0"/>
    </xf>
    <xf numFmtId="0" fontId="46" fillId="0" borderId="3" xfId="0" applyFont="1" applyBorder="1" applyAlignment="1" applyProtection="1">
      <alignment vertical="center" wrapText="1"/>
      <protection hidden="1"/>
    </xf>
    <xf numFmtId="0" fontId="6" fillId="0" borderId="11" xfId="1" applyFont="1" applyBorder="1" applyAlignment="1" applyProtection="1">
      <alignment horizontal="left" vertical="center" wrapText="1"/>
      <protection locked="0" hidden="1"/>
    </xf>
    <xf numFmtId="0" fontId="6" fillId="0" borderId="53" xfId="1" applyFont="1" applyBorder="1" applyAlignment="1" applyProtection="1">
      <alignment horizontal="left" vertical="center" wrapText="1"/>
      <protection locked="0" hidden="1"/>
    </xf>
    <xf numFmtId="0" fontId="51" fillId="0" borderId="6" xfId="0" applyFont="1" applyBorder="1" applyAlignment="1" applyProtection="1">
      <alignment vertical="center" wrapText="1"/>
      <protection hidden="1"/>
    </xf>
    <xf numFmtId="0" fontId="19" fillId="0" borderId="30" xfId="0" applyFont="1" applyBorder="1" applyAlignment="1" applyProtection="1">
      <alignment horizontal="center" vertical="center"/>
      <protection hidden="1"/>
    </xf>
    <xf numFmtId="0" fontId="19" fillId="0" borderId="25" xfId="0" applyFont="1" applyBorder="1" applyAlignment="1" applyProtection="1">
      <alignment horizontal="center" vertical="center"/>
      <protection hidden="1"/>
    </xf>
    <xf numFmtId="171" fontId="19" fillId="4" borderId="15" xfId="9" applyNumberFormat="1" applyFont="1" applyFill="1" applyBorder="1" applyAlignment="1" applyProtection="1">
      <alignment horizontal="center" vertical="center" wrapText="1"/>
      <protection locked="0"/>
    </xf>
    <xf numFmtId="0" fontId="20" fillId="0" borderId="79" xfId="0" applyFont="1" applyBorder="1" applyAlignment="1" applyProtection="1">
      <alignment vertical="center" wrapText="1"/>
      <protection hidden="1"/>
    </xf>
    <xf numFmtId="0" fontId="19" fillId="0" borderId="7" xfId="0" applyFont="1" applyBorder="1" applyAlignment="1" applyProtection="1">
      <alignment vertical="center"/>
      <protection hidden="1"/>
    </xf>
    <xf numFmtId="14" fontId="19" fillId="4" borderId="1" xfId="2" applyNumberFormat="1" applyFont="1" applyFill="1" applyBorder="1" applyAlignment="1" applyProtection="1">
      <alignment vertical="center"/>
      <protection locked="0"/>
    </xf>
    <xf numFmtId="43" fontId="19" fillId="4" borderId="6" xfId="2" applyFont="1" applyFill="1" applyBorder="1" applyAlignment="1" applyProtection="1">
      <alignment horizontal="right" vertical="center"/>
      <protection locked="0"/>
    </xf>
    <xf numFmtId="0" fontId="21" fillId="0" borderId="26" xfId="0" applyFont="1" applyBorder="1" applyAlignment="1" applyProtection="1">
      <alignment horizontal="left" vertical="center" wrapText="1"/>
      <protection hidden="1"/>
    </xf>
    <xf numFmtId="0" fontId="20" fillId="0" borderId="8" xfId="0" applyFont="1" applyBorder="1" applyAlignment="1" applyProtection="1">
      <alignment vertical="center" wrapText="1"/>
      <protection hidden="1"/>
    </xf>
    <xf numFmtId="0" fontId="19" fillId="0" borderId="50" xfId="0" applyFont="1" applyBorder="1" applyAlignment="1" applyProtection="1">
      <alignment horizontal="center" vertical="center"/>
      <protection hidden="1"/>
    </xf>
    <xf numFmtId="14" fontId="19" fillId="4" borderId="1" xfId="0" applyNumberFormat="1" applyFont="1" applyFill="1" applyBorder="1" applyAlignment="1" applyProtection="1">
      <alignment horizontal="center" vertical="center" wrapText="1"/>
      <protection locked="0"/>
    </xf>
    <xf numFmtId="171" fontId="19" fillId="4" borderId="1" xfId="0" applyNumberFormat="1" applyFont="1" applyFill="1" applyBorder="1" applyAlignment="1" applyProtection="1">
      <alignment horizontal="left" vertical="center" wrapText="1"/>
      <protection locked="0"/>
    </xf>
    <xf numFmtId="14" fontId="23" fillId="4" borderId="1" xfId="0" applyNumberFormat="1" applyFont="1" applyFill="1" applyBorder="1" applyAlignment="1" applyProtection="1">
      <alignment vertical="center"/>
      <protection locked="0"/>
    </xf>
    <xf numFmtId="0" fontId="19" fillId="5" borderId="10" xfId="0" applyFont="1" applyFill="1" applyBorder="1" applyAlignment="1" applyProtection="1">
      <alignment horizontal="center" vertical="center" wrapText="1"/>
      <protection locked="0"/>
    </xf>
    <xf numFmtId="0" fontId="19" fillId="0" borderId="1" xfId="0" applyFont="1" applyBorder="1" applyAlignment="1" applyProtection="1">
      <alignment vertical="center"/>
      <protection locked="0"/>
    </xf>
    <xf numFmtId="10" fontId="19" fillId="0" borderId="10" xfId="0" applyNumberFormat="1" applyFont="1" applyBorder="1" applyAlignment="1" applyProtection="1">
      <alignment vertical="center"/>
      <protection locked="0"/>
    </xf>
    <xf numFmtId="0" fontId="19" fillId="0" borderId="10" xfId="0" applyFont="1" applyBorder="1" applyAlignment="1" applyProtection="1">
      <alignment vertical="center"/>
      <protection locked="0"/>
    </xf>
    <xf numFmtId="0" fontId="19" fillId="5" borderId="19" xfId="0" applyFont="1" applyFill="1" applyBorder="1" applyAlignment="1" applyProtection="1">
      <alignment horizontal="center" vertical="center" wrapText="1"/>
      <protection locked="0"/>
    </xf>
    <xf numFmtId="0" fontId="49" fillId="13" borderId="1" xfId="0" applyFont="1" applyFill="1" applyBorder="1" applyAlignment="1" applyProtection="1">
      <alignment vertical="center" wrapText="1"/>
      <protection locked="0"/>
    </xf>
    <xf numFmtId="0" fontId="19" fillId="0" borderId="5" xfId="0" applyFont="1" applyBorder="1" applyAlignment="1" applyProtection="1">
      <alignment horizontal="left" vertical="center" wrapText="1"/>
      <protection locked="0"/>
    </xf>
    <xf numFmtId="171" fontId="6" fillId="0" borderId="1" xfId="3" applyNumberFormat="1" applyFont="1" applyBorder="1" applyAlignment="1" applyProtection="1">
      <alignment vertical="center"/>
      <protection locked="0"/>
    </xf>
    <xf numFmtId="164" fontId="19" fillId="0" borderId="1" xfId="9" applyFont="1" applyFill="1" applyBorder="1" applyAlignment="1" applyProtection="1">
      <alignment vertical="center"/>
      <protection locked="0"/>
    </xf>
    <xf numFmtId="171" fontId="19" fillId="0" borderId="1" xfId="0" applyNumberFormat="1" applyFont="1" applyBorder="1" applyAlignment="1" applyProtection="1">
      <alignment vertical="center"/>
      <protection locked="0"/>
    </xf>
    <xf numFmtId="171" fontId="19" fillId="0" borderId="1" xfId="0" applyNumberFormat="1" applyFont="1" applyBorder="1" applyAlignment="1" applyProtection="1">
      <alignment horizontal="left" vertical="center" wrapText="1"/>
      <protection locked="0"/>
    </xf>
    <xf numFmtId="171" fontId="19" fillId="0" borderId="1" xfId="9" applyNumberFormat="1" applyFont="1" applyFill="1" applyBorder="1" applyAlignment="1" applyProtection="1">
      <alignment vertical="center"/>
      <protection locked="0"/>
    </xf>
    <xf numFmtId="171" fontId="5" fillId="0" borderId="1" xfId="3" applyNumberFormat="1" applyFont="1" applyBorder="1" applyAlignment="1" applyProtection="1">
      <alignment vertical="center"/>
      <protection locked="0"/>
    </xf>
    <xf numFmtId="0" fontId="19" fillId="0" borderId="14" xfId="0" applyFont="1" applyBorder="1" applyAlignment="1" applyProtection="1">
      <alignment horizontal="left" vertical="center" wrapText="1"/>
      <protection locked="0"/>
    </xf>
    <xf numFmtId="171" fontId="5" fillId="0" borderId="10" xfId="3" applyNumberFormat="1" applyFont="1" applyBorder="1" applyAlignment="1" applyProtection="1">
      <alignment vertical="center"/>
      <protection locked="0"/>
    </xf>
    <xf numFmtId="171" fontId="19" fillId="0" borderId="10" xfId="0" applyNumberFormat="1" applyFont="1" applyBorder="1" applyAlignment="1" applyProtection="1">
      <alignment horizontal="left" vertical="center" wrapText="1"/>
      <protection locked="0"/>
    </xf>
    <xf numFmtId="164" fontId="19" fillId="0" borderId="10" xfId="9" applyFont="1" applyFill="1" applyBorder="1" applyAlignment="1" applyProtection="1">
      <alignment vertical="center"/>
      <protection locked="0"/>
    </xf>
    <xf numFmtId="171" fontId="19" fillId="0" borderId="10" xfId="0" applyNumberFormat="1" applyFont="1" applyBorder="1" applyAlignment="1" applyProtection="1">
      <alignment vertical="center"/>
      <protection locked="0"/>
    </xf>
    <xf numFmtId="0" fontId="21" fillId="0" borderId="5" xfId="0" applyFont="1" applyBorder="1" applyAlignment="1" applyProtection="1">
      <alignment horizontal="center" vertical="center" wrapText="1"/>
      <protection hidden="1"/>
    </xf>
    <xf numFmtId="171" fontId="19" fillId="0" borderId="1" xfId="2" applyNumberFormat="1" applyFont="1" applyFill="1" applyBorder="1" applyAlignment="1" applyProtection="1">
      <alignment horizontal="center" vertical="center" wrapText="1"/>
      <protection hidden="1"/>
    </xf>
    <xf numFmtId="0" fontId="21" fillId="0" borderId="14" xfId="0" applyFont="1" applyBorder="1" applyAlignment="1" applyProtection="1">
      <alignment horizontal="center" vertical="center" wrapText="1"/>
      <protection hidden="1"/>
    </xf>
    <xf numFmtId="0" fontId="52" fillId="0" borderId="13" xfId="0" applyFont="1" applyBorder="1" applyAlignment="1" applyProtection="1">
      <alignment horizontal="center" vertical="center" wrapText="1"/>
      <protection hidden="1"/>
    </xf>
    <xf numFmtId="0" fontId="21" fillId="0" borderId="9" xfId="0" applyFont="1" applyBorder="1" applyAlignment="1" applyProtection="1">
      <alignment horizontal="center" vertical="center" wrapText="1"/>
      <protection hidden="1"/>
    </xf>
    <xf numFmtId="171" fontId="19" fillId="0" borderId="8" xfId="2" applyNumberFormat="1" applyFont="1" applyFill="1" applyBorder="1" applyAlignment="1" applyProtection="1">
      <alignment horizontal="center" vertical="center" wrapText="1"/>
      <protection hidden="1"/>
    </xf>
    <xf numFmtId="0" fontId="21" fillId="0" borderId="57" xfId="0" applyFont="1" applyBorder="1" applyAlignment="1" applyProtection="1">
      <alignment horizontal="left" vertical="center" wrapText="1"/>
      <protection hidden="1"/>
    </xf>
    <xf numFmtId="9" fontId="19" fillId="4" borderId="87" xfId="8" applyFont="1" applyFill="1" applyBorder="1" applyAlignment="1" applyProtection="1">
      <alignment horizontal="right" vertical="center"/>
      <protection locked="0"/>
    </xf>
    <xf numFmtId="0" fontId="21" fillId="0" borderId="87" xfId="0" applyFont="1" applyBorder="1" applyAlignment="1" applyProtection="1">
      <alignment vertical="center"/>
      <protection hidden="1"/>
    </xf>
    <xf numFmtId="0" fontId="20" fillId="0" borderId="88" xfId="0" applyFont="1" applyBorder="1" applyAlignment="1" applyProtection="1">
      <alignment horizontal="center" vertical="center"/>
      <protection hidden="1"/>
    </xf>
    <xf numFmtId="0" fontId="19" fillId="0" borderId="87" xfId="0" applyFont="1" applyBorder="1" applyAlignment="1" applyProtection="1">
      <alignment horizontal="left" vertical="center" wrapText="1"/>
      <protection locked="0" hidden="1"/>
    </xf>
    <xf numFmtId="0" fontId="19" fillId="0" borderId="88" xfId="0" applyFont="1" applyBorder="1" applyAlignment="1" applyProtection="1">
      <alignment horizontal="left" vertical="center" wrapText="1"/>
      <protection locked="0" hidden="1"/>
    </xf>
    <xf numFmtId="0" fontId="24" fillId="0" borderId="47" xfId="0" applyFont="1" applyBorder="1" applyProtection="1">
      <protection hidden="1"/>
    </xf>
    <xf numFmtId="0" fontId="36" fillId="0" borderId="38" xfId="0" applyFont="1" applyBorder="1" applyProtection="1">
      <protection hidden="1"/>
    </xf>
    <xf numFmtId="0" fontId="36" fillId="0" borderId="41" xfId="0" applyFont="1" applyBorder="1" applyProtection="1">
      <protection hidden="1"/>
    </xf>
    <xf numFmtId="0" fontId="21" fillId="5" borderId="5" xfId="0" applyFont="1" applyFill="1" applyBorder="1" applyAlignment="1" applyProtection="1">
      <alignment vertical="center" wrapText="1"/>
      <protection locked="0"/>
    </xf>
    <xf numFmtId="0" fontId="21" fillId="0" borderId="8" xfId="0" applyFont="1" applyBorder="1" applyAlignment="1" applyProtection="1">
      <alignment horizontal="center" vertical="center" wrapText="1"/>
      <protection hidden="1"/>
    </xf>
    <xf numFmtId="166" fontId="19" fillId="4" borderId="79" xfId="8" applyNumberFormat="1" applyFont="1" applyFill="1" applyBorder="1" applyAlignment="1" applyProtection="1">
      <alignment horizontal="center" vertical="center" wrapText="1"/>
      <protection locked="0"/>
    </xf>
    <xf numFmtId="166" fontId="19" fillId="4" borderId="8" xfId="8" applyNumberFormat="1" applyFont="1" applyFill="1" applyBorder="1" applyAlignment="1" applyProtection="1">
      <alignment horizontal="center" vertical="center" wrapText="1"/>
      <protection hidden="1"/>
    </xf>
    <xf numFmtId="166" fontId="6" fillId="4" borderId="7" xfId="8" applyNumberFormat="1" applyFont="1" applyFill="1" applyBorder="1" applyAlignment="1" applyProtection="1">
      <alignment horizontal="center" vertical="center" wrapText="1"/>
      <protection locked="0"/>
    </xf>
    <xf numFmtId="0" fontId="24" fillId="0" borderId="33" xfId="0" applyFont="1" applyBorder="1" applyProtection="1">
      <protection hidden="1"/>
    </xf>
    <xf numFmtId="171" fontId="19" fillId="4" borderId="6" xfId="0" applyNumberFormat="1" applyFont="1" applyFill="1" applyBorder="1" applyAlignment="1" applyProtection="1">
      <alignment vertical="center"/>
      <protection locked="0"/>
    </xf>
    <xf numFmtId="14" fontId="19" fillId="4" borderId="13" xfId="0" applyNumberFormat="1" applyFont="1" applyFill="1" applyBorder="1" applyAlignment="1" applyProtection="1">
      <alignment vertical="center"/>
      <protection locked="0"/>
    </xf>
    <xf numFmtId="166" fontId="19" fillId="4" borderId="50" xfId="8" applyNumberFormat="1" applyFont="1" applyFill="1" applyBorder="1" applyAlignment="1" applyProtection="1">
      <alignment horizontal="center" vertical="center" wrapText="1"/>
      <protection hidden="1"/>
    </xf>
    <xf numFmtId="166" fontId="19" fillId="4" borderId="15" xfId="8" applyNumberFormat="1" applyFont="1" applyFill="1" applyBorder="1" applyAlignment="1" applyProtection="1">
      <alignment horizontal="center" vertical="center" wrapText="1"/>
      <protection locked="0"/>
    </xf>
    <xf numFmtId="0" fontId="54" fillId="0" borderId="1" xfId="0" applyFont="1" applyBorder="1" applyAlignment="1" applyProtection="1">
      <alignment vertical="center" wrapText="1"/>
      <protection hidden="1"/>
    </xf>
    <xf numFmtId="0" fontId="21" fillId="0" borderId="1" xfId="0" applyFont="1" applyBorder="1" applyAlignment="1" applyProtection="1">
      <alignment horizontal="center" vertical="center" wrapText="1"/>
      <protection hidden="1"/>
    </xf>
    <xf numFmtId="0" fontId="20" fillId="0" borderId="10" xfId="0" applyFont="1" applyBorder="1" applyAlignment="1" applyProtection="1">
      <alignment horizontal="center" vertical="center" wrapText="1"/>
      <protection hidden="1"/>
    </xf>
    <xf numFmtId="0" fontId="19" fillId="5" borderId="8" xfId="0" applyFont="1" applyFill="1" applyBorder="1" applyAlignment="1" applyProtection="1">
      <alignment horizontal="center" vertical="center" wrapText="1"/>
      <protection locked="0"/>
    </xf>
    <xf numFmtId="164" fontId="19" fillId="4" borderId="8" xfId="9" applyFont="1" applyFill="1" applyBorder="1" applyAlignment="1" applyProtection="1">
      <alignment horizontal="center" vertical="center" wrapText="1"/>
      <protection locked="0"/>
    </xf>
    <xf numFmtId="43" fontId="19" fillId="4" borderId="8" xfId="2" applyFont="1" applyFill="1" applyBorder="1" applyAlignment="1" applyProtection="1">
      <alignment horizontal="center" vertical="center" wrapText="1"/>
      <protection locked="0"/>
    </xf>
    <xf numFmtId="0" fontId="48" fillId="0" borderId="16" xfId="0" applyFont="1" applyBorder="1" applyAlignment="1" applyProtection="1">
      <alignment horizontal="center" vertical="center" wrapText="1"/>
      <protection hidden="1"/>
    </xf>
    <xf numFmtId="164" fontId="20" fillId="0" borderId="7" xfId="9" applyFont="1" applyFill="1" applyBorder="1" applyAlignment="1" applyProtection="1">
      <alignment horizontal="center" vertical="center" wrapText="1"/>
      <protection hidden="1"/>
    </xf>
    <xf numFmtId="0" fontId="24" fillId="0" borderId="37" xfId="0" applyFont="1" applyBorder="1" applyAlignment="1" applyProtection="1">
      <alignment horizontal="center"/>
      <protection hidden="1"/>
    </xf>
    <xf numFmtId="0" fontId="5" fillId="0" borderId="1" xfId="0" applyFont="1" applyBorder="1" applyAlignment="1" applyProtection="1">
      <alignment horizontal="center" vertical="center" wrapText="1"/>
      <protection hidden="1"/>
    </xf>
    <xf numFmtId="0" fontId="21" fillId="0" borderId="17" xfId="0" applyFont="1" applyBorder="1" applyAlignment="1" applyProtection="1">
      <alignment horizontal="left" vertical="center" wrapText="1"/>
      <protection hidden="1"/>
    </xf>
    <xf numFmtId="0" fontId="21" fillId="0" borderId="25" xfId="0" applyFont="1" applyBorder="1" applyAlignment="1" applyProtection="1">
      <alignment horizontal="left" vertical="center" wrapText="1"/>
      <protection hidden="1"/>
    </xf>
    <xf numFmtId="0" fontId="26" fillId="0" borderId="37" xfId="0" applyFont="1" applyBorder="1" applyProtection="1">
      <protection hidden="1"/>
    </xf>
    <xf numFmtId="1" fontId="6" fillId="4" borderId="2" xfId="3" applyNumberFormat="1" applyFont="1" applyFill="1" applyBorder="1" applyAlignment="1" applyProtection="1">
      <alignment vertical="center"/>
      <protection locked="0"/>
    </xf>
    <xf numFmtId="0" fontId="19" fillId="0" borderId="26" xfId="0" applyFont="1" applyBorder="1" applyAlignment="1" applyProtection="1">
      <alignment horizontal="center" vertical="center"/>
      <protection hidden="1"/>
    </xf>
    <xf numFmtId="0" fontId="21" fillId="0" borderId="8" xfId="0" applyFont="1" applyBorder="1" applyAlignment="1" applyProtection="1">
      <alignment horizontal="center" vertical="center" wrapText="1"/>
      <protection locked="0"/>
    </xf>
    <xf numFmtId="43" fontId="19" fillId="4" borderId="17" xfId="2" applyFont="1" applyFill="1" applyBorder="1" applyAlignment="1" applyProtection="1">
      <alignment horizontal="right" vertical="center"/>
      <protection locked="0"/>
    </xf>
    <xf numFmtId="167" fontId="27" fillId="0" borderId="17" xfId="2" applyNumberFormat="1" applyFont="1" applyFill="1" applyBorder="1" applyAlignment="1" applyProtection="1">
      <alignment vertical="center"/>
      <protection hidden="1"/>
    </xf>
    <xf numFmtId="167" fontId="20" fillId="0" borderId="35" xfId="2" applyNumberFormat="1" applyFont="1" applyFill="1" applyBorder="1" applyAlignment="1" applyProtection="1">
      <alignment vertical="center"/>
      <protection hidden="1"/>
    </xf>
    <xf numFmtId="1" fontId="5" fillId="0" borderId="34" xfId="3" applyNumberFormat="1" applyFont="1" applyBorder="1" applyAlignment="1" applyProtection="1">
      <alignment vertical="center"/>
      <protection hidden="1"/>
    </xf>
    <xf numFmtId="0" fontId="21" fillId="0" borderId="34" xfId="0" applyFont="1" applyBorder="1" applyAlignment="1" applyProtection="1">
      <alignment vertical="center"/>
      <protection hidden="1"/>
    </xf>
    <xf numFmtId="0" fontId="19" fillId="0" borderId="34" xfId="0" applyFont="1" applyBorder="1" applyAlignment="1" applyProtection="1">
      <alignment vertical="center"/>
      <protection hidden="1"/>
    </xf>
    <xf numFmtId="0" fontId="19" fillId="0" borderId="24" xfId="0" applyFont="1" applyBorder="1" applyAlignment="1" applyProtection="1">
      <alignment vertical="center"/>
      <protection hidden="1"/>
    </xf>
    <xf numFmtId="0" fontId="21" fillId="0" borderId="46" xfId="0" applyFont="1" applyBorder="1" applyAlignment="1" applyProtection="1">
      <alignment vertical="center" wrapText="1"/>
      <protection hidden="1"/>
    </xf>
    <xf numFmtId="0" fontId="21" fillId="0" borderId="89" xfId="0" applyFont="1" applyBorder="1" applyAlignment="1" applyProtection="1">
      <alignment vertical="center" wrapText="1"/>
      <protection hidden="1"/>
    </xf>
    <xf numFmtId="14" fontId="19" fillId="4" borderId="15" xfId="8" applyNumberFormat="1" applyFont="1" applyFill="1" applyBorder="1" applyAlignment="1" applyProtection="1">
      <alignment horizontal="center" vertical="center" wrapText="1"/>
      <protection hidden="1"/>
    </xf>
    <xf numFmtId="0" fontId="20" fillId="0" borderId="3" xfId="0" applyFont="1" applyBorder="1" applyAlignment="1" applyProtection="1">
      <alignment vertical="center" wrapText="1"/>
      <protection hidden="1"/>
    </xf>
    <xf numFmtId="14" fontId="55" fillId="0" borderId="0" xfId="0" applyNumberFormat="1" applyFont="1" applyAlignment="1" applyProtection="1">
      <alignment vertical="center"/>
      <protection hidden="1"/>
    </xf>
    <xf numFmtId="0" fontId="5" fillId="0" borderId="0" xfId="0" applyFont="1" applyAlignment="1" applyProtection="1">
      <alignment horizontal="center"/>
      <protection hidden="1"/>
    </xf>
    <xf numFmtId="0" fontId="21" fillId="0" borderId="4" xfId="0" applyFont="1" applyBorder="1" applyAlignment="1" applyProtection="1">
      <alignment horizontal="center" vertical="center" wrapText="1"/>
      <protection hidden="1"/>
    </xf>
    <xf numFmtId="0" fontId="21" fillId="0" borderId="0" xfId="0" applyFont="1" applyAlignment="1" applyProtection="1">
      <alignment horizontal="center" vertical="center" wrapText="1"/>
      <protection hidden="1"/>
    </xf>
    <xf numFmtId="43" fontId="19" fillId="0" borderId="0" xfId="0" applyNumberFormat="1" applyFont="1" applyAlignment="1" applyProtection="1">
      <alignment vertical="center"/>
      <protection hidden="1"/>
    </xf>
    <xf numFmtId="43" fontId="19" fillId="4" borderId="10" xfId="2" applyFont="1" applyFill="1" applyBorder="1" applyAlignment="1" applyProtection="1">
      <alignment vertical="center"/>
      <protection locked="0"/>
    </xf>
    <xf numFmtId="43" fontId="19" fillId="4" borderId="8" xfId="2" applyFont="1" applyFill="1" applyBorder="1" applyAlignment="1" applyProtection="1">
      <alignment vertical="center"/>
      <protection locked="0"/>
    </xf>
    <xf numFmtId="43" fontId="19" fillId="4" borderId="7" xfId="2" applyFont="1" applyFill="1" applyBorder="1" applyAlignment="1" applyProtection="1">
      <alignment vertical="center"/>
      <protection locked="0"/>
    </xf>
    <xf numFmtId="0" fontId="20" fillId="0" borderId="10" xfId="0" applyFont="1" applyBorder="1" applyAlignment="1" applyProtection="1">
      <alignment horizontal="center" vertical="center" wrapText="1"/>
      <protection hidden="1"/>
    </xf>
    <xf numFmtId="0" fontId="20" fillId="0" borderId="13" xfId="0" applyFont="1" applyBorder="1" applyAlignment="1" applyProtection="1">
      <alignment horizontal="center" vertical="center" wrapText="1"/>
      <protection hidden="1"/>
    </xf>
    <xf numFmtId="0" fontId="20" fillId="0" borderId="47" xfId="0" applyFont="1" applyBorder="1" applyAlignment="1" applyProtection="1">
      <alignment horizontal="center" vertical="center" wrapText="1"/>
      <protection hidden="1"/>
    </xf>
    <xf numFmtId="0" fontId="20" fillId="0" borderId="48" xfId="0" applyFont="1" applyBorder="1" applyAlignment="1" applyProtection="1">
      <alignment horizontal="center" vertical="center" wrapText="1"/>
      <protection hidden="1"/>
    </xf>
    <xf numFmtId="0" fontId="20" fillId="0" borderId="49" xfId="0" applyFont="1" applyBorder="1" applyAlignment="1" applyProtection="1">
      <alignment horizontal="center" vertical="center" wrapText="1"/>
      <protection hidden="1"/>
    </xf>
    <xf numFmtId="0" fontId="30" fillId="0" borderId="30" xfId="0" applyFont="1" applyBorder="1" applyAlignment="1">
      <alignment horizontal="center" vertical="center"/>
    </xf>
    <xf numFmtId="0" fontId="30" fillId="0" borderId="33" xfId="0" applyFont="1" applyBorder="1" applyAlignment="1">
      <alignment horizontal="center" vertical="center"/>
    </xf>
    <xf numFmtId="0" fontId="20" fillId="0" borderId="4" xfId="0" applyFont="1" applyBorder="1" applyAlignment="1" applyProtection="1">
      <alignment horizontal="center" vertical="center" wrapText="1"/>
      <protection locked="0"/>
    </xf>
    <xf numFmtId="0" fontId="20" fillId="0" borderId="3" xfId="0" applyFont="1" applyBorder="1" applyAlignment="1" applyProtection="1">
      <alignment horizontal="center" vertical="center" wrapText="1"/>
      <protection locked="0"/>
    </xf>
    <xf numFmtId="0" fontId="20" fillId="0" borderId="11" xfId="0" applyFont="1" applyBorder="1" applyAlignment="1" applyProtection="1">
      <alignment horizontal="center" vertical="center" wrapText="1"/>
      <protection locked="0"/>
    </xf>
    <xf numFmtId="0" fontId="20" fillId="0" borderId="5" xfId="0" applyFont="1" applyBorder="1" applyAlignment="1" applyProtection="1">
      <alignment horizontal="center" vertical="center" wrapText="1"/>
      <protection locked="0"/>
    </xf>
    <xf numFmtId="0" fontId="20" fillId="0" borderId="1" xfId="0" applyFont="1" applyBorder="1" applyAlignment="1" applyProtection="1">
      <alignment horizontal="center" vertical="center" wrapText="1"/>
      <protection locked="0"/>
    </xf>
    <xf numFmtId="0" fontId="20" fillId="0" borderId="1" xfId="0" applyFont="1" applyBorder="1" applyAlignment="1" applyProtection="1">
      <alignment horizontal="center" vertical="center" wrapText="1"/>
      <protection hidden="1"/>
    </xf>
    <xf numFmtId="0" fontId="20" fillId="0" borderId="6" xfId="0" applyFont="1" applyBorder="1" applyAlignment="1" applyProtection="1">
      <alignment horizontal="center" vertical="center" wrapText="1"/>
      <protection hidden="1"/>
    </xf>
    <xf numFmtId="0" fontId="21" fillId="0" borderId="5" xfId="0" applyFont="1" applyBorder="1" applyAlignment="1" applyProtection="1">
      <alignment horizontal="left" vertical="center" wrapText="1"/>
      <protection hidden="1"/>
    </xf>
    <xf numFmtId="0" fontId="21" fillId="0" borderId="1" xfId="0" applyFont="1" applyBorder="1" applyAlignment="1" applyProtection="1">
      <alignment horizontal="left" vertical="center" wrapText="1"/>
      <protection hidden="1"/>
    </xf>
    <xf numFmtId="0" fontId="19" fillId="0" borderId="4" xfId="0" applyFont="1" applyBorder="1" applyAlignment="1" applyProtection="1">
      <alignment horizontal="center" vertical="center" textRotation="90"/>
      <protection hidden="1"/>
    </xf>
    <xf numFmtId="0" fontId="19" fillId="0" borderId="41" xfId="0" applyFont="1" applyBorder="1" applyAlignment="1" applyProtection="1">
      <alignment horizontal="center" vertical="center" textRotation="90"/>
      <protection hidden="1"/>
    </xf>
    <xf numFmtId="0" fontId="20" fillId="0" borderId="1" xfId="0" applyFont="1" applyBorder="1" applyAlignment="1" applyProtection="1">
      <alignment horizontal="center" vertical="center"/>
      <protection hidden="1"/>
    </xf>
    <xf numFmtId="0" fontId="20" fillId="0" borderId="6" xfId="0" applyFont="1" applyBorder="1" applyAlignment="1" applyProtection="1">
      <alignment horizontal="center" vertical="center"/>
      <protection hidden="1"/>
    </xf>
    <xf numFmtId="0" fontId="21" fillId="0" borderId="16" xfId="0" applyFont="1" applyBorder="1" applyAlignment="1" applyProtection="1">
      <alignment horizontal="left" vertical="center" wrapText="1"/>
      <protection hidden="1"/>
    </xf>
    <xf numFmtId="0" fontId="21" fillId="0" borderId="15" xfId="0" applyFont="1" applyBorder="1" applyAlignment="1" applyProtection="1">
      <alignment horizontal="left" vertical="center" wrapText="1"/>
      <protection hidden="1"/>
    </xf>
    <xf numFmtId="0" fontId="19" fillId="0" borderId="81" xfId="0" applyFont="1" applyBorder="1" applyAlignment="1" applyProtection="1">
      <alignment horizontal="center" vertical="center"/>
      <protection hidden="1"/>
    </xf>
    <xf numFmtId="0" fontId="19" fillId="0" borderId="46" xfId="0" applyFont="1" applyBorder="1" applyAlignment="1" applyProtection="1">
      <alignment horizontal="center" vertical="center"/>
      <protection hidden="1"/>
    </xf>
    <xf numFmtId="0" fontId="30" fillId="0" borderId="30" xfId="0" applyFont="1" applyBorder="1" applyAlignment="1">
      <alignment horizontal="center" vertical="center" wrapText="1"/>
    </xf>
    <xf numFmtId="0" fontId="30" fillId="0" borderId="33" xfId="0" applyFont="1" applyBorder="1" applyAlignment="1">
      <alignment horizontal="center" vertical="center" wrapText="1"/>
    </xf>
    <xf numFmtId="0" fontId="30" fillId="0" borderId="29" xfId="0" applyFont="1" applyBorder="1" applyAlignment="1">
      <alignment horizontal="center" vertical="center" wrapText="1"/>
    </xf>
    <xf numFmtId="0" fontId="27" fillId="0" borderId="25" xfId="0" applyFont="1" applyBorder="1" applyAlignment="1" applyProtection="1">
      <alignment horizontal="center" vertical="center" wrapText="1"/>
      <protection locked="0"/>
    </xf>
    <xf numFmtId="0" fontId="27" fillId="0" borderId="34" xfId="0" applyFont="1" applyBorder="1" applyAlignment="1" applyProtection="1">
      <alignment horizontal="center" vertical="center" wrapText="1"/>
      <protection locked="0"/>
    </xf>
    <xf numFmtId="0" fontId="27" fillId="0" borderId="24" xfId="0" applyFont="1" applyBorder="1" applyAlignment="1" applyProtection="1">
      <alignment horizontal="center" vertical="center" wrapText="1"/>
      <protection locked="0"/>
    </xf>
    <xf numFmtId="14" fontId="19" fillId="4" borderId="35" xfId="0" applyNumberFormat="1" applyFont="1" applyFill="1" applyBorder="1" applyAlignment="1" applyProtection="1">
      <alignment horizontal="center" vertical="center"/>
      <protection locked="0"/>
    </xf>
    <xf numFmtId="14" fontId="19" fillId="4" borderId="19" xfId="0" applyNumberFormat="1" applyFont="1" applyFill="1" applyBorder="1" applyAlignment="1" applyProtection="1">
      <alignment horizontal="center" vertical="center"/>
      <protection locked="0"/>
    </xf>
    <xf numFmtId="0" fontId="19" fillId="0" borderId="47" xfId="0" applyFont="1" applyBorder="1" applyAlignment="1" applyProtection="1">
      <alignment horizontal="left" vertical="center" wrapText="1"/>
      <protection locked="0"/>
    </xf>
    <xf numFmtId="0" fontId="19" fillId="0" borderId="48" xfId="0" applyFont="1" applyBorder="1" applyAlignment="1" applyProtection="1">
      <alignment horizontal="left" vertical="center" wrapText="1"/>
      <protection locked="0"/>
    </xf>
    <xf numFmtId="0" fontId="19" fillId="0" borderId="49" xfId="0" applyFont="1" applyBorder="1" applyAlignment="1" applyProtection="1">
      <alignment horizontal="left" vertical="center" wrapText="1"/>
      <protection locked="0"/>
    </xf>
    <xf numFmtId="0" fontId="21" fillId="0" borderId="5" xfId="0" applyFont="1" applyBorder="1" applyAlignment="1" applyProtection="1">
      <alignment horizontal="left" wrapText="1"/>
      <protection hidden="1"/>
    </xf>
    <xf numFmtId="0" fontId="21" fillId="0" borderId="1" xfId="0" applyFont="1" applyBorder="1" applyAlignment="1" applyProtection="1">
      <alignment horizontal="left" wrapText="1"/>
      <protection hidden="1"/>
    </xf>
    <xf numFmtId="0" fontId="21" fillId="0" borderId="14" xfId="0" applyFont="1" applyBorder="1" applyAlignment="1" applyProtection="1">
      <alignment horizontal="left" vertical="center" wrapText="1"/>
      <protection hidden="1"/>
    </xf>
    <xf numFmtId="0" fontId="21" fillId="0" borderId="10" xfId="0" applyFont="1" applyBorder="1" applyAlignment="1" applyProtection="1">
      <alignment horizontal="left" vertical="center" wrapText="1"/>
      <protection hidden="1"/>
    </xf>
    <xf numFmtId="0" fontId="21" fillId="0" borderId="17" xfId="0" applyFont="1" applyBorder="1" applyAlignment="1" applyProtection="1">
      <alignment horizontal="center" vertical="center" wrapText="1"/>
      <protection hidden="1"/>
    </xf>
    <xf numFmtId="0" fontId="21" fillId="0" borderId="15" xfId="0" applyFont="1" applyBorder="1" applyAlignment="1" applyProtection="1">
      <alignment horizontal="center" vertical="center" wrapText="1"/>
      <protection hidden="1"/>
    </xf>
    <xf numFmtId="0" fontId="20" fillId="0" borderId="20" xfId="0" applyFont="1" applyBorder="1" applyAlignment="1" applyProtection="1">
      <alignment horizontal="center" vertical="center" wrapText="1"/>
      <protection hidden="1"/>
    </xf>
    <xf numFmtId="0" fontId="20" fillId="0" borderId="3" xfId="0" applyFont="1" applyBorder="1" applyAlignment="1" applyProtection="1">
      <alignment horizontal="center" vertical="center" wrapText="1"/>
      <protection hidden="1"/>
    </xf>
    <xf numFmtId="0" fontId="20" fillId="0" borderId="2" xfId="0" applyFont="1" applyBorder="1" applyAlignment="1" applyProtection="1">
      <alignment horizontal="center" vertical="center" wrapText="1"/>
      <protection hidden="1"/>
    </xf>
    <xf numFmtId="0" fontId="47" fillId="0" borderId="28" xfId="0" applyFont="1" applyBorder="1" applyAlignment="1" applyProtection="1">
      <alignment horizontal="center" vertical="center" wrapText="1"/>
      <protection hidden="1"/>
    </xf>
    <xf numFmtId="0" fontId="47" fillId="0" borderId="32" xfId="0" applyFont="1" applyBorder="1" applyAlignment="1" applyProtection="1">
      <alignment horizontal="center" vertical="center" wrapText="1"/>
      <protection hidden="1"/>
    </xf>
    <xf numFmtId="0" fontId="47" fillId="0" borderId="27" xfId="0" applyFont="1" applyBorder="1" applyAlignment="1" applyProtection="1">
      <alignment horizontal="center" vertical="center" wrapText="1"/>
      <protection hidden="1"/>
    </xf>
    <xf numFmtId="0" fontId="20" fillId="0" borderId="76" xfId="0" applyFont="1" applyBorder="1" applyAlignment="1" applyProtection="1">
      <alignment horizontal="center" vertical="center"/>
      <protection hidden="1"/>
    </xf>
    <xf numFmtId="0" fontId="20" fillId="0" borderId="77" xfId="0" applyFont="1" applyBorder="1" applyAlignment="1" applyProtection="1">
      <alignment horizontal="center" vertical="center"/>
      <protection hidden="1"/>
    </xf>
    <xf numFmtId="0" fontId="20" fillId="0" borderId="1" xfId="0" applyFont="1" applyBorder="1" applyAlignment="1">
      <alignment horizontal="center" vertical="center" wrapText="1"/>
    </xf>
    <xf numFmtId="0" fontId="20" fillId="0" borderId="6" xfId="0" applyFont="1" applyBorder="1" applyAlignment="1">
      <alignment horizontal="center" vertical="center" wrapText="1"/>
    </xf>
    <xf numFmtId="43" fontId="20" fillId="0" borderId="79" xfId="0" applyNumberFormat="1" applyFont="1" applyBorder="1" applyAlignment="1" applyProtection="1">
      <alignment horizontal="center" vertical="center" wrapText="1"/>
      <protection hidden="1"/>
    </xf>
    <xf numFmtId="43" fontId="20" fillId="0" borderId="12" xfId="0" applyNumberFormat="1" applyFont="1" applyBorder="1" applyAlignment="1" applyProtection="1">
      <alignment horizontal="center" vertical="center" wrapText="1"/>
      <protection hidden="1"/>
    </xf>
    <xf numFmtId="0" fontId="20" fillId="0" borderId="30" xfId="0" applyFont="1" applyBorder="1" applyAlignment="1" applyProtection="1">
      <alignment horizontal="center" vertical="center" wrapText="1"/>
      <protection hidden="1"/>
    </xf>
    <xf numFmtId="0" fontId="20" fillId="0" borderId="33" xfId="0" applyFont="1" applyBorder="1" applyAlignment="1" applyProtection="1">
      <alignment horizontal="center" vertical="center" wrapText="1"/>
      <protection hidden="1"/>
    </xf>
    <xf numFmtId="0" fontId="20" fillId="0" borderId="29" xfId="0" applyFont="1" applyBorder="1" applyAlignment="1" applyProtection="1">
      <alignment horizontal="center" vertical="center" wrapText="1"/>
      <protection hidden="1"/>
    </xf>
    <xf numFmtId="0" fontId="21" fillId="0" borderId="1" xfId="0" applyFont="1" applyBorder="1" applyAlignment="1" applyProtection="1">
      <alignment horizontal="center" vertical="center" wrapText="1"/>
      <protection hidden="1"/>
    </xf>
    <xf numFmtId="0" fontId="21" fillId="0" borderId="5" xfId="0" applyFont="1" applyBorder="1" applyAlignment="1" applyProtection="1">
      <alignment horizontal="center" vertical="center" wrapText="1"/>
      <protection locked="0"/>
    </xf>
    <xf numFmtId="0" fontId="21" fillId="0" borderId="1"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0"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0" fillId="0" borderId="4" xfId="0" applyFont="1" applyBorder="1" applyAlignment="1" applyProtection="1">
      <alignment horizontal="center" vertical="center" wrapText="1"/>
      <protection hidden="1"/>
    </xf>
    <xf numFmtId="0" fontId="20" fillId="0" borderId="11" xfId="0" applyFont="1" applyBorder="1" applyAlignment="1" applyProtection="1">
      <alignment horizontal="center" vertical="center" wrapText="1"/>
      <protection hidden="1"/>
    </xf>
    <xf numFmtId="0" fontId="19" fillId="0" borderId="37" xfId="0" applyFont="1" applyBorder="1" applyAlignment="1" applyProtection="1">
      <alignment horizontal="center" vertical="center"/>
      <protection hidden="1"/>
    </xf>
    <xf numFmtId="0" fontId="19" fillId="0" borderId="36" xfId="0" applyFont="1" applyBorder="1" applyAlignment="1" applyProtection="1">
      <alignment horizontal="center" vertical="center"/>
      <protection hidden="1"/>
    </xf>
    <xf numFmtId="0" fontId="21" fillId="0" borderId="28" xfId="0" applyFont="1" applyBorder="1" applyAlignment="1" applyProtection="1">
      <alignment horizontal="left" vertical="center" wrapText="1"/>
      <protection locked="0"/>
    </xf>
    <xf numFmtId="0" fontId="21" fillId="0" borderId="32" xfId="0" applyFont="1" applyBorder="1" applyAlignment="1" applyProtection="1">
      <alignment horizontal="left" vertical="center" wrapText="1"/>
      <protection locked="0"/>
    </xf>
    <xf numFmtId="0" fontId="21" fillId="0" borderId="27" xfId="0" applyFont="1" applyBorder="1" applyAlignment="1" applyProtection="1">
      <alignment horizontal="left" vertical="center" wrapText="1"/>
      <protection locked="0"/>
    </xf>
    <xf numFmtId="0" fontId="21" fillId="0" borderId="26" xfId="0" applyFont="1" applyBorder="1" applyAlignment="1" applyProtection="1">
      <alignment horizontal="left" vertical="center" wrapText="1"/>
      <protection locked="0"/>
    </xf>
    <xf numFmtId="0" fontId="21" fillId="0" borderId="0" xfId="0" applyFont="1" applyAlignment="1" applyProtection="1">
      <alignment horizontal="left" vertical="center" wrapText="1"/>
      <protection locked="0"/>
    </xf>
    <xf numFmtId="0" fontId="21" fillId="0" borderId="21" xfId="0" applyFont="1" applyBorder="1" applyAlignment="1" applyProtection="1">
      <alignment horizontal="left" vertical="center" wrapText="1"/>
      <protection locked="0"/>
    </xf>
    <xf numFmtId="0" fontId="21" fillId="0" borderId="25" xfId="0" applyFont="1" applyBorder="1" applyAlignment="1" applyProtection="1">
      <alignment horizontal="left" vertical="center" wrapText="1"/>
      <protection locked="0"/>
    </xf>
    <xf numFmtId="0" fontId="21" fillId="0" borderId="34" xfId="0" applyFont="1" applyBorder="1" applyAlignment="1" applyProtection="1">
      <alignment horizontal="left" vertical="center" wrapText="1"/>
      <protection locked="0"/>
    </xf>
    <xf numFmtId="0" fontId="21" fillId="0" borderId="24" xfId="0" applyFont="1" applyBorder="1" applyAlignment="1" applyProtection="1">
      <alignment horizontal="left" vertical="center" wrapText="1"/>
      <protection locked="0"/>
    </xf>
    <xf numFmtId="0" fontId="21" fillId="0" borderId="36" xfId="0" applyFont="1" applyBorder="1" applyAlignment="1" applyProtection="1">
      <alignment horizontal="center" vertical="top" wrapText="1"/>
      <protection locked="0"/>
    </xf>
    <xf numFmtId="0" fontId="21" fillId="0" borderId="45" xfId="0" applyFont="1" applyBorder="1" applyAlignment="1" applyProtection="1">
      <alignment horizontal="center" vertical="top" wrapText="1"/>
      <protection locked="0"/>
    </xf>
    <xf numFmtId="0" fontId="20" fillId="0" borderId="14" xfId="0" applyFont="1" applyBorder="1" applyAlignment="1" applyProtection="1">
      <alignment horizontal="center" vertical="center" wrapText="1"/>
      <protection locked="0"/>
    </xf>
    <xf numFmtId="0" fontId="20" fillId="0" borderId="10" xfId="0" applyFont="1" applyBorder="1" applyAlignment="1" applyProtection="1">
      <alignment horizontal="center" vertical="center" wrapText="1"/>
      <protection locked="0"/>
    </xf>
    <xf numFmtId="0" fontId="20" fillId="0" borderId="13" xfId="0" applyFont="1" applyBorder="1" applyAlignment="1" applyProtection="1">
      <alignment horizontal="center" vertical="center" wrapText="1"/>
      <protection locked="0"/>
    </xf>
    <xf numFmtId="0" fontId="19" fillId="0" borderId="45" xfId="0" applyFont="1" applyBorder="1" applyAlignment="1" applyProtection="1">
      <alignment horizontal="center" vertical="center"/>
      <protection hidden="1"/>
    </xf>
    <xf numFmtId="0" fontId="5" fillId="0" borderId="1" xfId="0" applyFont="1" applyBorder="1" applyAlignment="1" applyProtection="1">
      <alignment horizontal="center" vertical="center" wrapText="1"/>
      <protection hidden="1"/>
    </xf>
    <xf numFmtId="43" fontId="20" fillId="0" borderId="1" xfId="0" applyNumberFormat="1" applyFont="1" applyBorder="1" applyAlignment="1" applyProtection="1">
      <alignment horizontal="center" vertical="center" wrapText="1"/>
      <protection hidden="1"/>
    </xf>
    <xf numFmtId="43" fontId="20" fillId="0" borderId="6" xfId="0" applyNumberFormat="1" applyFont="1" applyBorder="1" applyAlignment="1" applyProtection="1">
      <alignment horizontal="center" vertical="center" wrapText="1"/>
      <protection hidden="1"/>
    </xf>
    <xf numFmtId="0" fontId="21" fillId="0" borderId="47" xfId="0" applyFont="1" applyBorder="1" applyAlignment="1" applyProtection="1">
      <alignment horizontal="center" vertical="center" wrapText="1"/>
      <protection locked="0"/>
    </xf>
    <xf numFmtId="0" fontId="21" fillId="0" borderId="48" xfId="0" applyFont="1" applyBorder="1" applyAlignment="1" applyProtection="1">
      <alignment horizontal="center" vertical="center" wrapText="1"/>
      <protection locked="0"/>
    </xf>
    <xf numFmtId="0" fontId="21" fillId="0" borderId="49" xfId="0" applyFont="1" applyBorder="1" applyAlignment="1" applyProtection="1">
      <alignment horizontal="center" vertical="center" wrapText="1"/>
      <protection locked="0"/>
    </xf>
    <xf numFmtId="0" fontId="19" fillId="5" borderId="8" xfId="0" applyFont="1" applyFill="1" applyBorder="1" applyAlignment="1" applyProtection="1">
      <alignment horizontal="center" vertical="center" wrapText="1"/>
      <protection locked="0"/>
    </xf>
    <xf numFmtId="0" fontId="20" fillId="0" borderId="55" xfId="0" applyFont="1" applyBorder="1" applyAlignment="1" applyProtection="1">
      <alignment horizontal="center" vertical="center" wrapText="1"/>
      <protection hidden="1"/>
    </xf>
    <xf numFmtId="0" fontId="20" fillId="0" borderId="56" xfId="0" applyFont="1" applyBorder="1" applyAlignment="1" applyProtection="1">
      <alignment horizontal="center" vertical="center" wrapText="1"/>
      <protection hidden="1"/>
    </xf>
    <xf numFmtId="14" fontId="27" fillId="0" borderId="1" xfId="0" applyNumberFormat="1" applyFont="1" applyBorder="1" applyAlignment="1" applyProtection="1">
      <alignment horizontal="center" vertical="center"/>
      <protection hidden="1"/>
    </xf>
    <xf numFmtId="14" fontId="27" fillId="0" borderId="6" xfId="0" applyNumberFormat="1" applyFont="1" applyBorder="1" applyAlignment="1" applyProtection="1">
      <alignment horizontal="center" vertical="center"/>
      <protection hidden="1"/>
    </xf>
    <xf numFmtId="0" fontId="21" fillId="0" borderId="17" xfId="0" applyFont="1" applyBorder="1" applyAlignment="1" applyProtection="1">
      <alignment horizontal="left" vertical="center" wrapText="1"/>
      <protection hidden="1"/>
    </xf>
    <xf numFmtId="14" fontId="19" fillId="4" borderId="17" xfId="2" applyNumberFormat="1" applyFont="1" applyFill="1" applyBorder="1" applyAlignment="1" applyProtection="1">
      <alignment horizontal="center" vertical="center"/>
      <protection locked="0"/>
    </xf>
    <xf numFmtId="14" fontId="19" fillId="4" borderId="15" xfId="2" applyNumberFormat="1" applyFont="1" applyFill="1" applyBorder="1" applyAlignment="1" applyProtection="1">
      <alignment horizontal="center" vertical="center"/>
      <protection locked="0"/>
    </xf>
    <xf numFmtId="0" fontId="56" fillId="0" borderId="30" xfId="0" applyFont="1" applyBorder="1" applyAlignment="1" applyProtection="1">
      <alignment horizontal="center" vertical="center" wrapText="1"/>
      <protection hidden="1"/>
    </xf>
    <xf numFmtId="0" fontId="56" fillId="0" borderId="33" xfId="0" applyFont="1" applyBorder="1" applyAlignment="1" applyProtection="1">
      <alignment horizontal="center" vertical="center" wrapText="1"/>
      <protection hidden="1"/>
    </xf>
    <xf numFmtId="0" fontId="56" fillId="0" borderId="29" xfId="0" applyFont="1" applyBorder="1" applyAlignment="1" applyProtection="1">
      <alignment horizontal="center" vertical="center" wrapText="1"/>
      <protection hidden="1"/>
    </xf>
    <xf numFmtId="0" fontId="27" fillId="0" borderId="10" xfId="0" applyFont="1" applyBorder="1" applyAlignment="1" applyProtection="1">
      <alignment horizontal="center" vertical="center"/>
      <protection hidden="1"/>
    </xf>
    <xf numFmtId="0" fontId="19" fillId="0" borderId="14" xfId="0" applyFont="1" applyBorder="1" applyAlignment="1" applyProtection="1">
      <alignment horizontal="left" vertical="center" wrapText="1"/>
      <protection locked="0"/>
    </xf>
    <xf numFmtId="0" fontId="19" fillId="0" borderId="10" xfId="0" applyFont="1" applyBorder="1" applyAlignment="1" applyProtection="1">
      <alignment horizontal="left" vertical="center" wrapText="1"/>
      <protection locked="0"/>
    </xf>
    <xf numFmtId="0" fontId="19" fillId="0" borderId="13" xfId="0" applyFont="1" applyBorder="1" applyAlignment="1" applyProtection="1">
      <alignment horizontal="left" vertical="center" wrapText="1"/>
      <protection locked="0"/>
    </xf>
    <xf numFmtId="0" fontId="19" fillId="0" borderId="86" xfId="0" applyFont="1" applyBorder="1" applyAlignment="1" applyProtection="1">
      <alignment horizontal="left" vertical="center" wrapText="1"/>
      <protection locked="0"/>
    </xf>
    <xf numFmtId="0" fontId="19" fillId="0" borderId="76" xfId="0" applyFont="1" applyBorder="1" applyAlignment="1" applyProtection="1">
      <alignment horizontal="left" vertical="center" wrapText="1"/>
      <protection locked="0"/>
    </xf>
    <xf numFmtId="0" fontId="19" fillId="0" borderId="77" xfId="0" applyFont="1" applyBorder="1" applyAlignment="1" applyProtection="1">
      <alignment horizontal="left" vertical="center" wrapText="1"/>
      <protection locked="0"/>
    </xf>
    <xf numFmtId="0" fontId="21" fillId="8" borderId="20" xfId="0" applyFont="1" applyFill="1" applyBorder="1" applyAlignment="1" applyProtection="1">
      <alignment horizontal="center" vertical="center"/>
      <protection hidden="1"/>
    </xf>
    <xf numFmtId="0" fontId="21" fillId="8" borderId="2" xfId="0" applyFont="1" applyFill="1" applyBorder="1" applyAlignment="1" applyProtection="1">
      <alignment horizontal="center" vertical="center"/>
      <protection hidden="1"/>
    </xf>
    <xf numFmtId="0" fontId="21" fillId="8" borderId="55" xfId="0" applyFont="1" applyFill="1" applyBorder="1" applyAlignment="1" applyProtection="1">
      <alignment horizontal="center" vertical="center"/>
      <protection hidden="1"/>
    </xf>
    <xf numFmtId="0" fontId="21" fillId="8" borderId="56" xfId="0" applyFont="1" applyFill="1" applyBorder="1" applyAlignment="1" applyProtection="1">
      <alignment horizontal="center" vertical="center"/>
      <protection hidden="1"/>
    </xf>
    <xf numFmtId="0" fontId="19" fillId="0" borderId="10" xfId="0" applyFont="1" applyBorder="1" applyAlignment="1" applyProtection="1">
      <alignment horizontal="center" vertical="center"/>
      <protection locked="0"/>
    </xf>
    <xf numFmtId="0" fontId="19" fillId="0" borderId="13" xfId="0" applyFont="1" applyBorder="1" applyAlignment="1" applyProtection="1">
      <alignment horizontal="center" vertical="center"/>
      <protection locked="0"/>
    </xf>
    <xf numFmtId="0" fontId="21" fillId="0" borderId="10" xfId="0" applyFont="1" applyBorder="1" applyAlignment="1" applyProtection="1">
      <alignment horizontal="center" vertical="center" wrapText="1"/>
      <protection hidden="1"/>
    </xf>
    <xf numFmtId="0" fontId="30" fillId="0" borderId="28" xfId="0" applyFont="1" applyBorder="1" applyAlignment="1">
      <alignment horizontal="center" vertical="center" wrapText="1"/>
    </xf>
    <xf numFmtId="0" fontId="30" fillId="0" borderId="32" xfId="0" applyFont="1" applyBorder="1" applyAlignment="1">
      <alignment horizontal="center" vertical="center" wrapText="1"/>
    </xf>
    <xf numFmtId="0" fontId="30" fillId="0" borderId="27" xfId="0" applyFont="1" applyBorder="1" applyAlignment="1">
      <alignment horizontal="center" vertical="center" wrapText="1"/>
    </xf>
    <xf numFmtId="0" fontId="20" fillId="0" borderId="18" xfId="0" applyFont="1" applyBorder="1" applyAlignment="1" applyProtection="1">
      <alignment horizontal="center" vertical="center" wrapText="1"/>
      <protection hidden="1"/>
    </xf>
    <xf numFmtId="0" fontId="20" fillId="0" borderId="17" xfId="0" applyFont="1" applyBorder="1" applyAlignment="1" applyProtection="1">
      <alignment horizontal="center" vertical="center" wrapText="1"/>
      <protection hidden="1"/>
    </xf>
    <xf numFmtId="0" fontId="45" fillId="0" borderId="14" xfId="0" applyFont="1" applyBorder="1" applyAlignment="1" applyProtection="1">
      <alignment horizontal="left" vertical="center" wrapText="1"/>
      <protection hidden="1"/>
    </xf>
    <xf numFmtId="0" fontId="45" fillId="0" borderId="10" xfId="0" applyFont="1" applyBorder="1" applyAlignment="1" applyProtection="1">
      <alignment horizontal="left" vertical="center" wrapText="1"/>
      <protection hidden="1"/>
    </xf>
    <xf numFmtId="0" fontId="21" fillId="12" borderId="4" xfId="0" applyFont="1" applyFill="1" applyBorder="1" applyAlignment="1" applyProtection="1">
      <alignment horizontal="left" vertical="center"/>
      <protection hidden="1"/>
    </xf>
    <xf numFmtId="0" fontId="21" fillId="12" borderId="11" xfId="0" applyFont="1" applyFill="1" applyBorder="1" applyAlignment="1" applyProtection="1">
      <alignment horizontal="left" vertical="center"/>
      <protection hidden="1"/>
    </xf>
    <xf numFmtId="0" fontId="21" fillId="0" borderId="30" xfId="0" applyFont="1" applyBorder="1" applyAlignment="1" applyProtection="1">
      <alignment horizontal="center" vertical="center" wrapText="1"/>
      <protection hidden="1"/>
    </xf>
    <xf numFmtId="0" fontId="21" fillId="0" borderId="33" xfId="0" applyFont="1" applyBorder="1" applyAlignment="1" applyProtection="1">
      <alignment horizontal="center" vertical="center" wrapText="1"/>
      <protection hidden="1"/>
    </xf>
    <xf numFmtId="0" fontId="21" fillId="0" borderId="29" xfId="0" applyFont="1" applyBorder="1" applyAlignment="1" applyProtection="1">
      <alignment horizontal="center" vertical="center" wrapText="1"/>
      <protection hidden="1"/>
    </xf>
    <xf numFmtId="0" fontId="20" fillId="0" borderId="86" xfId="0" applyFont="1" applyBorder="1" applyAlignment="1" applyProtection="1">
      <alignment horizontal="center" vertical="center"/>
      <protection hidden="1"/>
    </xf>
    <xf numFmtId="0" fontId="5" fillId="0" borderId="4" xfId="0" applyFont="1" applyBorder="1" applyAlignment="1" applyProtection="1">
      <alignment horizontal="left" vertical="center" wrapText="1"/>
      <protection hidden="1"/>
    </xf>
    <xf numFmtId="0" fontId="5" fillId="0" borderId="11" xfId="0" applyFont="1" applyBorder="1" applyAlignment="1" applyProtection="1">
      <alignment horizontal="left" vertical="center" wrapText="1"/>
      <protection hidden="1"/>
    </xf>
    <xf numFmtId="0" fontId="21" fillId="0" borderId="20" xfId="0" applyFont="1" applyBorder="1" applyAlignment="1" applyProtection="1">
      <alignment horizontal="center" vertical="center"/>
      <protection hidden="1"/>
    </xf>
    <xf numFmtId="0" fontId="21" fillId="0" borderId="3" xfId="0" applyFont="1" applyBorder="1" applyAlignment="1" applyProtection="1">
      <alignment horizontal="center" vertical="center"/>
      <protection hidden="1"/>
    </xf>
    <xf numFmtId="0" fontId="21" fillId="0" borderId="2" xfId="0" applyFont="1" applyBorder="1" applyAlignment="1" applyProtection="1">
      <alignment horizontal="center" vertical="center"/>
      <protection hidden="1"/>
    </xf>
    <xf numFmtId="0" fontId="21" fillId="0" borderId="30" xfId="0" applyFont="1" applyBorder="1" applyAlignment="1" applyProtection="1">
      <alignment horizontal="center" vertical="center" wrapText="1"/>
      <protection locked="0"/>
    </xf>
    <xf numFmtId="0" fontId="21" fillId="0" borderId="33" xfId="0" applyFont="1" applyBorder="1" applyAlignment="1" applyProtection="1">
      <alignment horizontal="center" vertical="center" wrapText="1"/>
      <protection locked="0"/>
    </xf>
    <xf numFmtId="0" fontId="21" fillId="0" borderId="29" xfId="0" applyFont="1" applyBorder="1" applyAlignment="1" applyProtection="1">
      <alignment horizontal="center" vertical="center" wrapText="1"/>
      <protection locked="0"/>
    </xf>
    <xf numFmtId="0" fontId="21" fillId="0" borderId="37" xfId="0" applyFont="1" applyBorder="1" applyAlignment="1" applyProtection="1">
      <alignment horizontal="center" vertical="center" wrapText="1"/>
      <protection hidden="1"/>
    </xf>
    <xf numFmtId="0" fontId="21" fillId="0" borderId="36" xfId="0" applyFont="1" applyBorder="1" applyAlignment="1" applyProtection="1">
      <alignment horizontal="center" vertical="center" wrapText="1"/>
      <protection hidden="1"/>
    </xf>
    <xf numFmtId="0" fontId="21" fillId="0" borderId="45" xfId="0" applyFont="1" applyBorder="1" applyAlignment="1" applyProtection="1">
      <alignment horizontal="center" vertical="center" wrapText="1"/>
      <protection hidden="1"/>
    </xf>
    <xf numFmtId="0" fontId="21" fillId="0" borderId="30" xfId="0" applyFont="1" applyBorder="1" applyAlignment="1" applyProtection="1">
      <alignment horizontal="center" vertical="center"/>
      <protection hidden="1"/>
    </xf>
    <xf numFmtId="0" fontId="21" fillId="0" borderId="33" xfId="0" applyFont="1" applyBorder="1" applyAlignment="1" applyProtection="1">
      <alignment horizontal="center" vertical="center"/>
      <protection hidden="1"/>
    </xf>
    <xf numFmtId="0" fontId="21" fillId="0" borderId="29" xfId="0" applyFont="1" applyBorder="1" applyAlignment="1" applyProtection="1">
      <alignment horizontal="center" vertical="center"/>
      <protection hidden="1"/>
    </xf>
    <xf numFmtId="0" fontId="19" fillId="0" borderId="30" xfId="0" applyFont="1" applyBorder="1" applyAlignment="1" applyProtection="1">
      <alignment horizontal="center" vertical="center" wrapText="1"/>
      <protection locked="0"/>
    </xf>
    <xf numFmtId="0" fontId="19" fillId="0" borderId="33" xfId="0" applyFont="1" applyBorder="1" applyAlignment="1" applyProtection="1">
      <alignment horizontal="center" vertical="center" wrapText="1"/>
      <protection locked="0"/>
    </xf>
    <xf numFmtId="0" fontId="19" fillId="0" borderId="29" xfId="0" applyFont="1" applyBorder="1" applyAlignment="1" applyProtection="1">
      <alignment horizontal="center" vertical="center" wrapText="1"/>
      <protection locked="0"/>
    </xf>
    <xf numFmtId="0" fontId="20" fillId="0" borderId="8" xfId="0" applyFont="1" applyBorder="1" applyAlignment="1" applyProtection="1">
      <alignment horizontal="center" vertical="center" wrapText="1"/>
      <protection hidden="1"/>
    </xf>
    <xf numFmtId="0" fontId="30" fillId="0" borderId="30" xfId="0" applyFont="1" applyBorder="1" applyAlignment="1" applyProtection="1">
      <alignment horizontal="center" vertical="center" wrapText="1"/>
      <protection hidden="1"/>
    </xf>
    <xf numFmtId="0" fontId="30" fillId="0" borderId="33" xfId="0" applyFont="1" applyBorder="1" applyAlignment="1" applyProtection="1">
      <alignment horizontal="center" vertical="center" wrapText="1"/>
      <protection hidden="1"/>
    </xf>
    <xf numFmtId="0" fontId="30" fillId="0" borderId="29" xfId="0" applyFont="1" applyBorder="1" applyAlignment="1" applyProtection="1">
      <alignment horizontal="center" vertical="center" wrapText="1"/>
      <protection hidden="1"/>
    </xf>
    <xf numFmtId="0" fontId="20" fillId="0" borderId="14" xfId="0" applyFont="1" applyBorder="1" applyAlignment="1" applyProtection="1">
      <alignment horizontal="center" vertical="center" wrapText="1"/>
      <protection hidden="1"/>
    </xf>
    <xf numFmtId="43" fontId="20" fillId="0" borderId="5" xfId="0" applyNumberFormat="1" applyFont="1" applyBorder="1" applyAlignment="1" applyProtection="1">
      <alignment horizontal="center" vertical="center" wrapText="1"/>
      <protection hidden="1"/>
    </xf>
    <xf numFmtId="0" fontId="30" fillId="0" borderId="34" xfId="0" applyFont="1" applyBorder="1" applyAlignment="1" applyProtection="1">
      <alignment horizontal="center" vertical="center" wrapText="1"/>
      <protection hidden="1"/>
    </xf>
    <xf numFmtId="0" fontId="30" fillId="0" borderId="24" xfId="0" applyFont="1" applyBorder="1" applyAlignment="1" applyProtection="1">
      <alignment horizontal="center" vertical="center" wrapText="1"/>
      <protection hidden="1"/>
    </xf>
    <xf numFmtId="0" fontId="30" fillId="0" borderId="28" xfId="0" applyFont="1" applyBorder="1" applyAlignment="1" applyProtection="1">
      <alignment horizontal="center" vertical="center" wrapText="1"/>
      <protection hidden="1"/>
    </xf>
    <xf numFmtId="0" fontId="30" fillId="0" borderId="32" xfId="0" applyFont="1" applyBorder="1" applyAlignment="1" applyProtection="1">
      <alignment horizontal="center" vertical="center" wrapText="1"/>
      <protection hidden="1"/>
    </xf>
    <xf numFmtId="0" fontId="30" fillId="0" borderId="27" xfId="0" applyFont="1" applyBorder="1" applyAlignment="1" applyProtection="1">
      <alignment horizontal="center" vertical="center" wrapText="1"/>
      <protection hidden="1"/>
    </xf>
    <xf numFmtId="0" fontId="20" fillId="0" borderId="30" xfId="0" applyFont="1" applyBorder="1" applyAlignment="1">
      <alignment horizontal="center" vertical="center" wrapText="1"/>
    </xf>
    <xf numFmtId="0" fontId="20" fillId="0" borderId="29" xfId="0" applyFont="1" applyBorder="1" applyAlignment="1">
      <alignment horizontal="center" vertical="center" wrapText="1"/>
    </xf>
    <xf numFmtId="14" fontId="20" fillId="0" borderId="17" xfId="0" applyNumberFormat="1" applyFont="1" applyBorder="1" applyAlignment="1" applyProtection="1">
      <alignment horizontal="center" vertical="center"/>
      <protection hidden="1"/>
    </xf>
    <xf numFmtId="14" fontId="20" fillId="0" borderId="35" xfId="0" applyNumberFormat="1" applyFont="1" applyBorder="1" applyAlignment="1" applyProtection="1">
      <alignment horizontal="center" vertical="center"/>
      <protection hidden="1"/>
    </xf>
    <xf numFmtId="0" fontId="5" fillId="0" borderId="15" xfId="0" applyFont="1" applyBorder="1" applyAlignment="1" applyProtection="1">
      <alignment horizontal="center" vertical="center" wrapText="1"/>
      <protection hidden="1"/>
    </xf>
    <xf numFmtId="0" fontId="19" fillId="5" borderId="1" xfId="0" applyFont="1" applyFill="1" applyBorder="1" applyAlignment="1" applyProtection="1">
      <alignment horizontal="center" vertical="center"/>
      <protection locked="0"/>
    </xf>
    <xf numFmtId="0" fontId="19" fillId="5" borderId="6" xfId="0" applyFont="1" applyFill="1" applyBorder="1" applyAlignment="1" applyProtection="1">
      <alignment horizontal="center" vertical="center"/>
      <protection locked="0"/>
    </xf>
    <xf numFmtId="0" fontId="19" fillId="4" borderId="50" xfId="0" applyFont="1" applyFill="1" applyBorder="1" applyAlignment="1" applyProtection="1">
      <alignment horizontal="center" vertical="center"/>
      <protection locked="0"/>
    </xf>
    <xf numFmtId="0" fontId="19" fillId="4" borderId="51" xfId="0" applyFont="1" applyFill="1" applyBorder="1" applyAlignment="1" applyProtection="1">
      <alignment horizontal="center" vertical="center"/>
      <protection locked="0"/>
    </xf>
    <xf numFmtId="0" fontId="19" fillId="4" borderId="52" xfId="0" applyFont="1" applyFill="1" applyBorder="1" applyAlignment="1" applyProtection="1">
      <alignment horizontal="center" vertical="center"/>
      <protection locked="0"/>
    </xf>
    <xf numFmtId="0" fontId="20" fillId="0" borderId="5" xfId="0" applyFont="1" applyBorder="1" applyAlignment="1" applyProtection="1">
      <alignment horizontal="center" vertical="center" wrapText="1"/>
      <protection hidden="1"/>
    </xf>
    <xf numFmtId="0" fontId="19" fillId="5" borderId="20" xfId="0" applyFont="1" applyFill="1" applyBorder="1" applyAlignment="1" applyProtection="1">
      <alignment horizontal="center" vertical="center" wrapText="1"/>
      <protection locked="0"/>
    </xf>
    <xf numFmtId="0" fontId="19" fillId="5" borderId="3" xfId="0" applyFont="1" applyFill="1" applyBorder="1" applyAlignment="1" applyProtection="1">
      <alignment horizontal="center" vertical="center" wrapText="1"/>
      <protection locked="0"/>
    </xf>
    <xf numFmtId="0" fontId="19" fillId="5" borderId="2" xfId="0" applyFont="1" applyFill="1" applyBorder="1" applyAlignment="1" applyProtection="1">
      <alignment horizontal="center" vertical="center" wrapText="1"/>
      <protection locked="0"/>
    </xf>
    <xf numFmtId="0" fontId="44" fillId="0" borderId="1" xfId="0" applyFont="1" applyBorder="1" applyAlignment="1" applyProtection="1">
      <alignment horizontal="center" vertical="center"/>
      <protection hidden="1"/>
    </xf>
    <xf numFmtId="0" fontId="19" fillId="5" borderId="1" xfId="0" applyFont="1" applyFill="1" applyBorder="1" applyAlignment="1" applyProtection="1">
      <alignment horizontal="center" vertical="center" wrapText="1"/>
      <protection locked="0"/>
    </xf>
    <xf numFmtId="14" fontId="19" fillId="4" borderId="20" xfId="0" applyNumberFormat="1" applyFont="1" applyFill="1" applyBorder="1" applyAlignment="1" applyProtection="1">
      <alignment horizontal="center" vertical="center"/>
      <protection locked="0"/>
    </xf>
    <xf numFmtId="14" fontId="19" fillId="4" borderId="3" xfId="0" applyNumberFormat="1" applyFont="1" applyFill="1" applyBorder="1" applyAlignment="1" applyProtection="1">
      <alignment horizontal="center" vertical="center"/>
      <protection locked="0"/>
    </xf>
    <xf numFmtId="14" fontId="19" fillId="4" borderId="2" xfId="0" applyNumberFormat="1" applyFont="1" applyFill="1" applyBorder="1" applyAlignment="1" applyProtection="1">
      <alignment horizontal="center" vertical="center"/>
      <protection locked="0"/>
    </xf>
    <xf numFmtId="0" fontId="21" fillId="0" borderId="4" xfId="0" applyFont="1" applyBorder="1" applyAlignment="1" applyProtection="1">
      <alignment horizontal="left" vertical="center" wrapText="1"/>
      <protection hidden="1"/>
    </xf>
    <xf numFmtId="0" fontId="21" fillId="0" borderId="3" xfId="0" applyFont="1" applyBorder="1" applyAlignment="1" applyProtection="1">
      <alignment horizontal="left" vertical="center" wrapText="1"/>
      <protection hidden="1"/>
    </xf>
    <xf numFmtId="0" fontId="21" fillId="4" borderId="20" xfId="0" applyFont="1" applyFill="1" applyBorder="1" applyAlignment="1" applyProtection="1">
      <alignment horizontal="center" vertical="center" wrapText="1"/>
      <protection locked="0"/>
    </xf>
    <xf numFmtId="0" fontId="21" fillId="4" borderId="3" xfId="0" applyFont="1" applyFill="1" applyBorder="1" applyAlignment="1" applyProtection="1">
      <alignment horizontal="center" vertical="center" wrapText="1"/>
      <protection locked="0"/>
    </xf>
    <xf numFmtId="0" fontId="21" fillId="4" borderId="2" xfId="0" applyFont="1" applyFill="1" applyBorder="1" applyAlignment="1" applyProtection="1">
      <alignment horizontal="center" vertical="center" wrapText="1"/>
      <protection locked="0"/>
    </xf>
    <xf numFmtId="1" fontId="6" fillId="0" borderId="1" xfId="3" applyNumberFormat="1" applyFont="1" applyBorder="1" applyAlignment="1" applyProtection="1">
      <alignment horizontal="center" vertical="center" wrapText="1"/>
      <protection hidden="1"/>
    </xf>
    <xf numFmtId="1" fontId="6" fillId="4" borderId="20" xfId="3" applyNumberFormat="1" applyFont="1" applyFill="1" applyBorder="1" applyAlignment="1" applyProtection="1">
      <alignment horizontal="center" vertical="center" wrapText="1"/>
      <protection locked="0"/>
    </xf>
    <xf numFmtId="1" fontId="6" fillId="4" borderId="2" xfId="3" applyNumberFormat="1" applyFont="1" applyFill="1" applyBorder="1" applyAlignment="1" applyProtection="1">
      <alignment horizontal="center" vertical="center" wrapText="1"/>
      <protection locked="0"/>
    </xf>
    <xf numFmtId="0" fontId="19" fillId="4" borderId="1" xfId="0" applyFont="1" applyFill="1" applyBorder="1" applyAlignment="1" applyProtection="1">
      <alignment horizontal="center" vertical="center"/>
      <protection locked="0"/>
    </xf>
    <xf numFmtId="0" fontId="19" fillId="4" borderId="6" xfId="0" applyFont="1" applyFill="1" applyBorder="1" applyAlignment="1" applyProtection="1">
      <alignment horizontal="center" vertical="center"/>
      <protection locked="0"/>
    </xf>
    <xf numFmtId="1" fontId="6" fillId="4" borderId="3" xfId="3" applyNumberFormat="1" applyFont="1" applyFill="1" applyBorder="1" applyAlignment="1" applyProtection="1">
      <alignment horizontal="center" vertical="center" wrapText="1"/>
      <protection locked="0"/>
    </xf>
    <xf numFmtId="167" fontId="19" fillId="4" borderId="17" xfId="2" applyNumberFormat="1" applyFont="1" applyFill="1" applyBorder="1" applyAlignment="1" applyProtection="1">
      <alignment vertical="center"/>
      <protection locked="0"/>
    </xf>
    <xf numFmtId="167" fontId="19" fillId="4" borderId="1" xfId="2" applyNumberFormat="1" applyFont="1" applyFill="1" applyBorder="1" applyAlignment="1" applyProtection="1">
      <alignment vertical="center"/>
      <protection locked="0"/>
    </xf>
    <xf numFmtId="167" fontId="19" fillId="4" borderId="55" xfId="2" applyNumberFormat="1" applyFont="1" applyFill="1" applyBorder="1" applyAlignment="1" applyProtection="1">
      <alignment horizontal="center" vertical="center"/>
      <protection locked="0"/>
    </xf>
    <xf numFmtId="167" fontId="19" fillId="4" borderId="53" xfId="2" applyNumberFormat="1" applyFont="1" applyFill="1" applyBorder="1" applyAlignment="1" applyProtection="1">
      <alignment horizontal="center" vertical="center"/>
      <protection locked="0"/>
    </xf>
    <xf numFmtId="0" fontId="43" fillId="0" borderId="82" xfId="0" applyFont="1" applyBorder="1" applyAlignment="1" applyProtection="1">
      <alignment horizontal="left" vertical="center" wrapText="1"/>
      <protection hidden="1"/>
    </xf>
    <xf numFmtId="0" fontId="43" fillId="0" borderId="83" xfId="0" applyFont="1" applyBorder="1" applyAlignment="1" applyProtection="1">
      <alignment horizontal="left" vertical="center" wrapText="1"/>
      <protection hidden="1"/>
    </xf>
    <xf numFmtId="0" fontId="43" fillId="0" borderId="0" xfId="0" applyFont="1" applyAlignment="1" applyProtection="1">
      <alignment horizontal="left" vertical="center" wrapText="1"/>
      <protection hidden="1"/>
    </xf>
    <xf numFmtId="0" fontId="43" fillId="0" borderId="21" xfId="0" applyFont="1" applyBorder="1" applyAlignment="1" applyProtection="1">
      <alignment horizontal="left" vertical="center" wrapText="1"/>
      <protection hidden="1"/>
    </xf>
    <xf numFmtId="0" fontId="43" fillId="0" borderId="89" xfId="0" applyFont="1" applyBorder="1" applyAlignment="1" applyProtection="1">
      <alignment horizontal="left" vertical="center" wrapText="1"/>
      <protection hidden="1"/>
    </xf>
    <xf numFmtId="0" fontId="43" fillId="0" borderId="52" xfId="0" applyFont="1" applyBorder="1" applyAlignment="1" applyProtection="1">
      <alignment horizontal="left" vertical="center" wrapText="1"/>
      <protection hidden="1"/>
    </xf>
    <xf numFmtId="0" fontId="19" fillId="5" borderId="6" xfId="0" applyFont="1" applyFill="1" applyBorder="1" applyAlignment="1" applyProtection="1">
      <alignment horizontal="center" vertical="center" wrapText="1"/>
      <protection locked="0"/>
    </xf>
    <xf numFmtId="0" fontId="40" fillId="0" borderId="30" xfId="0" applyFont="1" applyBorder="1" applyAlignment="1" applyProtection="1">
      <alignment horizontal="center" vertical="center" wrapText="1"/>
      <protection hidden="1"/>
    </xf>
    <xf numFmtId="0" fontId="40" fillId="0" borderId="33" xfId="0" applyFont="1" applyBorder="1" applyAlignment="1" applyProtection="1">
      <alignment horizontal="center" vertical="center" wrapText="1"/>
      <protection hidden="1"/>
    </xf>
    <xf numFmtId="0" fontId="40" fillId="0" borderId="29" xfId="0" applyFont="1" applyBorder="1" applyAlignment="1" applyProtection="1">
      <alignment horizontal="center" vertical="center" wrapText="1"/>
      <protection hidden="1"/>
    </xf>
    <xf numFmtId="0" fontId="21" fillId="0" borderId="11" xfId="0" applyFont="1" applyBorder="1" applyAlignment="1" applyProtection="1">
      <alignment horizontal="left" vertical="center" wrapText="1"/>
      <protection hidden="1"/>
    </xf>
    <xf numFmtId="0" fontId="21" fillId="0" borderId="53" xfId="0" applyFont="1" applyBorder="1" applyAlignment="1" applyProtection="1">
      <alignment horizontal="left" vertical="center" wrapText="1"/>
      <protection hidden="1"/>
    </xf>
    <xf numFmtId="0" fontId="19" fillId="0" borderId="55" xfId="0" applyFont="1" applyBorder="1" applyAlignment="1" applyProtection="1">
      <alignment horizontal="left" vertical="center" wrapText="1"/>
      <protection locked="0"/>
    </xf>
    <xf numFmtId="0" fontId="31" fillId="0" borderId="30" xfId="0" applyFont="1" applyBorder="1" applyAlignment="1" applyProtection="1">
      <alignment horizontal="center" vertical="center" wrapText="1"/>
      <protection hidden="1"/>
    </xf>
    <xf numFmtId="0" fontId="31" fillId="0" borderId="33" xfId="0" applyFont="1" applyBorder="1" applyAlignment="1" applyProtection="1">
      <alignment horizontal="center" vertical="center" wrapText="1"/>
      <protection hidden="1"/>
    </xf>
    <xf numFmtId="0" fontId="31" fillId="0" borderId="29" xfId="0" applyFont="1" applyBorder="1" applyAlignment="1" applyProtection="1">
      <alignment horizontal="center" vertical="center" wrapText="1"/>
      <protection hidden="1"/>
    </xf>
    <xf numFmtId="0" fontId="21" fillId="0" borderId="79" xfId="0" applyFont="1" applyBorder="1" applyAlignment="1" applyProtection="1">
      <alignment horizontal="center" vertical="center"/>
      <protection hidden="1"/>
    </xf>
    <xf numFmtId="0" fontId="21" fillId="0" borderId="12" xfId="0" applyFont="1" applyBorder="1" applyAlignment="1" applyProtection="1">
      <alignment horizontal="center" vertical="center"/>
      <protection hidden="1"/>
    </xf>
    <xf numFmtId="0" fontId="21" fillId="0" borderId="28" xfId="0" applyFont="1" applyBorder="1" applyAlignment="1" applyProtection="1">
      <alignment horizontal="center" vertical="center" wrapText="1"/>
      <protection hidden="1"/>
    </xf>
    <xf numFmtId="0" fontId="21" fillId="0" borderId="32" xfId="0" applyFont="1" applyBorder="1" applyAlignment="1" applyProtection="1">
      <alignment horizontal="center" vertical="center" wrapText="1"/>
      <protection hidden="1"/>
    </xf>
    <xf numFmtId="0" fontId="21" fillId="0" borderId="27" xfId="0" applyFont="1" applyBorder="1" applyAlignment="1" applyProtection="1">
      <alignment horizontal="center" vertical="center" wrapText="1"/>
      <protection hidden="1"/>
    </xf>
    <xf numFmtId="0" fontId="21" fillId="0" borderId="9" xfId="0" applyFont="1" applyBorder="1" applyAlignment="1" applyProtection="1">
      <alignment horizontal="center" vertical="center" wrapText="1"/>
      <protection hidden="1"/>
    </xf>
    <xf numFmtId="0" fontId="21" fillId="0" borderId="8" xfId="0" applyFont="1" applyBorder="1" applyAlignment="1" applyProtection="1">
      <alignment horizontal="center" vertical="center" wrapText="1"/>
      <protection hidden="1"/>
    </xf>
    <xf numFmtId="0" fontId="19" fillId="5" borderId="8" xfId="0" applyFont="1" applyFill="1" applyBorder="1" applyAlignment="1" applyProtection="1">
      <alignment horizontal="center" vertical="center"/>
      <protection locked="0"/>
    </xf>
    <xf numFmtId="0" fontId="19" fillId="5" borderId="7" xfId="0" applyFont="1" applyFill="1" applyBorder="1" applyAlignment="1" applyProtection="1">
      <alignment horizontal="center" vertical="center"/>
      <protection locked="0"/>
    </xf>
    <xf numFmtId="0" fontId="21" fillId="0" borderId="20" xfId="0" applyFont="1" applyBorder="1" applyAlignment="1" applyProtection="1">
      <alignment horizontal="center" vertical="center" wrapText="1"/>
      <protection hidden="1"/>
    </xf>
    <xf numFmtId="0" fontId="21" fillId="0" borderId="2" xfId="0" applyFont="1" applyBorder="1" applyAlignment="1" applyProtection="1">
      <alignment horizontal="center" vertical="center" wrapText="1"/>
      <protection hidden="1"/>
    </xf>
    <xf numFmtId="0" fontId="44" fillId="12" borderId="20" xfId="0" applyFont="1" applyFill="1" applyBorder="1" applyAlignment="1" applyProtection="1">
      <alignment horizontal="center" vertical="center"/>
      <protection hidden="1"/>
    </xf>
    <xf numFmtId="0" fontId="44" fillId="12" borderId="3" xfId="0" applyFont="1" applyFill="1" applyBorder="1" applyAlignment="1" applyProtection="1">
      <alignment horizontal="center" vertical="center"/>
      <protection hidden="1"/>
    </xf>
    <xf numFmtId="0" fontId="49" fillId="0" borderId="1" xfId="0" applyFont="1" applyBorder="1" applyAlignment="1" applyProtection="1">
      <alignment horizontal="center" vertical="center" wrapText="1"/>
      <protection hidden="1"/>
    </xf>
    <xf numFmtId="0" fontId="49" fillId="0" borderId="3" xfId="0" applyFont="1" applyBorder="1" applyAlignment="1" applyProtection="1">
      <alignment horizontal="center" vertical="center" wrapText="1"/>
      <protection hidden="1"/>
    </xf>
    <xf numFmtId="0" fontId="49" fillId="0" borderId="2" xfId="0" applyFont="1" applyBorder="1" applyAlignment="1" applyProtection="1">
      <alignment horizontal="center" vertical="center" wrapText="1"/>
      <protection hidden="1"/>
    </xf>
    <xf numFmtId="0" fontId="20" fillId="0" borderId="20" xfId="0" applyFont="1" applyBorder="1" applyAlignment="1" applyProtection="1">
      <alignment horizontal="center" vertical="center"/>
      <protection hidden="1"/>
    </xf>
    <xf numFmtId="0" fontId="20" fillId="0" borderId="3" xfId="0" applyFont="1" applyBorder="1" applyAlignment="1" applyProtection="1">
      <alignment horizontal="center" vertical="center"/>
      <protection hidden="1"/>
    </xf>
    <xf numFmtId="0" fontId="20" fillId="0" borderId="2" xfId="0" applyFont="1" applyBorder="1" applyAlignment="1" applyProtection="1">
      <alignment horizontal="center" vertical="center"/>
      <protection hidden="1"/>
    </xf>
    <xf numFmtId="165" fontId="16" fillId="2" borderId="71" xfId="5" applyNumberFormat="1" applyFont="1" applyFill="1" applyBorder="1" applyAlignment="1">
      <alignment horizontal="center" vertical="center"/>
    </xf>
    <xf numFmtId="165" fontId="16" fillId="2" borderId="60" xfId="5" applyNumberFormat="1" applyFont="1" applyFill="1" applyBorder="1" applyAlignment="1">
      <alignment horizontal="center" vertical="center"/>
    </xf>
    <xf numFmtId="165" fontId="16" fillId="2" borderId="61" xfId="5" applyNumberFormat="1" applyFont="1" applyFill="1" applyBorder="1" applyAlignment="1">
      <alignment horizontal="center" vertical="center"/>
    </xf>
    <xf numFmtId="0" fontId="32" fillId="2" borderId="71" xfId="5" applyFont="1" applyFill="1" applyBorder="1" applyAlignment="1">
      <alignment horizontal="center" vertical="center"/>
    </xf>
    <xf numFmtId="0" fontId="32" fillId="2" borderId="60" xfId="5" applyFont="1" applyFill="1" applyBorder="1" applyAlignment="1">
      <alignment horizontal="center" vertical="center"/>
    </xf>
    <xf numFmtId="0" fontId="32" fillId="2" borderId="61" xfId="5" applyFont="1" applyFill="1" applyBorder="1" applyAlignment="1">
      <alignment horizontal="center" vertical="center"/>
    </xf>
    <xf numFmtId="0" fontId="16" fillId="2" borderId="71" xfId="5" applyFont="1" applyFill="1" applyBorder="1" applyAlignment="1">
      <alignment horizontal="center" vertical="center"/>
    </xf>
    <xf numFmtId="0" fontId="16" fillId="2" borderId="60" xfId="5" applyFont="1" applyFill="1" applyBorder="1" applyAlignment="1">
      <alignment horizontal="center" vertical="center"/>
    </xf>
    <xf numFmtId="0" fontId="16" fillId="2" borderId="62" xfId="5" applyFont="1" applyFill="1" applyBorder="1" applyAlignment="1" applyProtection="1">
      <alignment horizontal="center" vertical="center"/>
      <protection hidden="1"/>
    </xf>
    <xf numFmtId="0" fontId="33" fillId="2" borderId="72" xfId="5" applyFont="1" applyFill="1" applyBorder="1" applyAlignment="1">
      <alignment horizontal="center" vertical="center" wrapText="1"/>
    </xf>
    <xf numFmtId="0" fontId="33" fillId="2" borderId="73" xfId="5" applyFont="1" applyFill="1" applyBorder="1" applyAlignment="1">
      <alignment horizontal="center" vertical="center" wrapText="1"/>
    </xf>
    <xf numFmtId="0" fontId="33" fillId="2" borderId="74" xfId="5" applyFont="1" applyFill="1" applyBorder="1" applyAlignment="1">
      <alignment horizontal="center" vertical="center" wrapText="1"/>
    </xf>
    <xf numFmtId="0" fontId="33" fillId="2" borderId="75" xfId="5" applyFont="1" applyFill="1" applyBorder="1" applyAlignment="1">
      <alignment horizontal="center" vertical="center" wrapText="1"/>
    </xf>
    <xf numFmtId="0" fontId="34" fillId="2" borderId="71" xfId="5" applyFont="1" applyFill="1" applyBorder="1" applyAlignment="1" applyProtection="1">
      <alignment horizontal="center" vertical="center"/>
      <protection hidden="1"/>
    </xf>
    <xf numFmtId="0" fontId="34" fillId="2" borderId="61" xfId="5" applyFont="1" applyFill="1" applyBorder="1" applyAlignment="1" applyProtection="1">
      <alignment horizontal="center" vertical="center"/>
      <protection hidden="1"/>
    </xf>
    <xf numFmtId="0" fontId="34" fillId="2" borderId="60" xfId="5" applyFont="1" applyFill="1" applyBorder="1" applyAlignment="1" applyProtection="1">
      <alignment horizontal="center" vertical="center"/>
      <protection hidden="1"/>
    </xf>
    <xf numFmtId="0" fontId="3" fillId="0" borderId="40" xfId="4" applyFont="1" applyBorder="1" applyAlignment="1" applyProtection="1">
      <alignment horizontal="center" vertical="center" wrapText="1"/>
      <protection locked="0"/>
    </xf>
    <xf numFmtId="0" fontId="3" fillId="0" borderId="50" xfId="4" applyFont="1" applyBorder="1" applyAlignment="1" applyProtection="1">
      <alignment horizontal="center" vertical="center" wrapText="1"/>
      <protection locked="0"/>
    </xf>
    <xf numFmtId="14" fontId="15" fillId="0" borderId="84" xfId="5" applyNumberFormat="1" applyFont="1" applyBorder="1" applyAlignment="1" applyProtection="1">
      <alignment horizontal="center"/>
      <protection locked="0"/>
    </xf>
    <xf numFmtId="14" fontId="15" fillId="0" borderId="50" xfId="5" applyNumberFormat="1" applyFont="1" applyBorder="1" applyAlignment="1" applyProtection="1">
      <alignment horizontal="center"/>
      <protection locked="0"/>
    </xf>
    <xf numFmtId="14" fontId="3" fillId="0" borderId="54" xfId="4" applyNumberFormat="1" applyFont="1" applyBorder="1" applyAlignment="1" applyProtection="1">
      <alignment horizontal="center" vertical="center" wrapText="1"/>
      <protection locked="0"/>
    </xf>
    <xf numFmtId="14" fontId="3" fillId="0" borderId="51" xfId="4" applyNumberFormat="1" applyFont="1" applyBorder="1" applyAlignment="1" applyProtection="1">
      <alignment horizontal="center" vertical="center" wrapText="1"/>
      <protection locked="0"/>
    </xf>
    <xf numFmtId="14" fontId="15" fillId="0" borderId="85" xfId="5" applyNumberFormat="1" applyFont="1" applyBorder="1" applyAlignment="1" applyProtection="1">
      <alignment horizontal="center"/>
      <protection locked="0"/>
    </xf>
    <xf numFmtId="14" fontId="15" fillId="0" borderId="51" xfId="5" applyNumberFormat="1" applyFont="1" applyBorder="1" applyAlignment="1" applyProtection="1">
      <alignment horizontal="center"/>
      <protection locked="0"/>
    </xf>
    <xf numFmtId="0" fontId="5" fillId="0" borderId="0" xfId="0" applyFont="1" applyAlignment="1" applyProtection="1">
      <alignment horizontal="center"/>
      <protection hidden="1"/>
    </xf>
    <xf numFmtId="0" fontId="26" fillId="0" borderId="30" xfId="0" applyFont="1" applyBorder="1" applyAlignment="1" applyProtection="1">
      <alignment horizontal="center"/>
      <protection hidden="1"/>
    </xf>
    <xf numFmtId="0" fontId="26" fillId="0" borderId="29" xfId="0" applyFont="1" applyBorder="1" applyAlignment="1" applyProtection="1">
      <alignment horizontal="center"/>
      <protection hidden="1"/>
    </xf>
    <xf numFmtId="0" fontId="26" fillId="0" borderId="33" xfId="0" applyFont="1" applyBorder="1" applyAlignment="1" applyProtection="1">
      <alignment horizontal="center"/>
      <protection hidden="1"/>
    </xf>
    <xf numFmtId="0" fontId="26" fillId="0" borderId="30" xfId="0" applyFont="1" applyBorder="1" applyAlignment="1" applyProtection="1">
      <alignment horizontal="center" vertical="center"/>
      <protection hidden="1"/>
    </xf>
    <xf numFmtId="0" fontId="26" fillId="0" borderId="29" xfId="0" applyFont="1" applyBorder="1" applyAlignment="1" applyProtection="1">
      <alignment horizontal="center" vertical="center"/>
      <protection hidden="1"/>
    </xf>
    <xf numFmtId="0" fontId="24" fillId="0" borderId="37" xfId="0" applyFont="1" applyBorder="1" applyAlignment="1" applyProtection="1">
      <alignment horizontal="center" wrapText="1"/>
      <protection hidden="1"/>
    </xf>
    <xf numFmtId="0" fontId="24" fillId="0" borderId="36" xfId="0" applyFont="1" applyBorder="1" applyAlignment="1" applyProtection="1">
      <alignment horizontal="center" wrapText="1"/>
      <protection hidden="1"/>
    </xf>
    <xf numFmtId="0" fontId="24" fillId="0" borderId="45" xfId="0" applyFont="1" applyBorder="1" applyAlignment="1" applyProtection="1">
      <alignment horizontal="center" wrapText="1"/>
      <protection hidden="1"/>
    </xf>
    <xf numFmtId="0" fontId="6" fillId="0" borderId="18" xfId="0" applyFont="1" applyBorder="1" applyAlignment="1" applyProtection="1">
      <alignment horizontal="center"/>
      <protection hidden="1"/>
    </xf>
    <xf numFmtId="0" fontId="6" fillId="0" borderId="57" xfId="0" applyFont="1" applyBorder="1" applyAlignment="1" applyProtection="1">
      <alignment horizontal="center"/>
      <protection hidden="1"/>
    </xf>
    <xf numFmtId="0" fontId="26" fillId="0" borderId="47" xfId="0" applyFont="1" applyBorder="1" applyAlignment="1" applyProtection="1">
      <alignment horizontal="center"/>
      <protection hidden="1"/>
    </xf>
    <xf numFmtId="0" fontId="26" fillId="0" borderId="49" xfId="0" applyFont="1" applyBorder="1" applyAlignment="1" applyProtection="1">
      <alignment horizontal="center"/>
      <protection hidden="1"/>
    </xf>
    <xf numFmtId="0" fontId="26" fillId="0" borderId="28" xfId="0" applyFont="1" applyBorder="1" applyAlignment="1" applyProtection="1">
      <alignment horizontal="center"/>
      <protection hidden="1"/>
    </xf>
    <xf numFmtId="0" fontId="26" fillId="0" borderId="32" xfId="0" applyFont="1" applyBorder="1" applyAlignment="1" applyProtection="1">
      <alignment horizontal="center"/>
      <protection hidden="1"/>
    </xf>
    <xf numFmtId="0" fontId="26" fillId="0" borderId="27" xfId="0" applyFont="1" applyBorder="1" applyAlignment="1" applyProtection="1">
      <alignment horizontal="center"/>
      <protection hidden="1"/>
    </xf>
    <xf numFmtId="0" fontId="26" fillId="0" borderId="28" xfId="0" applyFont="1" applyBorder="1" applyAlignment="1" applyProtection="1">
      <alignment horizontal="center" vertical="center"/>
      <protection hidden="1"/>
    </xf>
    <xf numFmtId="0" fontId="26" fillId="0" borderId="27" xfId="0" applyFont="1" applyBorder="1" applyAlignment="1" applyProtection="1">
      <alignment horizontal="center" vertical="center"/>
      <protection hidden="1"/>
    </xf>
    <xf numFmtId="14" fontId="26" fillId="0" borderId="30" xfId="0" applyNumberFormat="1" applyFont="1" applyBorder="1" applyAlignment="1" applyProtection="1">
      <alignment horizontal="center"/>
      <protection hidden="1"/>
    </xf>
    <xf numFmtId="14" fontId="26" fillId="0" borderId="29" xfId="0" applyNumberFormat="1" applyFont="1" applyBorder="1" applyAlignment="1" applyProtection="1">
      <alignment horizontal="center"/>
      <protection hidden="1"/>
    </xf>
    <xf numFmtId="0" fontId="24" fillId="0" borderId="26" xfId="0" applyFont="1" applyBorder="1" applyAlignment="1" applyProtection="1">
      <alignment horizontal="center"/>
      <protection hidden="1"/>
    </xf>
    <xf numFmtId="0" fontId="24" fillId="0" borderId="21" xfId="0" applyFont="1" applyBorder="1" applyAlignment="1" applyProtection="1">
      <alignment horizontal="center"/>
      <protection hidden="1"/>
    </xf>
    <xf numFmtId="0" fontId="24" fillId="0" borderId="80" xfId="0" applyFont="1" applyBorder="1" applyAlignment="1" applyProtection="1">
      <alignment horizontal="center"/>
      <protection hidden="1"/>
    </xf>
    <xf numFmtId="0" fontId="24" fillId="0" borderId="32" xfId="0" applyFont="1" applyBorder="1" applyAlignment="1" applyProtection="1">
      <alignment horizontal="center"/>
      <protection hidden="1"/>
    </xf>
    <xf numFmtId="0" fontId="26" fillId="9" borderId="30" xfId="0" applyFont="1" applyFill="1" applyBorder="1" applyAlignment="1" applyProtection="1">
      <alignment horizontal="center"/>
      <protection hidden="1"/>
    </xf>
    <xf numFmtId="0" fontId="26" fillId="9" borderId="29" xfId="0" applyFont="1" applyFill="1" applyBorder="1" applyAlignment="1" applyProtection="1">
      <alignment horizontal="center"/>
      <protection hidden="1"/>
    </xf>
    <xf numFmtId="0" fontId="24" fillId="0" borderId="25" xfId="0" applyFont="1" applyBorder="1" applyAlignment="1" applyProtection="1">
      <alignment horizontal="right"/>
      <protection hidden="1"/>
    </xf>
    <xf numFmtId="0" fontId="24" fillId="0" borderId="34" xfId="0" applyFont="1" applyBorder="1" applyAlignment="1" applyProtection="1">
      <alignment horizontal="right"/>
      <protection hidden="1"/>
    </xf>
    <xf numFmtId="0" fontId="26" fillId="0" borderId="9" xfId="0" applyFont="1" applyBorder="1" applyAlignment="1" applyProtection="1">
      <alignment horizontal="center"/>
      <protection hidden="1"/>
    </xf>
    <xf numFmtId="0" fontId="26" fillId="0" borderId="7" xfId="0" applyFont="1" applyBorder="1" applyAlignment="1" applyProtection="1">
      <alignment horizontal="center"/>
      <protection hidden="1"/>
    </xf>
    <xf numFmtId="0" fontId="26" fillId="0" borderId="25" xfId="0" applyFont="1" applyBorder="1" applyAlignment="1" applyProtection="1">
      <alignment horizontal="center"/>
      <protection hidden="1"/>
    </xf>
    <xf numFmtId="0" fontId="26" fillId="0" borderId="24" xfId="0" applyFont="1" applyBorder="1" applyAlignment="1" applyProtection="1">
      <alignment horizontal="center"/>
      <protection hidden="1"/>
    </xf>
    <xf numFmtId="0" fontId="24" fillId="0" borderId="26" xfId="0" applyFont="1" applyBorder="1" applyAlignment="1" applyProtection="1">
      <alignment horizontal="right"/>
      <protection hidden="1"/>
    </xf>
    <xf numFmtId="0" fontId="24" fillId="0" borderId="0" xfId="0" applyFont="1" applyAlignment="1" applyProtection="1">
      <alignment horizontal="right"/>
      <protection hidden="1"/>
    </xf>
    <xf numFmtId="0" fontId="24" fillId="0" borderId="24" xfId="0" applyFont="1" applyBorder="1" applyAlignment="1" applyProtection="1">
      <alignment horizontal="right"/>
      <protection hidden="1"/>
    </xf>
    <xf numFmtId="0" fontId="26" fillId="6" borderId="28" xfId="7" applyFont="1" applyFill="1" applyBorder="1" applyAlignment="1" applyProtection="1">
      <alignment horizontal="left"/>
      <protection hidden="1"/>
    </xf>
    <xf numFmtId="0" fontId="26" fillId="6" borderId="32" xfId="7" applyFont="1" applyFill="1" applyBorder="1" applyAlignment="1" applyProtection="1">
      <alignment horizontal="left"/>
      <protection hidden="1"/>
    </xf>
    <xf numFmtId="0" fontId="26" fillId="6" borderId="27" xfId="7" applyFont="1" applyFill="1" applyBorder="1" applyAlignment="1" applyProtection="1">
      <alignment horizontal="left"/>
      <protection hidden="1"/>
    </xf>
    <xf numFmtId="0" fontId="0" fillId="0" borderId="28" xfId="0" applyBorder="1" applyAlignment="1">
      <alignment horizontal="center"/>
    </xf>
    <xf numFmtId="0" fontId="0" fillId="0" borderId="32" xfId="0" applyBorder="1" applyAlignment="1">
      <alignment horizontal="center"/>
    </xf>
    <xf numFmtId="0" fontId="0" fillId="0" borderId="27" xfId="0" applyBorder="1" applyAlignment="1">
      <alignment horizontal="center"/>
    </xf>
    <xf numFmtId="0" fontId="0" fillId="0" borderId="26" xfId="0" applyBorder="1" applyAlignment="1">
      <alignment horizontal="center"/>
    </xf>
    <xf numFmtId="0" fontId="0" fillId="0" borderId="0" xfId="0" applyAlignment="1">
      <alignment horizontal="center"/>
    </xf>
    <xf numFmtId="0" fontId="14" fillId="0" borderId="0" xfId="0" applyFont="1" applyAlignment="1">
      <alignment horizontal="center" vertical="center"/>
    </xf>
    <xf numFmtId="0" fontId="14" fillId="0" borderId="32" xfId="0" applyFont="1" applyBorder="1" applyAlignment="1">
      <alignment horizontal="center" vertical="center"/>
    </xf>
    <xf numFmtId="1" fontId="6" fillId="4" borderId="7" xfId="3" quotePrefix="1" applyNumberFormat="1" applyFont="1" applyFill="1" applyBorder="1" applyAlignment="1" applyProtection="1">
      <alignment vertical="center"/>
      <protection locked="0"/>
    </xf>
  </cellXfs>
  <cellStyles count="11">
    <cellStyle name="Collegamento ipertestuale" xfId="10" builtinId="8"/>
    <cellStyle name="Excel Built-in Normal" xfId="1" xr:uid="{00000000-0005-0000-0000-000001000000}"/>
    <cellStyle name="Migliaia" xfId="2" builtinId="3"/>
    <cellStyle name="Normale" xfId="0" builtinId="0"/>
    <cellStyle name="Normale 2" xfId="3" xr:uid="{00000000-0005-0000-0000-000004000000}"/>
    <cellStyle name="Normale 3" xfId="4" xr:uid="{00000000-0005-0000-0000-000005000000}"/>
    <cellStyle name="Normale 4" xfId="5" xr:uid="{00000000-0005-0000-0000-000006000000}"/>
    <cellStyle name="Normale 5" xfId="6" xr:uid="{00000000-0005-0000-0000-000007000000}"/>
    <cellStyle name="Normale 6" xfId="7" xr:uid="{00000000-0005-0000-0000-000008000000}"/>
    <cellStyle name="Percentuale" xfId="8" builtinId="5"/>
    <cellStyle name="Valuta" xfId="9" builtinId="4"/>
  </cellStyles>
  <dxfs count="198">
    <dxf>
      <font>
        <color theme="0"/>
      </font>
      <fill>
        <patternFill patternType="none">
          <bgColor indexed="65"/>
        </patternFill>
      </fill>
    </dxf>
    <dxf>
      <font>
        <color theme="0"/>
      </font>
      <fill>
        <patternFill patternType="none">
          <bgColor indexed="65"/>
        </patternFill>
      </fill>
    </dxf>
    <dxf>
      <font>
        <b val="0"/>
        <i val="0"/>
        <strike val="0"/>
        <condense val="0"/>
        <extend val="0"/>
        <outline val="0"/>
        <shadow val="0"/>
        <u val="none"/>
        <vertAlign val="baseline"/>
        <sz val="9"/>
        <color theme="1"/>
        <name val="Calibri"/>
        <scheme val="none"/>
      </font>
      <numFmt numFmtId="2" formatCode="0.00"/>
      <alignment horizontal="center" vertical="bottom" textRotation="0" wrapText="0" indent="0" justifyLastLine="0" shrinkToFit="0" readingOrder="0"/>
      <border diagonalUp="0" diagonalDown="0">
        <left style="dotted">
          <color theme="6" tint="-0.24994659260841701"/>
        </left>
        <right/>
        <top/>
        <bottom/>
      </border>
      <protection locked="1" hidden="1"/>
    </dxf>
    <dxf>
      <font>
        <b val="0"/>
        <i val="0"/>
        <strike val="0"/>
        <condense val="0"/>
        <extend val="0"/>
        <outline val="0"/>
        <shadow val="0"/>
        <u val="none"/>
        <vertAlign val="baseline"/>
        <sz val="9"/>
        <color theme="1"/>
        <name val="Calibri"/>
        <scheme val="none"/>
      </font>
      <numFmt numFmtId="165" formatCode="&quot;€&quot;\ #,##0"/>
      <border diagonalUp="0" diagonalDown="0">
        <left style="dotted">
          <color theme="6" tint="-0.24994659260841701"/>
        </left>
        <right style="dotted">
          <color theme="6" tint="-0.24994659260841701"/>
        </right>
        <top/>
        <bottom/>
      </border>
      <protection locked="1" hidden="1"/>
    </dxf>
    <dxf>
      <font>
        <b val="0"/>
        <i val="0"/>
        <strike val="0"/>
        <condense val="0"/>
        <extend val="0"/>
        <outline val="0"/>
        <shadow val="0"/>
        <u val="none"/>
        <vertAlign val="baseline"/>
        <sz val="9"/>
        <color theme="1"/>
        <name val="Calibri"/>
        <scheme val="none"/>
      </font>
      <numFmt numFmtId="165" formatCode="&quot;€&quot;\ #,##0"/>
      <border diagonalUp="0" diagonalDown="0">
        <left style="dotted">
          <color theme="6" tint="-0.24994659260841701"/>
        </left>
        <right style="dotted">
          <color theme="6" tint="-0.24994659260841701"/>
        </right>
        <top/>
        <bottom/>
      </border>
      <protection locked="1" hidden="1"/>
    </dxf>
    <dxf>
      <font>
        <b val="0"/>
        <i val="0"/>
        <strike val="0"/>
        <condense val="0"/>
        <extend val="0"/>
        <outline val="0"/>
        <shadow val="0"/>
        <u val="none"/>
        <vertAlign val="baseline"/>
        <sz val="9"/>
        <color theme="1"/>
        <name val="Calibri"/>
        <scheme val="none"/>
      </font>
      <numFmt numFmtId="14" formatCode="0.00%"/>
      <border diagonalUp="0" diagonalDown="0">
        <left style="dotted">
          <color theme="6" tint="-0.24994659260841701"/>
        </left>
        <right style="dotted">
          <color theme="6" tint="-0.24994659260841701"/>
        </right>
        <top/>
        <bottom/>
      </border>
      <protection locked="0" hidden="0"/>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dotted">
          <color theme="6" tint="-0.24994659260841701"/>
        </left>
        <right style="dotted">
          <color theme="6" tint="-0.24994659260841701"/>
        </right>
        <top/>
        <bottom/>
      </border>
      <protection locked="0" hidden="0"/>
    </dxf>
    <dxf>
      <font>
        <b val="0"/>
        <i val="0"/>
        <strike val="0"/>
        <condense val="0"/>
        <extend val="0"/>
        <outline val="0"/>
        <shadow val="0"/>
        <u val="none"/>
        <vertAlign val="baseline"/>
        <sz val="9"/>
        <color theme="1"/>
        <name val="Calibri"/>
        <scheme val="none"/>
      </font>
      <numFmt numFmtId="2" formatCode="0.00"/>
      <alignment horizontal="center" vertical="bottom" textRotation="0" wrapText="0" indent="0" justifyLastLine="0" shrinkToFit="0" readingOrder="0"/>
      <border diagonalUp="0" diagonalDown="0">
        <left style="dotted">
          <color theme="6" tint="-0.24994659260841701"/>
        </left>
        <right style="dotted">
          <color theme="6" tint="-0.24994659260841701"/>
        </right>
        <top/>
        <bottom/>
      </border>
      <protection locked="0" hidden="0"/>
    </dxf>
    <dxf>
      <font>
        <b val="0"/>
        <i val="0"/>
        <strike val="0"/>
        <condense val="0"/>
        <extend val="0"/>
        <outline val="0"/>
        <shadow val="0"/>
        <u val="none"/>
        <vertAlign val="baseline"/>
        <sz val="9"/>
        <color theme="1"/>
        <name val="Calibri"/>
        <scheme val="none"/>
      </font>
      <numFmt numFmtId="165" formatCode="&quot;€&quot;\ #,##0"/>
      <border diagonalUp="0" diagonalDown="0">
        <left style="dotted">
          <color theme="6" tint="-0.24994659260841701"/>
        </left>
        <right style="dotted">
          <color theme="6" tint="-0.24994659260841701"/>
        </right>
        <top/>
        <bottom/>
      </border>
      <protection locked="0" hidden="0"/>
    </dxf>
    <dxf>
      <font>
        <b val="0"/>
        <i val="0"/>
        <strike val="0"/>
        <condense val="0"/>
        <extend val="0"/>
        <outline val="0"/>
        <shadow val="0"/>
        <u val="none"/>
        <vertAlign val="baseline"/>
        <sz val="9"/>
        <color theme="1"/>
        <name val="Calibri"/>
        <scheme val="none"/>
      </font>
      <numFmt numFmtId="165" formatCode="&quot;€&quot;\ #,##0"/>
      <border diagonalUp="0" diagonalDown="0">
        <left style="dotted">
          <color theme="6" tint="-0.24994659260841701"/>
        </left>
        <right style="dotted">
          <color theme="6" tint="-0.24994659260841701"/>
        </right>
        <top/>
        <bottom/>
      </border>
      <protection locked="0" hidden="0"/>
    </dxf>
    <dxf>
      <font>
        <b val="0"/>
        <i val="0"/>
        <strike val="0"/>
        <condense val="0"/>
        <extend val="0"/>
        <outline val="0"/>
        <shadow val="0"/>
        <u val="none"/>
        <vertAlign val="baseline"/>
        <sz val="9"/>
        <color theme="1"/>
        <name val="Calibri"/>
        <scheme val="none"/>
      </font>
      <border diagonalUp="0" diagonalDown="0">
        <left/>
        <right style="dotted">
          <color theme="6" tint="-0.24994659260841701"/>
        </right>
        <top/>
        <bottom/>
      </border>
      <protection locked="0" hidden="0"/>
    </dxf>
    <dxf>
      <font>
        <b val="0"/>
        <i val="0"/>
        <strike val="0"/>
        <condense val="0"/>
        <extend val="0"/>
        <outline val="0"/>
        <shadow val="0"/>
        <u val="none"/>
        <vertAlign val="baseline"/>
        <sz val="9"/>
        <color theme="1"/>
        <name val="Calibri"/>
        <scheme val="none"/>
      </font>
    </dxf>
    <dxf>
      <border>
        <bottom style="medium">
          <color theme="6" tint="-0.24994659260841701"/>
        </bottom>
      </border>
    </dxf>
    <dxf>
      <font>
        <b/>
        <i val="0"/>
        <strike val="0"/>
        <condense val="0"/>
        <extend val="0"/>
        <outline val="0"/>
        <shadow val="0"/>
        <u val="none"/>
        <vertAlign val="baseline"/>
        <sz val="11"/>
        <color rgb="FF0000FF"/>
        <name val="Calibri"/>
        <scheme val="none"/>
      </font>
      <fill>
        <patternFill patternType="solid">
          <bgColor theme="6" tint="0.79998168889431442"/>
        </patternFill>
      </fill>
      <alignment horizontal="center" vertical="center" textRotation="0" wrapText="0" indent="0" justifyLastLine="0" shrinkToFit="0" readingOrder="0"/>
      <border diagonalUp="0" diagonalDown="0" outline="0">
        <left style="thin">
          <color theme="6" tint="-0.24994659260841701"/>
        </left>
        <right style="thin">
          <color theme="6" tint="-0.24994659260841701"/>
        </right>
        <top/>
        <bottom/>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dxf>
    <dxf>
      <font>
        <color theme="0"/>
      </font>
      <fill>
        <patternFill>
          <bgColor theme="0"/>
        </patternFill>
      </fill>
      <border>
        <vertical/>
        <horizontal/>
      </border>
    </dxf>
    <dxf>
      <font>
        <color theme="0"/>
      </font>
      <fill>
        <patternFill patternType="none">
          <bgColor auto="1"/>
        </patternFill>
      </fill>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bgColor theme="0"/>
        </patternFill>
      </fill>
      <border>
        <vertical/>
        <horizontal/>
      </border>
    </dxf>
    <dxf>
      <font>
        <color theme="0"/>
      </font>
      <fill>
        <patternFill patternType="solid">
          <bgColor theme="0"/>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rgb="FFFF0000"/>
      </font>
    </dxf>
    <dxf>
      <font>
        <color rgb="FFFF0000"/>
      </font>
    </dxf>
    <dxf>
      <font>
        <color rgb="FFFF000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fgColor theme="0"/>
        </patternFill>
      </fill>
    </dxf>
    <dxf>
      <font>
        <color theme="0"/>
      </font>
      <fill>
        <patternFill patternType="none">
          <bgColor auto="1"/>
        </patternFill>
      </fill>
      <border>
        <vertical/>
        <horizontal/>
      </border>
    </dxf>
    <dxf>
      <font>
        <color theme="0"/>
      </font>
      <fill>
        <patternFill patternType="none">
          <bgColor auto="1"/>
        </patternFill>
      </fill>
    </dxf>
    <dxf>
      <font>
        <b/>
        <i val="0"/>
        <color rgb="FF00B050"/>
      </font>
    </dxf>
    <dxf>
      <font>
        <color theme="0"/>
      </font>
      <fill>
        <patternFill patternType="none">
          <bgColor auto="1"/>
        </patternFill>
      </fill>
    </dxf>
    <dxf>
      <font>
        <b/>
        <i val="0"/>
        <color rgb="FF00B050"/>
      </font>
    </dxf>
    <dxf>
      <font>
        <color theme="0"/>
      </font>
      <fill>
        <patternFill patternType="none">
          <bgColor auto="1"/>
        </patternFill>
      </fill>
    </dxf>
    <dxf>
      <font>
        <b/>
        <i val="0"/>
        <color rgb="FF00B050"/>
      </font>
    </dxf>
    <dxf>
      <font>
        <b/>
        <i val="0"/>
        <color rgb="FF00B050"/>
      </font>
    </dxf>
    <dxf>
      <font>
        <color theme="0"/>
      </font>
      <fill>
        <patternFill patternType="none">
          <bgColor auto="1"/>
        </patternFill>
      </fill>
    </dxf>
    <dxf>
      <font>
        <b/>
        <i val="0"/>
        <color rgb="FF00B050"/>
      </font>
    </dxf>
    <dxf>
      <font>
        <b/>
        <i val="0"/>
        <color rgb="FF00B050"/>
      </font>
    </dxf>
    <dxf>
      <font>
        <b/>
        <i val="0"/>
        <color rgb="FF00B050"/>
      </font>
    </dxf>
    <dxf>
      <font>
        <color theme="0"/>
      </font>
      <fill>
        <patternFill patternType="none">
          <bgColor auto="1"/>
        </patternFill>
      </fill>
      <border>
        <vertical/>
        <horizontal/>
      </border>
    </dxf>
    <dxf>
      <font>
        <color theme="0"/>
      </font>
      <fill>
        <patternFill patternType="none">
          <bgColor auto="1"/>
        </patternFill>
      </fill>
    </dxf>
    <dxf>
      <font>
        <color theme="0"/>
      </font>
      <fill>
        <patternFill patternType="none">
          <bgColor auto="1"/>
        </patternFill>
      </fill>
      <border>
        <vertical/>
        <horizontal/>
      </border>
    </dxf>
    <dxf>
      <font>
        <color theme="0"/>
      </font>
      <fill>
        <patternFill patternType="none">
          <bgColor auto="1"/>
        </patternFill>
      </fill>
      <border>
        <vertical/>
        <horizontal/>
      </border>
    </dxf>
    <dxf>
      <font>
        <color theme="0"/>
      </font>
      <fill>
        <patternFill patternType="none">
          <bgColor indexed="65"/>
        </pattern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bgColor theme="0"/>
        </patternFill>
      </fill>
    </dxf>
    <dxf>
      <font>
        <color theme="0"/>
      </font>
      <fill>
        <patternFill>
          <bgColor theme="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rgb="FF00B050"/>
      </font>
    </dxf>
    <dxf>
      <font>
        <color rgb="FFFF0000"/>
      </font>
    </dxf>
    <dxf>
      <font>
        <color theme="0"/>
      </font>
      <fill>
        <patternFill patternType="none">
          <bgColor indexed="65"/>
        </patternFill>
      </fill>
    </dxf>
    <dxf>
      <font>
        <color theme="0"/>
      </font>
      <fill>
        <patternFill patternType="none">
          <bgColor indexed="65"/>
        </patternFill>
      </fill>
    </dxf>
    <dxf>
      <font>
        <color theme="0"/>
      </font>
      <fill>
        <patternFill patternType="none">
          <bgColor indexed="65"/>
        </patternFill>
      </fill>
    </dxf>
    <dxf>
      <font>
        <color theme="0"/>
      </font>
      <fill>
        <patternFill patternType="none">
          <bgColor indexed="65"/>
        </patternFill>
      </fill>
    </dxf>
    <dxf>
      <font>
        <color theme="0"/>
      </font>
      <fill>
        <patternFill patternType="none">
          <bgColor indexed="65"/>
        </patternFill>
      </fill>
    </dxf>
    <dxf>
      <font>
        <color theme="0"/>
      </font>
      <fill>
        <patternFill patternType="none">
          <bgColor indexed="65"/>
        </patternFill>
      </fill>
    </dxf>
    <dxf>
      <font>
        <color theme="0"/>
      </font>
      <fill>
        <patternFill patternType="none">
          <bgColor indexed="65"/>
        </patternFill>
      </fill>
    </dxf>
    <dxf>
      <font>
        <color theme="0"/>
      </font>
      <fill>
        <patternFill patternType="none">
          <bgColor indexed="65"/>
        </patternFill>
      </fill>
    </dxf>
    <dxf>
      <font>
        <color theme="0"/>
      </font>
      <fill>
        <patternFill>
          <bgColor theme="0"/>
        </patternFill>
      </fill>
    </dxf>
    <dxf>
      <font>
        <color theme="0"/>
      </font>
      <fill>
        <patternFill patternType="none">
          <bgColor auto="1"/>
        </patternFill>
      </fill>
    </dxf>
    <dxf>
      <font>
        <color theme="0"/>
      </font>
      <fill>
        <patternFill patternType="none">
          <bgColor indexed="65"/>
        </patternFill>
      </fill>
    </dxf>
    <dxf>
      <font>
        <color rgb="FFFF0000"/>
      </font>
    </dxf>
    <dxf>
      <font>
        <b/>
        <i val="0"/>
        <color theme="0"/>
      </font>
      <fill>
        <patternFill patternType="none">
          <bgColor indexed="65"/>
        </patternFill>
      </fill>
    </dxf>
    <dxf>
      <font>
        <color theme="0"/>
      </font>
      <fill>
        <patternFill patternType="none">
          <bgColor indexed="65"/>
        </patternFill>
      </fill>
    </dxf>
    <dxf>
      <font>
        <color theme="0"/>
      </font>
      <fill>
        <patternFill patternType="none">
          <bgColor indexed="65"/>
        </patternFill>
      </fill>
    </dxf>
    <dxf>
      <font>
        <color theme="0"/>
      </font>
      <fill>
        <patternFill patternType="none">
          <bgColor indexed="65"/>
        </patternFill>
      </fill>
    </dxf>
    <dxf>
      <font>
        <color theme="0"/>
      </font>
      <fill>
        <patternFill>
          <bgColor theme="0"/>
        </patternFill>
      </fill>
    </dxf>
    <dxf>
      <font>
        <color theme="0"/>
      </font>
    </dxf>
    <dxf>
      <font>
        <color theme="0"/>
      </font>
    </dxf>
    <dxf>
      <font>
        <color theme="0"/>
      </font>
    </dxf>
    <dxf>
      <font>
        <color theme="0"/>
      </font>
      <fill>
        <patternFill patternType="none">
          <bgColor indexed="65"/>
        </patternFill>
      </fill>
    </dxf>
    <dxf>
      <font>
        <color theme="0"/>
      </font>
      <fill>
        <patternFill patternType="none">
          <bgColor auto="1"/>
        </patternFill>
      </fill>
    </dxf>
    <dxf>
      <font>
        <color theme="0"/>
      </font>
      <fill>
        <patternFill patternType="none">
          <bgColor indexed="65"/>
        </patternFill>
      </fill>
    </dxf>
    <dxf>
      <font>
        <color theme="0"/>
      </font>
      <fill>
        <patternFill patternType="none">
          <bgColor indexed="65"/>
        </patternFill>
      </fill>
    </dxf>
    <dxf>
      <font>
        <color theme="0"/>
      </font>
      <fill>
        <patternFill patternType="none">
          <bgColor indexed="65"/>
        </patternFill>
      </fill>
    </dxf>
    <dxf>
      <font>
        <color theme="0"/>
      </font>
      <fill>
        <patternFill patternType="none">
          <bgColor auto="1"/>
        </patternFill>
      </fill>
    </dxf>
    <dxf>
      <font>
        <color theme="0"/>
      </font>
      <fill>
        <patternFill patternType="none">
          <bgColor indexed="65"/>
        </patternFill>
      </fill>
    </dxf>
    <dxf>
      <font>
        <color theme="0"/>
      </font>
      <fill>
        <patternFill patternType="none">
          <bgColor indexed="65"/>
        </patternFill>
      </fill>
    </dxf>
    <dxf>
      <font>
        <color auto="1"/>
      </font>
      <fill>
        <patternFill>
          <bgColor rgb="FFFF0000"/>
        </patternFill>
      </fill>
    </dxf>
    <dxf>
      <font>
        <color theme="0"/>
      </font>
      <fill>
        <patternFill patternType="none">
          <bgColor indexed="65"/>
        </patternFill>
      </fill>
    </dxf>
    <dxf>
      <font>
        <color theme="0"/>
      </font>
      <fill>
        <patternFill patternType="none">
          <bgColor indexed="65"/>
        </patternFill>
      </fill>
    </dxf>
    <dxf>
      <fill>
        <patternFill patternType="none">
          <bgColor indexed="65"/>
        </patternFill>
      </fill>
    </dxf>
  </dxfs>
  <tableStyles count="0" defaultTableStyle="TableStyleMedium2" defaultPivotStyle="PivotStyleLight16"/>
  <colors>
    <mruColors>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473612</xdr:colOff>
          <xdr:row>2</xdr:row>
          <xdr:rowOff>48491</xdr:rowOff>
        </xdr:from>
        <xdr:to>
          <xdr:col>11</xdr:col>
          <xdr:colOff>1177529</xdr:colOff>
          <xdr:row>6</xdr:row>
          <xdr:rowOff>18357</xdr:rowOff>
        </xdr:to>
        <xdr:grpSp>
          <xdr:nvGrpSpPr>
            <xdr:cNvPr id="2" name="Gruppo 1">
              <a:extLst>
                <a:ext uri="{FF2B5EF4-FFF2-40B4-BE49-F238E27FC236}">
                  <a16:creationId xmlns:a16="http://schemas.microsoft.com/office/drawing/2014/main" id="{00000000-0008-0000-0000-000002000000}"/>
                </a:ext>
              </a:extLst>
            </xdr:cNvPr>
            <xdr:cNvGrpSpPr/>
          </xdr:nvGrpSpPr>
          <xdr:grpSpPr>
            <a:xfrm>
              <a:off x="14218098" y="431271"/>
              <a:ext cx="1309244" cy="886759"/>
              <a:chOff x="14392282" y="180974"/>
              <a:chExt cx="1381103" cy="1028696"/>
            </a:xfrm>
          </xdr:grpSpPr>
          <xdr:sp macro="" textlink="">
            <xdr:nvSpPr>
              <xdr:cNvPr id="2138" name="CommandButton1" hidden="1">
                <a:extLst>
                  <a:ext uri="{63B3BB69-23CF-44E3-9099-C40C66FF867C}">
                    <a14:compatExt spid="_x0000_s2138"/>
                  </a:ext>
                  <a:ext uri="{FF2B5EF4-FFF2-40B4-BE49-F238E27FC236}">
                    <a16:creationId xmlns:a16="http://schemas.microsoft.com/office/drawing/2014/main" id="{00000000-0008-0000-0000-00005A080000}"/>
                  </a:ext>
                </a:extLst>
              </xdr:cNvPr>
              <xdr:cNvSpPr/>
            </xdr:nvSpPr>
            <xdr:spPr bwMode="auto">
              <a:xfrm>
                <a:off x="14411311" y="180974"/>
                <a:ext cx="1362074" cy="276224"/>
              </a:xfrm>
              <a:prstGeom prst="rect">
                <a:avLst/>
              </a:prstGeom>
              <a:noFill/>
              <a:ln>
                <a:noFill/>
              </a:ln>
              <a:extLst>
                <a:ext uri="{91240B29-F687-4F45-9708-019B960494DF}">
                  <a14:hiddenLine w="9525">
                    <a:noFill/>
                    <a:miter lim="800000"/>
                    <a:headEnd/>
                    <a:tailEnd/>
                  </a14:hiddenLine>
                </a:ext>
              </a:extLst>
            </xdr:spPr>
          </xdr:sp>
          <xdr:sp macro="" textlink="">
            <xdr:nvSpPr>
              <xdr:cNvPr id="2139" name="CommandButton2" hidden="1">
                <a:extLst>
                  <a:ext uri="{63B3BB69-23CF-44E3-9099-C40C66FF867C}">
                    <a14:compatExt spid="_x0000_s2139"/>
                  </a:ext>
                  <a:ext uri="{FF2B5EF4-FFF2-40B4-BE49-F238E27FC236}">
                    <a16:creationId xmlns:a16="http://schemas.microsoft.com/office/drawing/2014/main" id="{00000000-0008-0000-0000-00005B080000}"/>
                  </a:ext>
                </a:extLst>
              </xdr:cNvPr>
              <xdr:cNvSpPr/>
            </xdr:nvSpPr>
            <xdr:spPr bwMode="auto">
              <a:xfrm>
                <a:off x="14401800" y="561975"/>
                <a:ext cx="1362075" cy="276226"/>
              </a:xfrm>
              <a:prstGeom prst="rect">
                <a:avLst/>
              </a:prstGeom>
              <a:noFill/>
              <a:ln>
                <a:noFill/>
              </a:ln>
              <a:extLst>
                <a:ext uri="{91240B29-F687-4F45-9708-019B960494DF}">
                  <a14:hiddenLine w="9525">
                    <a:noFill/>
                    <a:miter lim="800000"/>
                    <a:headEnd/>
                    <a:tailEnd/>
                  </a14:hiddenLine>
                </a:ext>
              </a:extLst>
            </xdr:spPr>
          </xdr:sp>
          <xdr:sp macro="" textlink="">
            <xdr:nvSpPr>
              <xdr:cNvPr id="2140" name="CommandButton3" hidden="1">
                <a:extLst>
                  <a:ext uri="{63B3BB69-23CF-44E3-9099-C40C66FF867C}">
                    <a14:compatExt spid="_x0000_s2140"/>
                  </a:ext>
                  <a:ext uri="{FF2B5EF4-FFF2-40B4-BE49-F238E27FC236}">
                    <a16:creationId xmlns:a16="http://schemas.microsoft.com/office/drawing/2014/main" id="{00000000-0008-0000-0000-00005C080000}"/>
                  </a:ext>
                </a:extLst>
              </xdr:cNvPr>
              <xdr:cNvSpPr/>
            </xdr:nvSpPr>
            <xdr:spPr bwMode="auto">
              <a:xfrm>
                <a:off x="14392282" y="933447"/>
                <a:ext cx="1362081" cy="276223"/>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209550</xdr:colOff>
      <xdr:row>0</xdr:row>
      <xdr:rowOff>304800</xdr:rowOff>
    </xdr:from>
    <xdr:to>
      <xdr:col>11</xdr:col>
      <xdr:colOff>269400</xdr:colOff>
      <xdr:row>4</xdr:row>
      <xdr:rowOff>238125</xdr:rowOff>
    </xdr:to>
    <xdr:sp macro="" textlink="">
      <xdr:nvSpPr>
        <xdr:cNvPr id="2" name="Rettangolo arrotondato 1">
          <a:extLst>
            <a:ext uri="{FF2B5EF4-FFF2-40B4-BE49-F238E27FC236}">
              <a16:creationId xmlns:a16="http://schemas.microsoft.com/office/drawing/2014/main" id="{00000000-0008-0000-0300-000002000000}"/>
            </a:ext>
          </a:extLst>
        </xdr:cNvPr>
        <xdr:cNvSpPr/>
      </xdr:nvSpPr>
      <xdr:spPr>
        <a:xfrm>
          <a:off x="7820025" y="304800"/>
          <a:ext cx="1279050" cy="1276350"/>
        </a:xfrm>
        <a:prstGeom prst="roundRect">
          <a:avLst>
            <a:gd name="adj" fmla="val 0"/>
          </a:avLst>
        </a:prstGeom>
        <a:solidFill>
          <a:schemeClr val="accent5">
            <a:lumMod val="50000"/>
          </a:schemeClr>
        </a:solidFill>
        <a:scene3d>
          <a:camera prst="orthographicFront"/>
          <a:lightRig rig="threePt" dir="t"/>
        </a:scene3d>
        <a:sp3d>
          <a:bevelT/>
        </a:sp3d>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endParaRPr lang="it-IT"/>
        </a:p>
      </xdr:txBody>
    </xdr:sp>
    <xdr:clientData fPrintsWithSheet="0"/>
  </xdr:twoCellAnchor>
  <xdr:twoCellAnchor>
    <xdr:from>
      <xdr:col>0</xdr:col>
      <xdr:colOff>0</xdr:colOff>
      <xdr:row>1</xdr:row>
      <xdr:rowOff>0</xdr:rowOff>
    </xdr:from>
    <xdr:to>
      <xdr:col>0</xdr:col>
      <xdr:colOff>0</xdr:colOff>
      <xdr:row>1</xdr:row>
      <xdr:rowOff>0</xdr:rowOff>
    </xdr:to>
    <xdr:cxnSp macro="">
      <xdr:nvCxnSpPr>
        <xdr:cNvPr id="3" name="Connettore 4 2">
          <a:extLst>
            <a:ext uri="{FF2B5EF4-FFF2-40B4-BE49-F238E27FC236}">
              <a16:creationId xmlns:a16="http://schemas.microsoft.com/office/drawing/2014/main" id="{00000000-0008-0000-0300-000003000000}"/>
            </a:ext>
          </a:extLst>
        </xdr:cNvPr>
        <xdr:cNvCxnSpPr/>
      </xdr:nvCxnSpPr>
      <xdr:spPr>
        <a:xfrm>
          <a:off x="0" y="400050"/>
          <a:ext cx="0" cy="0"/>
        </a:xfrm>
        <a:prstGeom prst="bentConnector3">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1</xdr:row>
      <xdr:rowOff>0</xdr:rowOff>
    </xdr:from>
    <xdr:to>
      <xdr:col>0</xdr:col>
      <xdr:colOff>0</xdr:colOff>
      <xdr:row>1</xdr:row>
      <xdr:rowOff>0</xdr:rowOff>
    </xdr:to>
    <xdr:cxnSp macro="">
      <xdr:nvCxnSpPr>
        <xdr:cNvPr id="4" name="Connettore 4 3">
          <a:extLst>
            <a:ext uri="{FF2B5EF4-FFF2-40B4-BE49-F238E27FC236}">
              <a16:creationId xmlns:a16="http://schemas.microsoft.com/office/drawing/2014/main" id="{00000000-0008-0000-0300-000004000000}"/>
            </a:ext>
          </a:extLst>
        </xdr:cNvPr>
        <xdr:cNvCxnSpPr/>
      </xdr:nvCxnSpPr>
      <xdr:spPr>
        <a:xfrm>
          <a:off x="0" y="400050"/>
          <a:ext cx="0" cy="0"/>
        </a:xfrm>
        <a:prstGeom prst="bentConnector3">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409575</xdr:colOff>
          <xdr:row>1</xdr:row>
          <xdr:rowOff>76200</xdr:rowOff>
        </xdr:from>
        <xdr:to>
          <xdr:col>11</xdr:col>
          <xdr:colOff>57150</xdr:colOff>
          <xdr:row>2</xdr:row>
          <xdr:rowOff>123825</xdr:rowOff>
        </xdr:to>
        <xdr:sp macro="" textlink="">
          <xdr:nvSpPr>
            <xdr:cNvPr id="1025" name="cmd_Diagr"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xdr:row>
          <xdr:rowOff>152400</xdr:rowOff>
        </xdr:from>
        <xdr:to>
          <xdr:col>11</xdr:col>
          <xdr:colOff>57150</xdr:colOff>
          <xdr:row>3</xdr:row>
          <xdr:rowOff>190500</xdr:rowOff>
        </xdr:to>
        <xdr:sp macro="" textlink="">
          <xdr:nvSpPr>
            <xdr:cNvPr id="1026" name="cmd_Aggmpr"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3</xdr:row>
          <xdr:rowOff>219075</xdr:rowOff>
        </xdr:from>
        <xdr:to>
          <xdr:col>11</xdr:col>
          <xdr:colOff>57150</xdr:colOff>
          <xdr:row>4</xdr:row>
          <xdr:rowOff>85725</xdr:rowOff>
        </xdr:to>
        <xdr:sp macro="" textlink="">
          <xdr:nvSpPr>
            <xdr:cNvPr id="1027" name="CommandButton21"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Gestione%20e%20Verifiche\V%20E%20R%20I%20F%20I%20C%20H%20E\FONDO%20DI%20GARANZIA\OPERAZIONI_LAVORATE_NEW_DM\Modelli\Modelli\VB_NEW.xlt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RDIM_NEW_2016_011"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Y:\z%20-%20CARTELLA%20DI%20SCAMBIO\DOMENICO\Modelli%20Excel\Sviluppo%20Nuove%20Check\20170517_VB_432608%20-%20Copi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V:\Documents%20and%20Settings\lschmid\Impostazioni%20locali\Temporary%20Internet%20Files\Content.Outlook\QKW0IDZ3\12%2007%2023%20Scheda%20Lavoro%20+%20Scoring%20201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G:\Gestione%20e%20Verifiche\V%20E%20R%20I%20F%20I%20C%20H%20E\FONDO%20DI%20GARANZIA\OPERAZIONI_LAVORATE_NEW_DM\Modelli\GESTIONE%20FONDO\Modelli\FONDO%20DI%20GARANZIA\FOGLI%20SCORING%20DEFINITIVI\130718%20Scheda%20Lavoro%20+%20Scoring%20semplificato%202010.xlt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G:\Gestione%20e%20Verifiche\V%20E%20R%20I%20F%20I%20C%20H%20E\FONDO%20DI%20GARANZIA\OPERAZIONI_LAVORATE_NEW_DM\Modelli\FONDO%20DI%20GARANZIA\FOGLI%20SCORING%20DEFINITIVI\130718%20Scheda%20Lavoro%20+%20Scoring%20semplificato%202010.xlt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ecklist"/>
      <sheetName val="Attivo"/>
      <sheetName val="Passivo"/>
      <sheetName val="ContoEco"/>
      <sheetName val="RG"/>
      <sheetName val="Fatture"/>
      <sheetName val="ParDim"/>
      <sheetName val="S.P."/>
      <sheetName val="C.E."/>
      <sheetName val="Scoringind"/>
      <sheetName val="Scoringas"/>
      <sheetName val="Scoringaut"/>
      <sheetName val="Scoringagr"/>
      <sheetName val="Checklist_OLD"/>
      <sheetName val="domini"/>
      <sheetName val="domini1"/>
      <sheetName val="domini (2)"/>
      <sheetName val="Controllo date"/>
    </sheetNames>
    <sheetDataSet>
      <sheetData sheetId="0"/>
      <sheetData sheetId="1">
        <row r="17">
          <cell r="AA17">
            <v>0</v>
          </cell>
        </row>
        <row r="33">
          <cell r="AA33">
            <v>0</v>
          </cell>
        </row>
      </sheetData>
      <sheetData sheetId="2">
        <row r="10">
          <cell r="AA10">
            <v>0</v>
          </cell>
        </row>
        <row r="37">
          <cell r="AA37">
            <v>0</v>
          </cell>
        </row>
        <row r="46">
          <cell r="AA46">
            <v>0</v>
          </cell>
        </row>
        <row r="73">
          <cell r="AA73">
            <v>0</v>
          </cell>
        </row>
      </sheetData>
      <sheetData sheetId="3" refreshError="1">
        <row r="31">
          <cell r="AA31">
            <v>300000</v>
          </cell>
        </row>
        <row r="61">
          <cell r="AA61">
            <v>0</v>
          </cell>
        </row>
      </sheetData>
      <sheetData sheetId="4" refreshError="1"/>
      <sheetData sheetId="5" refreshError="1"/>
      <sheetData sheetId="6" refreshError="1"/>
      <sheetData sheetId="7">
        <row r="5">
          <cell r="G5" t="str">
            <v/>
          </cell>
        </row>
      </sheetData>
      <sheetData sheetId="8">
        <row r="6">
          <cell r="B6">
            <v>0</v>
          </cell>
        </row>
      </sheetData>
      <sheetData sheetId="9" refreshError="1"/>
      <sheetData sheetId="10" refreshError="1"/>
      <sheetData sheetId="11" refreshError="1"/>
      <sheetData sheetId="12" refreshError="1"/>
      <sheetData sheetId="13" refreshError="1"/>
      <sheetData sheetId="14">
        <row r="2">
          <cell r="C2" t="str">
            <v>Altra Operazione</v>
          </cell>
          <cell r="E2" t="str">
            <v>Fondo 662/96</v>
          </cell>
          <cell r="I2" t="str">
            <v>Finanziamento B/T</v>
          </cell>
        </row>
        <row r="3">
          <cell r="C3" t="str">
            <v>Consolidamento Passività a breve</v>
          </cell>
          <cell r="E3" t="str">
            <v>PON</v>
          </cell>
          <cell r="I3" t="str">
            <v>Finanziamento ML/T</v>
          </cell>
        </row>
        <row r="4">
          <cell r="A4" t="str">
            <v>Microcredito</v>
          </cell>
          <cell r="C4" t="str">
            <v xml:space="preserve">Consolidamento passività a breve su stessa banca o gruppo </v>
          </cell>
          <cell r="E4" t="str">
            <v>POIN (Attrattori)</v>
          </cell>
        </row>
        <row r="5">
          <cell r="A5" t="str">
            <v>Ordinaria</v>
          </cell>
          <cell r="C5" t="str">
            <v>Esigenze di liquidità</v>
          </cell>
          <cell r="E5" t="str">
            <v>POIN (Energia)</v>
          </cell>
        </row>
        <row r="6">
          <cell r="C6" t="str">
            <v>Investimento</v>
          </cell>
        </row>
        <row r="7">
          <cell r="C7" t="str">
            <v>Investimento ed altre esigenze</v>
          </cell>
        </row>
        <row r="8">
          <cell r="C8" t="str">
            <v>Pagamento fornitori e/o acquisto scorte</v>
          </cell>
        </row>
        <row r="9">
          <cell r="C9" t="str">
            <v>Partecipazione</v>
          </cell>
        </row>
        <row r="10">
          <cell r="C10" t="str">
            <v>Prestito Partecipativo</v>
          </cell>
        </row>
        <row r="13">
          <cell r="A13" t="str">
            <v>Ok</v>
          </cell>
          <cell r="B13" t="str">
            <v>Ok</v>
          </cell>
          <cell r="C13" t="str">
            <v>Ok</v>
          </cell>
          <cell r="D13" t="str">
            <v>Ok</v>
          </cell>
          <cell r="E13" t="str">
            <v>Ok</v>
          </cell>
          <cell r="F13" t="str">
            <v>Ok</v>
          </cell>
          <cell r="G13" t="str">
            <v>Ok</v>
          </cell>
        </row>
        <row r="14">
          <cell r="A14" t="str">
            <v>No</v>
          </cell>
          <cell r="B14" t="str">
            <v>No</v>
          </cell>
          <cell r="C14" t="str">
            <v>No</v>
          </cell>
          <cell r="D14" t="str">
            <v>No</v>
          </cell>
          <cell r="E14" t="str">
            <v>No</v>
          </cell>
          <cell r="F14" t="str">
            <v>Dichiarazione
sostitutiva</v>
          </cell>
          <cell r="G14" t="str">
            <v>Dichiarazione
sostitutiva</v>
          </cell>
        </row>
        <row r="15">
          <cell r="B15" t="str">
            <v>Dichiarazione
sostitutiva</v>
          </cell>
          <cell r="C15" t="str">
            <v>Non previsto
(microcredito)</v>
          </cell>
          <cell r="D15" t="str">
            <v>Non previsto</v>
          </cell>
          <cell r="E15" t="str">
            <v>Non previsto</v>
          </cell>
          <cell r="F15" t="str">
            <v>Altro documento
(vedi note)</v>
          </cell>
          <cell r="G15" t="str">
            <v>Altro documento
(vedi note)</v>
          </cell>
        </row>
        <row r="16">
          <cell r="B16" t="str">
            <v>Altro documento
(vedi note)</v>
          </cell>
          <cell r="C16" t="str">
            <v>Non previsto
(nuova impresa)</v>
          </cell>
          <cell r="F16" t="str">
            <v>Non necessaria
"de minimis"</v>
          </cell>
          <cell r="G16" t="str">
            <v>No</v>
          </cell>
        </row>
        <row r="17">
          <cell r="F17" t="str">
            <v>No</v>
          </cell>
        </row>
        <row r="20">
          <cell r="A20" t="str">
            <v>Ok</v>
          </cell>
          <cell r="B20" t="str">
            <v>Ok</v>
          </cell>
          <cell r="C20" t="str">
            <v>Ok</v>
          </cell>
          <cell r="D20" t="str">
            <v>Ok</v>
          </cell>
          <cell r="E20" t="str">
            <v>Ok</v>
          </cell>
          <cell r="F20" t="str">
            <v>Ok</v>
          </cell>
          <cell r="G20" t="str">
            <v>Ok</v>
          </cell>
          <cell r="H20" t="str">
            <v>Ok</v>
          </cell>
        </row>
        <row r="21">
          <cell r="A21" t="str">
            <v>Dichiarazione
sostitutiva</v>
          </cell>
          <cell r="B21" t="str">
            <v>Dichiarazione
sostitutiva</v>
          </cell>
          <cell r="C21" t="str">
            <v>Non previsto</v>
          </cell>
          <cell r="D21" t="str">
            <v>Non previsto</v>
          </cell>
          <cell r="E21" t="str">
            <v>Non previsto</v>
          </cell>
          <cell r="F21" t="str">
            <v>Non previsto</v>
          </cell>
          <cell r="G21" t="str">
            <v>Non previsto</v>
          </cell>
          <cell r="H21" t="str">
            <v>Non previsto</v>
          </cell>
        </row>
        <row r="22">
          <cell r="A22" t="str">
            <v>Altro documento
(vedi note)</v>
          </cell>
          <cell r="B22" t="str">
            <v>Altro documento
(vedi note)</v>
          </cell>
          <cell r="C22" t="str">
            <v>No</v>
          </cell>
          <cell r="D22" t="str">
            <v>No</v>
          </cell>
          <cell r="E22" t="str">
            <v>No</v>
          </cell>
          <cell r="F22" t="str">
            <v>No</v>
          </cell>
          <cell r="G22" t="str">
            <v>No</v>
          </cell>
          <cell r="H22" t="str">
            <v>No</v>
          </cell>
        </row>
        <row r="23">
          <cell r="A23" t="str">
            <v>No</v>
          </cell>
          <cell r="B23" t="str">
            <v>Non previsto</v>
          </cell>
        </row>
        <row r="24">
          <cell r="A24" t="str">
            <v>Non previsto</v>
          </cell>
          <cell r="B24" t="str">
            <v>No</v>
          </cell>
        </row>
        <row r="27">
          <cell r="A27" t="str">
            <v>Ok</v>
          </cell>
          <cell r="B27" t="str">
            <v>Micro</v>
          </cell>
          <cell r="C27" t="str">
            <v>Conferma</v>
          </cell>
          <cell r="D27" t="str">
            <v>A</v>
          </cell>
          <cell r="E27" t="str">
            <v>A</v>
          </cell>
          <cell r="F27" t="str">
            <v>Giorgio Fantauzzi</v>
          </cell>
        </row>
        <row r="28">
          <cell r="A28" t="str">
            <v>Non dovuto
Mezzogiorno</v>
          </cell>
          <cell r="B28" t="str">
            <v>Piccola</v>
          </cell>
          <cell r="C28" t="str">
            <v>Presa d'atto positiva</v>
          </cell>
          <cell r="D28" t="str">
            <v>B</v>
          </cell>
          <cell r="E28" t="str">
            <v>B</v>
          </cell>
          <cell r="F28" t="str">
            <v>Angelina Ioppolo</v>
          </cell>
        </row>
        <row r="29">
          <cell r="A29" t="str">
            <v>Non dovuto
(impresa femminile)</v>
          </cell>
          <cell r="B29" t="str">
            <v>Media</v>
          </cell>
          <cell r="C29" t="str">
            <v>Presa d'atto negativa</v>
          </cell>
          <cell r="D29" t="str">
            <v>C</v>
          </cell>
          <cell r="E29" t="str">
            <v>C</v>
          </cell>
          <cell r="F29" t="str">
            <v>Francesco Leyva</v>
          </cell>
        </row>
        <row r="30">
          <cell r="A30" t="str">
            <v>Non dovuto
(autotrasporti)</v>
          </cell>
          <cell r="B30" t="str">
            <v>Grande</v>
          </cell>
          <cell r="C30" t="str">
            <v>Avvio procedimento di revoca</v>
          </cell>
          <cell r="F30" t="str">
            <v>Aldo Mancuso</v>
          </cell>
        </row>
        <row r="31">
          <cell r="A31" t="str">
            <v>Non Dovuto
Eventi sismici</v>
          </cell>
          <cell r="F31" t="str">
            <v>Rossana Sisti</v>
          </cell>
        </row>
        <row r="32">
          <cell r="A32" t="str">
            <v>Non dovuto
Contratto di rete</v>
          </cell>
        </row>
        <row r="37">
          <cell r="A37" t="str">
            <v>Ok</v>
          </cell>
          <cell r="B37" t="str">
            <v>Si</v>
          </cell>
          <cell r="C37" t="str">
            <v>Si</v>
          </cell>
          <cell r="D37" t="str">
            <v>Limitatamente alle agevolazioni concesse da MCC</v>
          </cell>
        </row>
        <row r="38">
          <cell r="A38" t="str">
            <v>No</v>
          </cell>
          <cell r="B38" t="str">
            <v>No</v>
          </cell>
          <cell r="C38" t="str">
            <v>Non applicabile</v>
          </cell>
        </row>
        <row r="45">
          <cell r="A45" t="str">
            <v>Ok</v>
          </cell>
          <cell r="D45" t="str">
            <v>Ok</v>
          </cell>
          <cell r="F45" t="str">
            <v>Ok</v>
          </cell>
          <cell r="H45" t="str">
            <v>Ok</v>
          </cell>
        </row>
        <row r="46">
          <cell r="A46" t="str">
            <v>No, op. a revoca</v>
          </cell>
          <cell r="D46" t="str">
            <v>No</v>
          </cell>
          <cell r="F46" t="str">
            <v>No</v>
          </cell>
          <cell r="H46" t="str">
            <v>No</v>
          </cell>
        </row>
        <row r="47">
          <cell r="A47" t="str">
            <v>Non verificabile</v>
          </cell>
          <cell r="D47" t="str">
            <v>Non applicabile</v>
          </cell>
          <cell r="F47" t="str">
            <v>Non applicabile</v>
          </cell>
          <cell r="H47" t="str">
            <v>Non applicabile</v>
          </cell>
        </row>
        <row r="53">
          <cell r="A53" t="str">
            <v>Si</v>
          </cell>
          <cell r="D53" t="str">
            <v>No</v>
          </cell>
        </row>
        <row r="54">
          <cell r="A54" t="str">
            <v>No</v>
          </cell>
          <cell r="D54" t="str">
            <v>Si</v>
          </cell>
        </row>
      </sheetData>
      <sheetData sheetId="15">
        <row r="2">
          <cell r="B2" t="str">
            <v>Industria e altro</v>
          </cell>
        </row>
        <row r="3">
          <cell r="B3" t="str">
            <v>Edilizia</v>
          </cell>
        </row>
        <row r="4">
          <cell r="B4" t="str">
            <v>Commercio, servizi, autotrasporto e altro</v>
          </cell>
        </row>
        <row r="5">
          <cell r="B5" t="str">
            <v>Imprese agricole</v>
          </cell>
        </row>
        <row r="6">
          <cell r="B6" t="str">
            <v>Imprese di autotrasporti</v>
          </cell>
        </row>
      </sheetData>
      <sheetData sheetId="16">
        <row r="2">
          <cell r="B2" t="str">
            <v>Imprese che presentano la voce rimanenze</v>
          </cell>
        </row>
        <row r="3">
          <cell r="B3" t="str">
            <v>Imprese che non presentano rimanenze + autotrasporti c/terzi</v>
          </cell>
        </row>
        <row r="4">
          <cell r="B4" t="str">
            <v>Imprese autotrasporti post 16.07.2012</v>
          </cell>
        </row>
      </sheetData>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Dim"/>
      <sheetName val="Checklist"/>
      <sheetName val="Attivo"/>
      <sheetName val="Passivo"/>
      <sheetName val="ContoEco"/>
      <sheetName val="RG"/>
      <sheetName val="Fatture"/>
      <sheetName val="S.P."/>
      <sheetName val="C.E."/>
      <sheetName val="Scoringind"/>
      <sheetName val="Scoringind_OLD"/>
      <sheetName val="Scoringas"/>
      <sheetName val="Scoringas_OLD"/>
      <sheetName val="Scoringaut"/>
      <sheetName val="Scoringaut_OLD"/>
      <sheetName val="Scoringagr"/>
      <sheetName val="Scoringagr_OLD"/>
      <sheetName val="domini"/>
      <sheetName val="domini1"/>
      <sheetName val="domini (2)"/>
      <sheetName val="Controllo date"/>
    </sheetNames>
    <sheetDataSet>
      <sheetData sheetId="0">
        <row r="2">
          <cell r="A2">
            <v>0</v>
          </cell>
          <cell r="B2">
            <v>0</v>
          </cell>
          <cell r="C2">
            <v>0</v>
          </cell>
          <cell r="E2">
            <v>0</v>
          </cell>
          <cell r="I2">
            <v>0</v>
          </cell>
        </row>
        <row r="3">
          <cell r="A3">
            <v>0</v>
          </cell>
          <cell r="B3" t="str">
            <v>Fatturato</v>
          </cell>
          <cell r="C3" t="str">
            <v>Attivo</v>
          </cell>
          <cell r="E3">
            <v>0</v>
          </cell>
          <cell r="I3">
            <v>0</v>
          </cell>
        </row>
        <row r="4">
          <cell r="A4" t="str">
            <v/>
          </cell>
          <cell r="B4" t="str">
            <v/>
          </cell>
          <cell r="C4" t="str">
            <v/>
          </cell>
          <cell r="E4" t="str">
            <v/>
          </cell>
        </row>
        <row r="5">
          <cell r="A5" t="str">
            <v/>
          </cell>
          <cell r="B5">
            <v>0</v>
          </cell>
          <cell r="C5">
            <v>0</v>
          </cell>
          <cell r="E5" t="str">
            <v/>
          </cell>
        </row>
        <row r="6">
          <cell r="A6" t="str">
            <v>Valori assoluti imprese Associate/Collegate</v>
          </cell>
          <cell r="B6">
            <v>0</v>
          </cell>
          <cell r="C6">
            <v>0</v>
          </cell>
          <cell r="E6">
            <v>0</v>
          </cell>
        </row>
        <row r="7">
          <cell r="A7" t="str">
            <v>Impresa</v>
          </cell>
          <cell r="C7" t="str">
            <v>Attivo</v>
          </cell>
          <cell r="E7" t="str">
            <v>Rel.</v>
          </cell>
        </row>
        <row r="8">
          <cell r="A8">
            <v>0</v>
          </cell>
          <cell r="C8">
            <v>0</v>
          </cell>
          <cell r="E8">
            <v>0</v>
          </cell>
        </row>
        <row r="9">
          <cell r="A9">
            <v>0</v>
          </cell>
          <cell r="C9">
            <v>0</v>
          </cell>
          <cell r="E9">
            <v>0</v>
          </cell>
        </row>
        <row r="10">
          <cell r="A10">
            <v>0</v>
          </cell>
          <cell r="C10">
            <v>0</v>
          </cell>
          <cell r="E10">
            <v>0</v>
          </cell>
        </row>
        <row r="11">
          <cell r="A11">
            <v>0</v>
          </cell>
          <cell r="C11">
            <v>0</v>
          </cell>
          <cell r="E11">
            <v>0</v>
          </cell>
        </row>
        <row r="12">
          <cell r="A12">
            <v>0</v>
          </cell>
          <cell r="C12">
            <v>0</v>
          </cell>
          <cell r="E12">
            <v>0</v>
          </cell>
        </row>
        <row r="13">
          <cell r="A13">
            <v>0</v>
          </cell>
          <cell r="C13">
            <v>0</v>
          </cell>
          <cell r="D13">
            <v>0</v>
          </cell>
          <cell r="E13">
            <v>0</v>
          </cell>
          <cell r="G13" t="str">
            <v/>
          </cell>
          <cell r="I13" t="str">
            <v/>
          </cell>
        </row>
        <row r="14">
          <cell r="A14">
            <v>0</v>
          </cell>
          <cell r="C14">
            <v>0</v>
          </cell>
          <cell r="D14">
            <v>0</v>
          </cell>
          <cell r="E14">
            <v>0</v>
          </cell>
          <cell r="G14" t="str">
            <v/>
          </cell>
          <cell r="I14" t="str">
            <v/>
          </cell>
        </row>
        <row r="15">
          <cell r="A15">
            <v>0</v>
          </cell>
          <cell r="C15">
            <v>0</v>
          </cell>
          <cell r="D15">
            <v>0</v>
          </cell>
          <cell r="E15">
            <v>0</v>
          </cell>
          <cell r="G15" t="str">
            <v/>
          </cell>
          <cell r="I15" t="str">
            <v/>
          </cell>
        </row>
        <row r="16">
          <cell r="A16">
            <v>0</v>
          </cell>
          <cell r="C16">
            <v>0</v>
          </cell>
          <cell r="E16">
            <v>0</v>
          </cell>
          <cell r="G16" t="str">
            <v/>
          </cell>
          <cell r="I16" t="str">
            <v/>
          </cell>
        </row>
        <row r="17">
          <cell r="A17">
            <v>0</v>
          </cell>
          <cell r="C17">
            <v>0</v>
          </cell>
          <cell r="E17">
            <v>0</v>
          </cell>
          <cell r="I17" t="str">
            <v/>
          </cell>
        </row>
        <row r="18">
          <cell r="A18">
            <v>0</v>
          </cell>
          <cell r="C18">
            <v>0</v>
          </cell>
          <cell r="E18">
            <v>0</v>
          </cell>
          <cell r="I18" t="str">
            <v/>
          </cell>
        </row>
        <row r="19">
          <cell r="A19">
            <v>0</v>
          </cell>
          <cell r="C19">
            <v>0</v>
          </cell>
          <cell r="E19">
            <v>0</v>
          </cell>
          <cell r="I19" t="str">
            <v/>
          </cell>
        </row>
        <row r="20">
          <cell r="A20">
            <v>0</v>
          </cell>
          <cell r="C20">
            <v>0</v>
          </cell>
          <cell r="E20">
            <v>0</v>
          </cell>
          <cell r="G20" t="str">
            <v/>
          </cell>
          <cell r="H20" t="str">
            <v/>
          </cell>
          <cell r="I20" t="str">
            <v/>
          </cell>
        </row>
        <row r="21">
          <cell r="A21">
            <v>0</v>
          </cell>
          <cell r="C21">
            <v>0</v>
          </cell>
          <cell r="E21">
            <v>0</v>
          </cell>
          <cell r="G21" t="str">
            <v/>
          </cell>
          <cell r="H21" t="str">
            <v/>
          </cell>
          <cell r="I21" t="str">
            <v/>
          </cell>
        </row>
        <row r="22">
          <cell r="A22">
            <v>0</v>
          </cell>
          <cell r="C22">
            <v>0</v>
          </cell>
          <cell r="E22">
            <v>0</v>
          </cell>
          <cell r="G22" t="str">
            <v/>
          </cell>
          <cell r="H22" t="str">
            <v/>
          </cell>
          <cell r="I22" t="str">
            <v/>
          </cell>
        </row>
        <row r="23">
          <cell r="A23">
            <v>0</v>
          </cell>
          <cell r="C23">
            <v>0</v>
          </cell>
          <cell r="E23">
            <v>0</v>
          </cell>
        </row>
        <row r="24">
          <cell r="A24">
            <v>0</v>
          </cell>
          <cell r="C24">
            <v>0</v>
          </cell>
          <cell r="E24">
            <v>0</v>
          </cell>
        </row>
        <row r="25">
          <cell r="A25">
            <v>0</v>
          </cell>
          <cell r="C25">
            <v>0</v>
          </cell>
          <cell r="E25">
            <v>0</v>
          </cell>
        </row>
        <row r="26">
          <cell r="A26">
            <v>0</v>
          </cell>
          <cell r="C26">
            <v>0</v>
          </cell>
          <cell r="E26">
            <v>0</v>
          </cell>
        </row>
        <row r="27">
          <cell r="A27">
            <v>0</v>
          </cell>
          <cell r="B27">
            <v>0</v>
          </cell>
          <cell r="C27">
            <v>0</v>
          </cell>
          <cell r="E27">
            <v>0</v>
          </cell>
          <cell r="F27">
            <v>0</v>
          </cell>
          <cell r="H27" t="str">
            <v/>
          </cell>
        </row>
        <row r="28">
          <cell r="A28">
            <v>0</v>
          </cell>
          <cell r="B28">
            <v>0</v>
          </cell>
          <cell r="C28">
            <v>0</v>
          </cell>
          <cell r="E28">
            <v>0</v>
          </cell>
          <cell r="F28">
            <v>0</v>
          </cell>
          <cell r="H28" t="str">
            <v/>
          </cell>
        </row>
        <row r="29">
          <cell r="A29">
            <v>0</v>
          </cell>
          <cell r="B29">
            <v>0</v>
          </cell>
          <cell r="C29">
            <v>0</v>
          </cell>
          <cell r="E29">
            <v>0</v>
          </cell>
          <cell r="F29">
            <v>0</v>
          </cell>
          <cell r="H29" t="str">
            <v/>
          </cell>
        </row>
        <row r="30">
          <cell r="A30">
            <v>0</v>
          </cell>
          <cell r="B30">
            <v>0</v>
          </cell>
          <cell r="C30">
            <v>0</v>
          </cell>
          <cell r="E30">
            <v>0</v>
          </cell>
          <cell r="F30">
            <v>0</v>
          </cell>
        </row>
        <row r="31">
          <cell r="A31">
            <v>0</v>
          </cell>
          <cell r="C31">
            <v>0</v>
          </cell>
          <cell r="E31">
            <v>0</v>
          </cell>
          <cell r="F31">
            <v>0</v>
          </cell>
        </row>
        <row r="32">
          <cell r="A32">
            <v>0</v>
          </cell>
          <cell r="C32">
            <v>0</v>
          </cell>
          <cell r="E32">
            <v>0</v>
          </cell>
          <cell r="F32">
            <v>0</v>
          </cell>
        </row>
        <row r="33">
          <cell r="A33">
            <v>0</v>
          </cell>
          <cell r="C33">
            <v>0</v>
          </cell>
          <cell r="E33">
            <v>0</v>
          </cell>
          <cell r="F33">
            <v>0</v>
          </cell>
        </row>
        <row r="34">
          <cell r="A34">
            <v>0</v>
          </cell>
          <cell r="C34">
            <v>0</v>
          </cell>
          <cell r="E34">
            <v>0</v>
          </cell>
        </row>
        <row r="35">
          <cell r="A35">
            <v>0</v>
          </cell>
          <cell r="C35">
            <v>0</v>
          </cell>
          <cell r="E35">
            <v>0</v>
          </cell>
        </row>
        <row r="36">
          <cell r="A36">
            <v>0</v>
          </cell>
          <cell r="C36">
            <v>0</v>
          </cell>
          <cell r="E36">
            <v>0</v>
          </cell>
        </row>
        <row r="37">
          <cell r="A37">
            <v>0</v>
          </cell>
          <cell r="B37">
            <v>0</v>
          </cell>
          <cell r="C37">
            <v>0</v>
          </cell>
          <cell r="E37">
            <v>0</v>
          </cell>
        </row>
        <row r="38">
          <cell r="A38">
            <v>0</v>
          </cell>
          <cell r="B38">
            <v>0</v>
          </cell>
          <cell r="C38">
            <v>0</v>
          </cell>
          <cell r="E38">
            <v>0</v>
          </cell>
        </row>
        <row r="39">
          <cell r="A39">
            <v>0</v>
          </cell>
          <cell r="C39">
            <v>0</v>
          </cell>
          <cell r="E39">
            <v>0</v>
          </cell>
        </row>
        <row r="40">
          <cell r="A40">
            <v>0</v>
          </cell>
          <cell r="C40">
            <v>0</v>
          </cell>
          <cell r="E40">
            <v>0</v>
          </cell>
        </row>
        <row r="41">
          <cell r="A41">
            <v>0</v>
          </cell>
          <cell r="C41">
            <v>0</v>
          </cell>
          <cell r="E41">
            <v>0</v>
          </cell>
        </row>
        <row r="42">
          <cell r="A42">
            <v>0</v>
          </cell>
          <cell r="C42">
            <v>0</v>
          </cell>
          <cell r="E42">
            <v>0</v>
          </cell>
        </row>
        <row r="43">
          <cell r="A43">
            <v>0</v>
          </cell>
          <cell r="C43">
            <v>0</v>
          </cell>
          <cell r="E43">
            <v>0</v>
          </cell>
        </row>
        <row r="44">
          <cell r="A44">
            <v>0</v>
          </cell>
          <cell r="C44">
            <v>0</v>
          </cell>
          <cell r="E44">
            <v>0</v>
          </cell>
        </row>
        <row r="45">
          <cell r="A45">
            <v>0</v>
          </cell>
          <cell r="C45">
            <v>0</v>
          </cell>
          <cell r="D45">
            <v>0</v>
          </cell>
          <cell r="E45">
            <v>0</v>
          </cell>
          <cell r="F45">
            <v>0</v>
          </cell>
          <cell r="H45" t="str">
            <v/>
          </cell>
        </row>
        <row r="46">
          <cell r="A46">
            <v>0</v>
          </cell>
          <cell r="C46">
            <v>0</v>
          </cell>
          <cell r="D46">
            <v>0</v>
          </cell>
          <cell r="E46">
            <v>0</v>
          </cell>
          <cell r="F46">
            <v>0</v>
          </cell>
          <cell r="H46" t="str">
            <v/>
          </cell>
        </row>
        <row r="47">
          <cell r="A47">
            <v>0</v>
          </cell>
          <cell r="C47">
            <v>0</v>
          </cell>
          <cell r="D47">
            <v>0</v>
          </cell>
          <cell r="E47">
            <v>0</v>
          </cell>
          <cell r="F47">
            <v>0</v>
          </cell>
          <cell r="H47" t="str">
            <v/>
          </cell>
        </row>
        <row r="48">
          <cell r="A48">
            <v>0</v>
          </cell>
          <cell r="C48">
            <v>0</v>
          </cell>
          <cell r="E48">
            <v>0</v>
          </cell>
        </row>
        <row r="49">
          <cell r="A49">
            <v>0</v>
          </cell>
          <cell r="C49">
            <v>0</v>
          </cell>
          <cell r="E49">
            <v>0</v>
          </cell>
        </row>
        <row r="50">
          <cell r="A50">
            <v>0</v>
          </cell>
          <cell r="C50">
            <v>0</v>
          </cell>
          <cell r="E50">
            <v>0</v>
          </cell>
        </row>
        <row r="51">
          <cell r="A51">
            <v>0</v>
          </cell>
          <cell r="C51">
            <v>0</v>
          </cell>
          <cell r="E51">
            <v>0</v>
          </cell>
        </row>
        <row r="52">
          <cell r="A52">
            <v>0</v>
          </cell>
          <cell r="C52">
            <v>0</v>
          </cell>
          <cell r="E52">
            <v>0</v>
          </cell>
        </row>
        <row r="53">
          <cell r="A53">
            <v>0</v>
          </cell>
          <cell r="D53">
            <v>0</v>
          </cell>
          <cell r="F53">
            <v>0</v>
          </cell>
          <cell r="G53" t="str">
            <v/>
          </cell>
          <cell r="I53" t="str">
            <v/>
          </cell>
        </row>
        <row r="54">
          <cell r="A54">
            <v>0</v>
          </cell>
          <cell r="D54">
            <v>0</v>
          </cell>
          <cell r="F54">
            <v>0</v>
          </cell>
          <cell r="G54" t="str">
            <v/>
          </cell>
          <cell r="I54" t="str">
            <v/>
          </cell>
        </row>
        <row r="55">
          <cell r="G55" t="str">
            <v/>
          </cell>
          <cell r="I55" t="str">
            <v/>
          </cell>
        </row>
        <row r="56">
          <cell r="G56" t="str">
            <v/>
          </cell>
        </row>
        <row r="60">
          <cell r="A60" t="str">
            <v>Istruttore: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ecklist"/>
      <sheetName val="Attivo"/>
      <sheetName val="Passivo"/>
      <sheetName val="ContoEco"/>
      <sheetName val="RG"/>
      <sheetName val="Fatture"/>
      <sheetName val="ParDim"/>
      <sheetName val="S.P."/>
      <sheetName val="C.E."/>
      <sheetName val="Scoringind"/>
      <sheetName val="Scoringind_OLD"/>
      <sheetName val="Scoringas"/>
      <sheetName val="Scoringas_OLD"/>
      <sheetName val="Scoringaut"/>
      <sheetName val="Scoringaut_OLD"/>
      <sheetName val="Scoringagr"/>
      <sheetName val="Scoringagr_OLD"/>
      <sheetName val="domini"/>
      <sheetName val="domini1"/>
      <sheetName val="domini (2)"/>
      <sheetName val="Controllo date"/>
    </sheetNames>
    <sheetDataSet>
      <sheetData sheetId="0"/>
      <sheetData sheetId="1">
        <row r="17">
          <cell r="AA17">
            <v>1410576</v>
          </cell>
        </row>
        <row r="33">
          <cell r="AA33">
            <v>878949</v>
          </cell>
        </row>
      </sheetData>
      <sheetData sheetId="2">
        <row r="10">
          <cell r="AA10">
            <v>2630</v>
          </cell>
        </row>
        <row r="37">
          <cell r="AA37">
            <v>1410576</v>
          </cell>
        </row>
        <row r="46">
          <cell r="AA46">
            <v>4204</v>
          </cell>
        </row>
        <row r="73">
          <cell r="AA73">
            <v>878949</v>
          </cell>
        </row>
      </sheetData>
      <sheetData sheetId="3"/>
      <sheetData sheetId="4"/>
      <sheetData sheetId="5">
        <row r="4">
          <cell r="A4" t="str">
            <v>Data Fatt.</v>
          </cell>
          <cell r="C4" t="str">
            <v>Data Fatt.</v>
          </cell>
          <cell r="E4" t="str">
            <v>Data Fatt.</v>
          </cell>
        </row>
      </sheetData>
      <sheetData sheetId="6"/>
      <sheetData sheetId="7"/>
      <sheetData sheetId="8"/>
      <sheetData sheetId="9"/>
      <sheetData sheetId="10"/>
      <sheetData sheetId="11"/>
      <sheetData sheetId="12"/>
      <sheetData sheetId="13"/>
      <sheetData sheetId="14"/>
      <sheetData sheetId="15"/>
      <sheetData sheetId="16"/>
      <sheetData sheetId="17">
        <row r="2">
          <cell r="A2" t="str">
            <v>Rating</v>
          </cell>
          <cell r="C2" t="str">
            <v>Altra Operazione</v>
          </cell>
          <cell r="E2" t="str">
            <v>Fondo 662/96</v>
          </cell>
          <cell r="I2" t="str">
            <v>Finanziamento B/T</v>
          </cell>
        </row>
        <row r="3">
          <cell r="A3" t="str">
            <v>Semplificata</v>
          </cell>
          <cell r="C3" t="str">
            <v>Consolidamento Passività a breve</v>
          </cell>
          <cell r="E3" t="str">
            <v>PON</v>
          </cell>
          <cell r="I3" t="str">
            <v>Finanziamento ML/T</v>
          </cell>
        </row>
        <row r="4">
          <cell r="A4" t="str">
            <v>Microcredito</v>
          </cell>
          <cell r="C4" t="str">
            <v xml:space="preserve">Consolidamento passività a breve su stessa banca o gruppo </v>
          </cell>
          <cell r="E4" t="str">
            <v>POIN (Attrattori)</v>
          </cell>
        </row>
        <row r="5">
          <cell r="A5" t="str">
            <v>Importo Ridotto</v>
          </cell>
          <cell r="C5" t="str">
            <v>Esigenze di liquidità</v>
          </cell>
          <cell r="E5" t="str">
            <v>POIN (Energia)</v>
          </cell>
        </row>
        <row r="6">
          <cell r="A6" t="str">
            <v>Ordinaria</v>
          </cell>
          <cell r="C6" t="str">
            <v>Investimento</v>
          </cell>
        </row>
        <row r="7">
          <cell r="A7" t="str">
            <v>Portafoglio</v>
          </cell>
          <cell r="C7" t="str">
            <v>Investimento ed altre esigenze</v>
          </cell>
        </row>
        <row r="8">
          <cell r="A8" t="str">
            <v>Valutazione StartUp</v>
          </cell>
          <cell r="C8" t="str">
            <v>Pagamento fornitori e/o acquisto scorte</v>
          </cell>
        </row>
        <row r="9">
          <cell r="C9" t="str">
            <v>Partecipazione</v>
          </cell>
        </row>
        <row r="10">
          <cell r="C10" t="str">
            <v>Prestito Partecipativo</v>
          </cell>
        </row>
        <row r="13">
          <cell r="A13" t="str">
            <v>Ok</v>
          </cell>
          <cell r="D13" t="str">
            <v>Ok</v>
          </cell>
          <cell r="E13" t="str">
            <v>Ok</v>
          </cell>
          <cell r="G13" t="str">
            <v>Ok</v>
          </cell>
          <cell r="I13" t="str">
            <v>Ok</v>
          </cell>
        </row>
        <row r="14">
          <cell r="A14" t="str">
            <v>No</v>
          </cell>
          <cell r="D14" t="str">
            <v>No</v>
          </cell>
          <cell r="E14" t="str">
            <v>No</v>
          </cell>
          <cell r="G14" t="str">
            <v>Dichiarazione
sostitutiva</v>
          </cell>
          <cell r="I14" t="str">
            <v>Non dovuto
Mezzogiorno</v>
          </cell>
        </row>
        <row r="15">
          <cell r="D15" t="str">
            <v>Non previsto</v>
          </cell>
          <cell r="E15" t="str">
            <v>Non previsto</v>
          </cell>
          <cell r="G15" t="str">
            <v>Altro documento
(vedi note)</v>
          </cell>
          <cell r="I15" t="str">
            <v>Non dovuto
Impresa femminile</v>
          </cell>
        </row>
        <row r="16">
          <cell r="G16" t="str">
            <v>No</v>
          </cell>
          <cell r="I16" t="str">
            <v>Non dovuto
Autotrasporti</v>
          </cell>
        </row>
        <row r="17">
          <cell r="I17" t="str">
            <v>Non Dovuto
Eventi sismici</v>
          </cell>
        </row>
        <row r="18">
          <cell r="I18" t="str">
            <v>Non dovuto
Contratto di rete</v>
          </cell>
        </row>
        <row r="19">
          <cell r="I19" t="str">
            <v>Non dovuto
Ant. Crediti P.A.</v>
          </cell>
        </row>
        <row r="20">
          <cell r="C20" t="str">
            <v>Ok</v>
          </cell>
          <cell r="E20" t="str">
            <v>Ok</v>
          </cell>
          <cell r="G20" t="str">
            <v>Ok</v>
          </cell>
          <cell r="H20" t="str">
            <v>Ok</v>
          </cell>
          <cell r="I20" t="str">
            <v>Non dovuto
Start-up innovativa</v>
          </cell>
        </row>
        <row r="21">
          <cell r="C21" t="str">
            <v>Non previsto</v>
          </cell>
          <cell r="E21" t="str">
            <v>Non previsto</v>
          </cell>
          <cell r="G21" t="str">
            <v>Non previsto</v>
          </cell>
          <cell r="H21" t="str">
            <v>Non previsto</v>
          </cell>
          <cell r="I21" t="str">
            <v>Non dovuto
Incubatore certificato</v>
          </cell>
        </row>
        <row r="22">
          <cell r="C22" t="str">
            <v>No</v>
          </cell>
          <cell r="E22" t="str">
            <v>No</v>
          </cell>
          <cell r="G22" t="str">
            <v>No</v>
          </cell>
          <cell r="H22" t="str">
            <v>No</v>
          </cell>
          <cell r="I22" t="str">
            <v>Impresa
sociale</v>
          </cell>
        </row>
        <row r="27">
          <cell r="B27" t="str">
            <v>Micro</v>
          </cell>
          <cell r="C27" t="str">
            <v>Conferma</v>
          </cell>
          <cell r="F27" t="str">
            <v>Giorgio Fantauzzi</v>
          </cell>
        </row>
        <row r="28">
          <cell r="B28" t="str">
            <v>Piccola</v>
          </cell>
          <cell r="C28" t="str">
            <v>Presa d'atto positiva</v>
          </cell>
          <cell r="F28" t="str">
            <v>Angelina Ioppolo</v>
          </cell>
        </row>
        <row r="29">
          <cell r="B29" t="str">
            <v>Media</v>
          </cell>
          <cell r="C29" t="str">
            <v>Presa d'atto negativa</v>
          </cell>
          <cell r="F29" t="str">
            <v>Francesco Leyva</v>
          </cell>
        </row>
        <row r="30">
          <cell r="B30" t="str">
            <v>Grande</v>
          </cell>
          <cell r="C30" t="str">
            <v>Avvio procedimento di revoca</v>
          </cell>
          <cell r="F30" t="str">
            <v>Aldo Mancuso</v>
          </cell>
        </row>
        <row r="31">
          <cell r="C31" t="str">
            <v>Conferma / Revoca</v>
          </cell>
          <cell r="F31" t="str">
            <v>Pina Romeo</v>
          </cell>
        </row>
        <row r="32">
          <cell r="C32" t="str">
            <v>Inefficacia / Revoca</v>
          </cell>
          <cell r="F32" t="str">
            <v>Rossana Sisti</v>
          </cell>
        </row>
        <row r="33">
          <cell r="F33" t="str">
            <v>Massimo Troiani</v>
          </cell>
        </row>
        <row r="37">
          <cell r="B37" t="str">
            <v>Si</v>
          </cell>
          <cell r="C37" t="str">
            <v>Si</v>
          </cell>
        </row>
        <row r="38">
          <cell r="B38" t="str">
            <v>No</v>
          </cell>
          <cell r="C38" t="str">
            <v>Non applicabile</v>
          </cell>
        </row>
        <row r="45">
          <cell r="D45" t="str">
            <v>Ok</v>
          </cell>
          <cell r="F45" t="str">
            <v>Ok</v>
          </cell>
          <cell r="H45" t="str">
            <v>Ok</v>
          </cell>
        </row>
        <row r="46">
          <cell r="D46" t="str">
            <v>No</v>
          </cell>
          <cell r="F46" t="str">
            <v>No</v>
          </cell>
          <cell r="H46" t="str">
            <v>No</v>
          </cell>
        </row>
        <row r="47">
          <cell r="D47" t="str">
            <v>Non applicabile</v>
          </cell>
          <cell r="F47" t="str">
            <v>Non applicabile</v>
          </cell>
          <cell r="H47" t="str">
            <v>Non applicabile</v>
          </cell>
        </row>
        <row r="53">
          <cell r="A53" t="str">
            <v>Si</v>
          </cell>
          <cell r="D53" t="str">
            <v>No</v>
          </cell>
          <cell r="F53" t="str">
            <v>Si</v>
          </cell>
          <cell r="G53" t="str">
            <v>Autonoma</v>
          </cell>
          <cell r="I53" t="str">
            <v>Garanzia Diretta</v>
          </cell>
        </row>
        <row r="54">
          <cell r="A54" t="str">
            <v>No</v>
          </cell>
          <cell r="D54" t="str">
            <v>Si</v>
          </cell>
          <cell r="F54" t="str">
            <v>No</v>
          </cell>
          <cell r="G54" t="str">
            <v>Associata</v>
          </cell>
          <cell r="I54" t="str">
            <v>Controgaranzia</v>
          </cell>
        </row>
        <row r="55">
          <cell r="G55" t="str">
            <v>Collegata</v>
          </cell>
          <cell r="I55" t="str">
            <v>Cogaranzia</v>
          </cell>
        </row>
        <row r="56">
          <cell r="G56" t="str">
            <v>Associata e collegata</v>
          </cell>
        </row>
        <row r="59">
          <cell r="A59" t="str">
            <v>Con ammortamento</v>
          </cell>
        </row>
        <row r="60">
          <cell r="A60" t="str">
            <v>Senza ammortamento</v>
          </cell>
        </row>
      </sheetData>
      <sheetData sheetId="18">
        <row r="2">
          <cell r="B2" t="str">
            <v>Industria e altro</v>
          </cell>
        </row>
        <row r="3">
          <cell r="B3" t="str">
            <v>Edilizia</v>
          </cell>
        </row>
        <row r="4">
          <cell r="B4" t="str">
            <v>Commercio, servizi, autotrasporto e altro</v>
          </cell>
        </row>
        <row r="5">
          <cell r="B5" t="str">
            <v>Imprese agricole</v>
          </cell>
        </row>
        <row r="6">
          <cell r="B6" t="str">
            <v>Imprese di autotrasporti</v>
          </cell>
        </row>
      </sheetData>
      <sheetData sheetId="19"/>
      <sheetData sheetId="2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ecklist"/>
      <sheetName val="S.P."/>
      <sheetName val="C.E."/>
      <sheetName val="Scoringind"/>
      <sheetName val="Scoringas"/>
      <sheetName val="domini"/>
      <sheetName val="domini1"/>
      <sheetName val="Controllo date"/>
    </sheetNames>
    <sheetDataSet>
      <sheetData sheetId="0"/>
      <sheetData sheetId="1" refreshError="1"/>
      <sheetData sheetId="2" refreshError="1"/>
      <sheetData sheetId="3" refreshError="1"/>
      <sheetData sheetId="4" refreshError="1"/>
      <sheetData sheetId="5">
        <row r="2">
          <cell r="A2" t="str">
            <v>Microcredito</v>
          </cell>
        </row>
        <row r="19">
          <cell r="H19" t="str">
            <v>Ok</v>
          </cell>
        </row>
        <row r="20">
          <cell r="H20" t="str">
            <v>Non previsto</v>
          </cell>
        </row>
        <row r="21">
          <cell r="H21" t="str">
            <v>No</v>
          </cell>
        </row>
        <row r="52">
          <cell r="A52" t="str">
            <v>Vedi sotto</v>
          </cell>
        </row>
        <row r="53">
          <cell r="A53" t="str">
            <v>No investimenti</v>
          </cell>
        </row>
      </sheetData>
      <sheetData sheetId="6">
        <row r="2">
          <cell r="B2" t="str">
            <v>Industria, edilizia e altro</v>
          </cell>
        </row>
      </sheetData>
      <sheetData sheetId="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ecklist"/>
      <sheetName val="2010"/>
      <sheetName val="Controllo date"/>
      <sheetName val="domini"/>
      <sheetName val="domini (2)"/>
      <sheetName val="Foglio1"/>
    </sheetNames>
    <sheetDataSet>
      <sheetData sheetId="0"/>
      <sheetData sheetId="1"/>
      <sheetData sheetId="2"/>
      <sheetData sheetId="3">
        <row r="2">
          <cell r="A2" t="str">
            <v>Microcredito</v>
          </cell>
        </row>
        <row r="45">
          <cell r="F45" t="str">
            <v>Ok</v>
          </cell>
        </row>
        <row r="46">
          <cell r="F46" t="str">
            <v>No</v>
          </cell>
        </row>
        <row r="47">
          <cell r="F47" t="str">
            <v>Non applicabile</v>
          </cell>
        </row>
      </sheetData>
      <sheetData sheetId="4">
        <row r="2">
          <cell r="B2" t="str">
            <v>Imprese che presentano la voce rimanenze</v>
          </cell>
        </row>
      </sheetData>
      <sheetData sheetId="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ecklist"/>
      <sheetName val="2010"/>
      <sheetName val="Controllo date"/>
      <sheetName val="domini"/>
      <sheetName val="domini (2)"/>
      <sheetName val="Foglio1"/>
    </sheetNames>
    <sheetDataSet>
      <sheetData sheetId="0"/>
      <sheetData sheetId="1"/>
      <sheetData sheetId="2"/>
      <sheetData sheetId="3">
        <row r="2">
          <cell r="A2" t="str">
            <v>Microcredito</v>
          </cell>
        </row>
        <row r="45">
          <cell r="F45" t="str">
            <v>Ok</v>
          </cell>
        </row>
        <row r="46">
          <cell r="F46" t="str">
            <v>No</v>
          </cell>
        </row>
        <row r="47">
          <cell r="F47" t="str">
            <v>Non applicabile</v>
          </cell>
        </row>
      </sheetData>
      <sheetData sheetId="4">
        <row r="2">
          <cell r="B2" t="str">
            <v>Imprese che presentano la voce rimanenze</v>
          </cell>
        </row>
      </sheetData>
      <sheetData sheetId="5"/>
    </sheetDataSet>
  </externalBook>
</externalLink>
</file>

<file path=xl/persons/person.xml><?xml version="1.0" encoding="utf-8"?>
<personList xmlns="http://schemas.microsoft.com/office/spreadsheetml/2018/threadedcomments" xmlns:x="http://schemas.openxmlformats.org/spreadsheetml/2006/main">
  <person displayName="CRUSCO DOMENICO (MCC)" id="{DC3BD083-51F9-4C9A-BC64-0501771F1166}" userId="S::Domenico.Crusco@mcc.it::3701b6c7-5b3d-42d0-a8cf-f5f002d4515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la33" displayName="Tabella33" ref="A7:I56" totalsRowShown="0" headerRowDxfId="13" dataDxfId="11" headerRowBorderDxfId="12">
  <sortState xmlns:xlrd2="http://schemas.microsoft.com/office/spreadsheetml/2017/richdata2" ref="A8:I61">
    <sortCondition ref="E7:E61"/>
  </sortState>
  <tableColumns count="9">
    <tableColumn id="1" xr3:uid="{00000000-0010-0000-0000-000001000000}" name="Impresa" dataDxfId="10"/>
    <tableColumn id="2" xr3:uid="{00000000-0010-0000-0000-000002000000}" name="Fatturato" dataDxfId="9"/>
    <tableColumn id="3" xr3:uid="{00000000-0010-0000-0000-000003000000}" name="Attivo" dataDxfId="8"/>
    <tableColumn id="4" xr3:uid="{00000000-0010-0000-0000-000004000000}" name="Ula" dataDxfId="7"/>
    <tableColumn id="5" xr3:uid="{00000000-0010-0000-0000-000005000000}" name="Rel." dataDxfId="6"/>
    <tableColumn id="6" xr3:uid="{00000000-0010-0000-0000-000006000000}" name="%" dataDxfId="5"/>
    <tableColumn id="7" xr3:uid="{00000000-0010-0000-0000-000007000000}" name="Fatturato %" dataDxfId="4">
      <calculatedColumnFormula>IF(ISBLANK(F8),"",B8*F8)</calculatedColumnFormula>
    </tableColumn>
    <tableColumn id="8" xr3:uid="{00000000-0010-0000-0000-000008000000}" name="Attivo %" dataDxfId="3">
      <calculatedColumnFormula>IF(ISBLANK(F8),"",C8*F8)</calculatedColumnFormula>
    </tableColumn>
    <tableColumn id="9" xr3:uid="{00000000-0010-0000-0000-000009000000}" name="Ula %" dataDxfId="2">
      <calculatedColumnFormula>IF(ISBLANK(F8),"",D8*F8)</calculatedColumnFormula>
    </tableColumn>
  </tableColumns>
  <tableStyleInfo name="TableStyleLight11"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J39" dT="2019-06-14T09:52:32.65" personId="{DC3BD083-51F9-4C9A-BC64-0501771F1166}" id="{F8F6A7ED-D427-41C3-996C-DA2F723469B0}">
    <text>ultima data rata scaduta per edr in regime transitorio</text>
  </threadedComment>
  <threadedComment ref="Q74" dT="2022-02-25T11:41:00.17" personId="{DC3BD083-51F9-4C9A-BC64-0501771F1166}" id="{2683E253-121E-484C-A8DE-0DB4B6B2AA83}">
    <text>presente arrotondamento cds +0,05% vedi cella P75</text>
  </threadedComment>
  <threadedComment ref="Q78" dT="2022-02-21T15:41:02.20" personId="{DC3BD083-51F9-4C9A-BC64-0501771F1166}" id="{B62B5A94-738D-49A3-8EC7-873A345CC177}">
    <text>attenzione tasso per erogazioni di gennaio 2021 è impostato fisso al 2020 non gestito dinamico</text>
  </threadedComment>
</ThreadedComments>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Pagano/AppData/Local/Microsoft/Windows/00%20FORMAZIONE/Modelli%20scoring" TargetMode="External"/><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4.emf"/><Relationship Id="rId10" Type="http://schemas.openxmlformats.org/officeDocument/2006/relationships/table" Target="../tables/table1.xml"/><Relationship Id="rId4" Type="http://schemas.openxmlformats.org/officeDocument/2006/relationships/control" Target="../activeX/activeX4.xml"/><Relationship Id="rId9"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dimension ref="A1:R910"/>
  <sheetViews>
    <sheetView tabSelected="1" topLeftCell="A212" zoomScale="107" zoomScaleNormal="107" zoomScaleSheetLayoutView="120" workbookViewId="0">
      <selection activeCell="D232" sqref="D232:G234"/>
    </sheetView>
  </sheetViews>
  <sheetFormatPr defaultColWidth="9.140625" defaultRowHeight="11.25" x14ac:dyDescent="0.25"/>
  <cols>
    <col min="1" max="1" width="3.5703125" style="125" bestFit="1" customWidth="1"/>
    <col min="2" max="2" width="18.28515625" style="133" customWidth="1"/>
    <col min="3" max="3" width="15.85546875" style="134" customWidth="1"/>
    <col min="4" max="4" width="20.7109375" style="134" customWidth="1"/>
    <col min="5" max="5" width="14.5703125" style="134" customWidth="1"/>
    <col min="6" max="6" width="16.42578125" style="134" customWidth="1"/>
    <col min="7" max="7" width="17.5703125" style="134" customWidth="1"/>
    <col min="8" max="8" width="71.5703125" style="134" customWidth="1"/>
    <col min="9" max="10" width="13.7109375" style="134" customWidth="1"/>
    <col min="11" max="11" width="9.140625" style="134"/>
    <col min="12" max="12" width="31.28515625" style="134" bestFit="1" customWidth="1"/>
    <col min="13" max="13" width="34.5703125" style="134" bestFit="1" customWidth="1"/>
    <col min="14" max="14" width="10.7109375" style="134" bestFit="1" customWidth="1"/>
    <col min="15" max="15" width="29" style="134" bestFit="1" customWidth="1"/>
    <col min="16" max="16" width="45.7109375" style="134" customWidth="1"/>
    <col min="17" max="17" width="24.5703125" style="134" bestFit="1" customWidth="1"/>
    <col min="18" max="16384" width="9.140625" style="134"/>
  </cols>
  <sheetData>
    <row r="1" spans="1:18" s="67" customFormat="1" ht="15" customHeight="1" thickBot="1" x14ac:dyDescent="0.3">
      <c r="A1" s="120" t="s">
        <v>125</v>
      </c>
      <c r="B1" s="668" t="s">
        <v>124</v>
      </c>
      <c r="C1" s="669"/>
      <c r="D1" s="669"/>
      <c r="E1" s="669"/>
      <c r="F1" s="669"/>
      <c r="G1" s="670"/>
      <c r="H1" s="180" t="str">
        <f>CONCATENATE("Op. n° ",C2," - ",C233," ",TEXT(C232,"GG-MM-AA")," Check Documentale: Descrizione breve")</f>
        <v>Op. n° 1437613 - cantelmi 19-11-25 Check Documentale: Descrizione breve</v>
      </c>
      <c r="I1" s="180" t="s">
        <v>2368</v>
      </c>
      <c r="J1" s="180" t="s">
        <v>2369</v>
      </c>
    </row>
    <row r="2" spans="1:18" s="67" customFormat="1" ht="15.75" x14ac:dyDescent="0.25">
      <c r="A2" s="121">
        <v>1</v>
      </c>
      <c r="B2" s="63" t="s">
        <v>123</v>
      </c>
      <c r="C2" s="379">
        <v>1437613</v>
      </c>
      <c r="D2" s="62" t="s">
        <v>122</v>
      </c>
      <c r="E2" s="380" t="s">
        <v>155</v>
      </c>
      <c r="F2" s="62" t="s">
        <v>120</v>
      </c>
      <c r="G2" s="381" t="s">
        <v>119</v>
      </c>
      <c r="H2" s="550"/>
      <c r="I2" s="187"/>
      <c r="J2" s="188"/>
    </row>
    <row r="3" spans="1:18" s="67" customFormat="1" ht="4.5" customHeight="1" x14ac:dyDescent="0.25">
      <c r="A3" s="107"/>
      <c r="B3" s="30"/>
      <c r="C3" s="95"/>
      <c r="D3" s="29"/>
      <c r="E3" s="96"/>
      <c r="F3" s="29"/>
      <c r="G3" s="92"/>
      <c r="H3" s="134"/>
      <c r="I3" s="134"/>
      <c r="J3" s="159"/>
    </row>
    <row r="4" spans="1:18" s="67" customFormat="1" ht="37.15" customHeight="1" x14ac:dyDescent="0.25">
      <c r="A4" s="107">
        <v>2</v>
      </c>
      <c r="B4" s="165" t="s">
        <v>118</v>
      </c>
      <c r="C4" s="433" t="s">
        <v>3663</v>
      </c>
      <c r="D4" s="382" t="s">
        <v>25</v>
      </c>
      <c r="E4" s="163" t="s">
        <v>24</v>
      </c>
      <c r="F4" s="383"/>
      <c r="G4" s="61"/>
      <c r="H4" s="550"/>
      <c r="I4" s="189"/>
      <c r="J4" s="190"/>
    </row>
    <row r="5" spans="1:18" s="67" customFormat="1" ht="4.5" customHeight="1" x14ac:dyDescent="0.25">
      <c r="A5" s="107"/>
      <c r="B5" s="30"/>
      <c r="C5" s="95"/>
      <c r="D5" s="29"/>
      <c r="E5" s="96"/>
      <c r="F5" s="29"/>
      <c r="G5" s="92"/>
      <c r="H5" s="134"/>
      <c r="I5" s="134"/>
      <c r="J5" s="159"/>
    </row>
    <row r="6" spans="1:18" s="67" customFormat="1" ht="27" customHeight="1" x14ac:dyDescent="0.25">
      <c r="A6" s="107">
        <v>3</v>
      </c>
      <c r="B6" s="54" t="s">
        <v>115</v>
      </c>
      <c r="C6" s="805" t="s">
        <v>3662</v>
      </c>
      <c r="D6" s="806"/>
      <c r="E6" s="164" t="str">
        <f>IF(OR(C4=VAR_1!E4,C4=VAR_1!E3),"","SOGG. FINANZIATORE")</f>
        <v/>
      </c>
      <c r="F6" s="805"/>
      <c r="G6" s="807"/>
      <c r="H6" s="550"/>
      <c r="I6" s="189"/>
      <c r="J6" s="190"/>
    </row>
    <row r="7" spans="1:18" s="67" customFormat="1" ht="4.5" customHeight="1" x14ac:dyDescent="0.25">
      <c r="A7" s="107"/>
      <c r="B7" s="30"/>
      <c r="C7" s="95"/>
      <c r="D7" s="29"/>
      <c r="E7" s="96"/>
      <c r="F7" s="29"/>
      <c r="G7" s="92"/>
      <c r="H7" s="134"/>
      <c r="I7" s="134"/>
      <c r="J7" s="159"/>
    </row>
    <row r="8" spans="1:18" s="67" customFormat="1" ht="31.5" customHeight="1" x14ac:dyDescent="0.25">
      <c r="A8" s="107">
        <v>4</v>
      </c>
      <c r="B8" s="54" t="s">
        <v>114</v>
      </c>
      <c r="C8" s="823" t="s">
        <v>3661</v>
      </c>
      <c r="D8" s="827"/>
      <c r="E8" s="827"/>
      <c r="F8" s="54" t="s">
        <v>3626</v>
      </c>
      <c r="G8" s="622" t="s">
        <v>3664</v>
      </c>
      <c r="H8" s="550"/>
      <c r="I8" s="189"/>
      <c r="J8" s="190"/>
      <c r="P8" s="135"/>
      <c r="Q8" s="136"/>
      <c r="R8" s="137"/>
    </row>
    <row r="9" spans="1:18" s="67" customFormat="1" ht="15.75" customHeight="1" x14ac:dyDescent="0.25">
      <c r="A9" s="107">
        <v>5</v>
      </c>
      <c r="B9" s="54" t="s">
        <v>113</v>
      </c>
      <c r="C9" s="803" t="s">
        <v>3660</v>
      </c>
      <c r="D9" s="803"/>
      <c r="E9" s="803"/>
      <c r="F9" s="803"/>
      <c r="G9" s="804"/>
      <c r="H9" s="550"/>
      <c r="I9" s="187"/>
      <c r="J9" s="188"/>
      <c r="M9" s="138"/>
      <c r="P9" s="135"/>
      <c r="Q9" s="136"/>
      <c r="R9" s="137"/>
    </row>
    <row r="10" spans="1:18" s="67" customFormat="1" ht="55.9" customHeight="1" x14ac:dyDescent="0.25">
      <c r="A10" s="107">
        <v>6</v>
      </c>
      <c r="B10" s="54" t="s">
        <v>112</v>
      </c>
      <c r="C10" s="101">
        <v>561011</v>
      </c>
      <c r="D10" s="485" t="str">
        <f>IF(OR(E2=VAR_1!A6,E2=VAR_1!A7),VLOOKUP(C10,'ATECO 2007_ammissibilità'!$A$1:$H$1724,5,0),VLOOKUP(C10,'ATECO 2007_ammissibilità'!$A$1:$H$1724,4,0))</f>
        <v>662 OK</v>
      </c>
      <c r="E10" s="60" t="s">
        <v>111</v>
      </c>
      <c r="F10" s="384" t="s">
        <v>189</v>
      </c>
      <c r="G10" s="545" t="str">
        <f>IF(RULES!E3=RULES!E4,"OK","! COD. ATTIVITA' NON COERENTE CON SETTORE")</f>
        <v>OK</v>
      </c>
      <c r="H10" s="550"/>
      <c r="I10" s="187"/>
      <c r="J10" s="188"/>
      <c r="Q10" s="136"/>
      <c r="R10" s="137"/>
    </row>
    <row r="11" spans="1:18" s="67" customFormat="1" ht="51.75" customHeight="1" x14ac:dyDescent="0.25">
      <c r="A11" s="107">
        <v>7</v>
      </c>
      <c r="B11" s="54" t="s">
        <v>109</v>
      </c>
      <c r="C11" s="822" t="str">
        <f>IF(C10="","",VLOOKUP(C10,'ATECO 2007_ammissibilità'!$A$1:$C$1724,3,0))</f>
        <v>Ristorazione con somministrazione</v>
      </c>
      <c r="D11" s="822"/>
      <c r="E11" s="822"/>
      <c r="F11" s="823"/>
      <c r="G11" s="824"/>
      <c r="H11" s="550"/>
      <c r="I11" s="187"/>
      <c r="J11" s="188"/>
      <c r="Q11" s="136"/>
      <c r="R11" s="137"/>
    </row>
    <row r="12" spans="1:18" s="67" customFormat="1" ht="2.25" customHeight="1" x14ac:dyDescent="0.25">
      <c r="A12" s="107"/>
      <c r="B12" s="30"/>
      <c r="C12" s="95"/>
      <c r="D12" s="29"/>
      <c r="E12" s="96"/>
      <c r="F12" s="29"/>
      <c r="G12" s="92"/>
      <c r="H12" s="134"/>
      <c r="I12" s="134"/>
      <c r="J12" s="159"/>
    </row>
    <row r="13" spans="1:18" s="67" customFormat="1" ht="30" customHeight="1" x14ac:dyDescent="0.25">
      <c r="A13" s="107">
        <v>8</v>
      </c>
      <c r="B13" s="59" t="s">
        <v>108</v>
      </c>
      <c r="C13" s="809" t="s">
        <v>126</v>
      </c>
      <c r="D13" s="810"/>
      <c r="E13" s="810"/>
      <c r="F13" s="810"/>
      <c r="G13" s="811"/>
      <c r="H13" s="550"/>
      <c r="I13" s="189"/>
      <c r="J13" s="190"/>
      <c r="Q13" s="136"/>
      <c r="R13" s="137"/>
    </row>
    <row r="14" spans="1:18" s="67" customFormat="1" ht="22.5" customHeight="1" x14ac:dyDescent="0.25">
      <c r="A14" s="107">
        <v>9</v>
      </c>
      <c r="B14" s="817" t="s">
        <v>2285</v>
      </c>
      <c r="C14" s="818"/>
      <c r="D14" s="818"/>
      <c r="E14" s="31"/>
      <c r="F14" s="656" t="str">
        <f>IF(E14="","VALORIZZARE CAMPO", IF(E14&gt;C28,"! ISCRIZIONE SUCCESSIVA A DOMANDA AMM.NE", "OK"))</f>
        <v>VALORIZZARE CAMPO</v>
      </c>
      <c r="G14" s="657"/>
      <c r="H14" s="550"/>
      <c r="I14" s="187"/>
      <c r="J14" s="188"/>
      <c r="Q14" s="136"/>
      <c r="R14" s="137"/>
    </row>
    <row r="15" spans="1:18" s="67" customFormat="1" ht="15" x14ac:dyDescent="0.25">
      <c r="A15" s="107">
        <v>10</v>
      </c>
      <c r="B15" s="54" t="s">
        <v>106</v>
      </c>
      <c r="C15" s="101" t="s">
        <v>23</v>
      </c>
      <c r="D15" s="49" t="s">
        <v>105</v>
      </c>
      <c r="E15" s="31">
        <v>42639</v>
      </c>
      <c r="F15" s="49" t="s">
        <v>104</v>
      </c>
      <c r="G15" s="169">
        <v>42719</v>
      </c>
      <c r="H15" s="550"/>
      <c r="I15" s="187"/>
      <c r="J15" s="188"/>
      <c r="Q15" s="136"/>
      <c r="R15" s="137"/>
    </row>
    <row r="16" spans="1:18" s="67" customFormat="1" ht="27.75" customHeight="1" x14ac:dyDescent="0.25">
      <c r="A16" s="107">
        <v>11</v>
      </c>
      <c r="B16" s="808" t="str">
        <f>IF(OR(C13=VAR_1!AN5,C13=VAR_1!AN6),IF(RULES!B15&lt;'CHECK_2.9'!C28,"ATTENZIONE REQUISITO ST UP INNOVATIVA/INCUBATORE NON VERIFICATO","OK"),"")</f>
        <v/>
      </c>
      <c r="C16" s="656"/>
      <c r="D16" s="656"/>
      <c r="E16" s="656" t="str">
        <f>IF(C15=VAR_1!Z3,IF(OR(C13=VAR_1!AN5,C13=VAR_1!AN6),IF(RULES!B15&lt;'CHECK_2.9'!C28,"ATTENZIONE REQUISITO ST UP NON VERIFICATO","OK"),IF(RULES!B20&lt;'CHECK_2.9'!C28,"ATTENZIONE REQUISITO ST UP NON VERIFICATO","OK")),"")</f>
        <v/>
      </c>
      <c r="F16" s="656"/>
      <c r="G16" s="657"/>
      <c r="H16" s="550"/>
      <c r="I16" s="187"/>
      <c r="J16" s="188"/>
      <c r="Q16" s="136"/>
      <c r="R16" s="137"/>
    </row>
    <row r="17" spans="1:18" s="67" customFormat="1" ht="4.5" customHeight="1" x14ac:dyDescent="0.25">
      <c r="A17" s="107"/>
      <c r="B17" s="30"/>
      <c r="C17" s="95"/>
      <c r="D17" s="29"/>
      <c r="E17" s="96"/>
      <c r="F17" s="29"/>
      <c r="G17" s="92"/>
      <c r="H17" s="134"/>
      <c r="I17" s="134"/>
      <c r="J17" s="159"/>
    </row>
    <row r="18" spans="1:18" s="67" customFormat="1" ht="15" x14ac:dyDescent="0.25">
      <c r="A18" s="107">
        <v>12</v>
      </c>
      <c r="B18" s="50" t="s">
        <v>3432</v>
      </c>
      <c r="C18" s="469" t="s">
        <v>3435</v>
      </c>
      <c r="D18" s="812" t="str">
        <f>IF(C18="","",+RULES!S7)</f>
        <v>Σ IMPORTO MAX GAR LETT.M + PREMI T.F. 3.2</v>
      </c>
      <c r="E18" s="812"/>
      <c r="F18" s="104">
        <v>25000</v>
      </c>
      <c r="G18" s="545" t="str">
        <f>IF(F18="","VALORIZZARE Σ",RULES!S12)</f>
        <v>OK</v>
      </c>
      <c r="H18" s="550"/>
      <c r="I18" s="189"/>
      <c r="J18" s="190"/>
      <c r="Q18" s="136"/>
      <c r="R18" s="137"/>
    </row>
    <row r="19" spans="1:18" s="67" customFormat="1" ht="4.5" customHeight="1" x14ac:dyDescent="0.25">
      <c r="A19" s="107"/>
      <c r="B19" s="30"/>
      <c r="C19" s="95"/>
      <c r="D19" s="29"/>
      <c r="E19" s="96"/>
      <c r="F19" s="29"/>
      <c r="G19" s="92"/>
      <c r="H19" s="134"/>
      <c r="I19" s="134"/>
      <c r="J19" s="159"/>
    </row>
    <row r="20" spans="1:18" s="67" customFormat="1" ht="22.5" x14ac:dyDescent="0.25">
      <c r="A20" s="107">
        <v>13</v>
      </c>
      <c r="B20" s="54" t="s">
        <v>101</v>
      </c>
      <c r="C20" s="813" t="s">
        <v>3447</v>
      </c>
      <c r="D20" s="813"/>
      <c r="E20" s="813"/>
      <c r="F20" s="49" t="s">
        <v>99</v>
      </c>
      <c r="G20" s="432" t="s">
        <v>3448</v>
      </c>
      <c r="H20" s="550"/>
      <c r="I20" s="189"/>
      <c r="J20" s="190"/>
      <c r="Q20" s="136"/>
      <c r="R20" s="137"/>
    </row>
    <row r="21" spans="1:18" s="67" customFormat="1" ht="22.5" x14ac:dyDescent="0.25">
      <c r="A21" s="107">
        <v>14</v>
      </c>
      <c r="B21" s="54" t="s">
        <v>97</v>
      </c>
      <c r="C21" s="814" t="s">
        <v>3659</v>
      </c>
      <c r="D21" s="815"/>
      <c r="E21" s="815"/>
      <c r="F21" s="815"/>
      <c r="G21" s="816"/>
      <c r="H21" s="550"/>
      <c r="I21" s="187"/>
      <c r="J21" s="188"/>
      <c r="P21" s="135"/>
      <c r="Q21" s="136"/>
      <c r="R21" s="137"/>
    </row>
    <row r="22" spans="1:18" s="67" customFormat="1" ht="33.75" x14ac:dyDescent="0.25">
      <c r="A22" s="107">
        <v>15</v>
      </c>
      <c r="B22" s="54" t="s">
        <v>96</v>
      </c>
      <c r="C22" s="819"/>
      <c r="D22" s="820"/>
      <c r="E22" s="820"/>
      <c r="F22" s="820"/>
      <c r="G22" s="821"/>
      <c r="H22" s="550"/>
      <c r="I22" s="187"/>
      <c r="J22" s="188"/>
      <c r="P22" s="135"/>
      <c r="Q22" s="136"/>
      <c r="R22" s="137"/>
    </row>
    <row r="23" spans="1:18" s="67" customFormat="1" ht="4.5" customHeight="1" x14ac:dyDescent="0.25">
      <c r="A23" s="107"/>
      <c r="B23" s="30"/>
      <c r="C23" s="95"/>
      <c r="D23" s="29"/>
      <c r="E23" s="96"/>
      <c r="F23" s="29"/>
      <c r="G23" s="92"/>
      <c r="H23" s="134"/>
      <c r="I23" s="134"/>
      <c r="J23" s="159"/>
    </row>
    <row r="24" spans="1:18" s="67" customFormat="1" ht="15" x14ac:dyDescent="0.25">
      <c r="A24" s="107">
        <v>16</v>
      </c>
      <c r="B24" s="54" t="s">
        <v>95</v>
      </c>
      <c r="C24" s="162" t="s">
        <v>23</v>
      </c>
      <c r="D24" s="546"/>
      <c r="E24" s="163" t="s">
        <v>93</v>
      </c>
      <c r="F24" s="546"/>
      <c r="G24" s="90" t="e">
        <f>+(F24/D24)</f>
        <v>#DIV/0!</v>
      </c>
      <c r="H24" s="550"/>
      <c r="I24" s="189"/>
      <c r="J24" s="190"/>
      <c r="M24" s="138"/>
      <c r="P24" s="135"/>
      <c r="Q24" s="136"/>
      <c r="R24" s="137"/>
    </row>
    <row r="25" spans="1:18" s="67" customFormat="1" ht="22.5" x14ac:dyDescent="0.25">
      <c r="A25" s="107">
        <v>17</v>
      </c>
      <c r="B25" s="54" t="s">
        <v>92</v>
      </c>
      <c r="C25" s="386">
        <v>0</v>
      </c>
      <c r="D25" s="419" t="str">
        <f>IF(D24="","INSERIRE IMPORTO INVESTIMENTO",IF(C25&lt;(D24*RULES!E16),CONCATENATE("! MP &lt; ",TEXT(RULES!E16,"0,0%")," INV"),CONCATENATE("MP &gt; ",TEXT(RULES!E16,"0,0%")," INV - OK")))</f>
        <v>INSERIRE IMPORTO INVESTIMENTO</v>
      </c>
      <c r="E25" s="166" t="s">
        <v>91</v>
      </c>
      <c r="F25" s="385"/>
      <c r="G25" s="378" t="str">
        <f>IF(F25&lt;=G56,"OK","! DATA VERS SUCCESSIVA A EROG")</f>
        <v>OK</v>
      </c>
      <c r="H25" s="550"/>
      <c r="I25" s="187"/>
      <c r="J25" s="188"/>
      <c r="M25" s="138"/>
      <c r="P25" s="135"/>
      <c r="Q25" s="136"/>
      <c r="R25" s="137"/>
    </row>
    <row r="26" spans="1:18" s="67" customFormat="1" ht="4.5" customHeight="1" x14ac:dyDescent="0.25">
      <c r="A26" s="107"/>
      <c r="B26" s="30"/>
      <c r="C26" s="95"/>
      <c r="D26" s="29"/>
      <c r="E26" s="96"/>
      <c r="F26" s="29"/>
      <c r="G26" s="92"/>
      <c r="H26" s="134"/>
      <c r="I26" s="134"/>
      <c r="J26" s="159"/>
    </row>
    <row r="27" spans="1:18" s="67" customFormat="1" ht="42" customHeight="1" x14ac:dyDescent="0.25">
      <c r="A27" s="107">
        <v>18</v>
      </c>
      <c r="B27" s="54" t="s">
        <v>90</v>
      </c>
      <c r="C27" s="387"/>
      <c r="D27" s="44" t="s">
        <v>89</v>
      </c>
      <c r="E27" s="31"/>
      <c r="F27" s="44" t="s">
        <v>88</v>
      </c>
      <c r="G27" s="169"/>
      <c r="H27" s="550"/>
      <c r="I27" s="189"/>
      <c r="J27" s="190"/>
    </row>
    <row r="28" spans="1:18" s="67" customFormat="1" ht="21.75" customHeight="1" x14ac:dyDescent="0.25">
      <c r="A28" s="107">
        <v>19</v>
      </c>
      <c r="B28" s="54" t="s">
        <v>87</v>
      </c>
      <c r="C28" s="31">
        <v>43976</v>
      </c>
      <c r="D28" s="44" t="s">
        <v>86</v>
      </c>
      <c r="E28" s="31">
        <v>43980</v>
      </c>
      <c r="F28" s="44" t="s">
        <v>85</v>
      </c>
      <c r="G28" s="58" t="str">
        <f>IF(C28="","",
(IF(AND(C28&lt;DATE(2019,3,15),C28&gt;=DATE(2018,10,15)),"OPERAZIONE 'D.O. EVENTO DI RISCHIO'",
IF(AND(C28&lt;DATE(2018,10,15),C28&gt;=DATE(2015,12,14)),"OPERAZIONE 'POST D.L.FARE'",
IF(AND(C28&lt;DATE(2015,12,14),C28&gt;=DATE(2014,3,10)),"OPERAZIONE 'D.L.FARE'",
IF(AND(C28&lt;DATE(2014,3,10),C28&gt;=DATE(2012,12,7)),"OPERAZIONE 'SALVA ITALIA'",
IF(AND(C28&lt;DATE(2012,12,7),C28&gt;=DATE(2010,1,10)),"OPERAZIONE 'D.O. 2010'",
IF(C28&lt;DATE(2010,1,10),"OPERAZIONE 'D.O. ANTE 2010' ",
"OPERAZIONE 'D.O. RIFORMA RATING'"))))))))</f>
        <v>OPERAZIONE 'D.O. RIFORMA RATING'</v>
      </c>
      <c r="H28" s="550"/>
      <c r="I28" s="187"/>
      <c r="J28" s="188"/>
      <c r="M28" s="138"/>
      <c r="P28" s="135"/>
      <c r="Q28" s="136"/>
      <c r="R28" s="137"/>
    </row>
    <row r="29" spans="1:18" s="67" customFormat="1" ht="40.5" customHeight="1" x14ac:dyDescent="0.25">
      <c r="A29" s="107">
        <v>20</v>
      </c>
      <c r="B29" s="34" t="s">
        <v>3541</v>
      </c>
      <c r="C29" s="571" t="s">
        <v>3542</v>
      </c>
      <c r="D29" s="48" t="str">
        <f>IF(OR(C28&lt;RULES_TERMINI!D67,'CHECK_2.9'!G20=VAR_1!U16),"! MIDCAP NON AMM.LE","OK")</f>
        <v>! MIDCAP NON AMM.LE</v>
      </c>
      <c r="E29" s="609" t="str">
        <f>IF(C28="","",
IF(AND(C28&gt;=DATE(2021,6,24)),"DL SOSTEGNI BIS",
IF(AND(C28&lt;DATE(2021,6,24),C28&gt;=DATE(2020,12,30)),"LEGGE DI BILANCIO",
IF(AND(C28&lt;DATE(2020,12,29),C28&gt;=DATE(2020,6,19)),"DL LIQUIDITA POST CONVERSIONE",
IF(AND(C28&lt;DATE(2020,6,19),C28&gt;=DATE(2020,4,9)),"DL LIQUIDITA ANTE CONVERSIONE",
IF(AND(C28&lt;DATE(2020,4,9),C28&gt;=DATE(2020,3,17)),"DL CURA ITALIA","OPERAZIONE NON COVID-19"))))))</f>
        <v>DL LIQUIDITA ANTE CONVERSIONE</v>
      </c>
      <c r="F29" s="549" t="str">
        <f>IF(
C18="T. FRAMEWORK 3.2",IF(C28&lt;DATE(2020,4,27),"! NON AMM.LE T.F. 3.2","OK"),
IF(C18="T. FRAMEWORK 3.1",IF(C28&lt;DATE(2020,4,16),"! NON AMM.LE T.F. 3.1","OK"),""))</f>
        <v>OK</v>
      </c>
      <c r="G29" s="552" t="str">
        <f>+RULES_TERMINI!M83</f>
        <v/>
      </c>
      <c r="H29" s="134"/>
      <c r="I29" s="134"/>
      <c r="J29" s="159"/>
    </row>
    <row r="30" spans="1:18" s="67" customFormat="1" ht="45" customHeight="1" x14ac:dyDescent="0.25">
      <c r="A30" s="107">
        <v>21</v>
      </c>
      <c r="B30" s="34" t="s">
        <v>84</v>
      </c>
      <c r="C30" s="31">
        <v>43948</v>
      </c>
      <c r="D30" s="539" t="str">
        <f>+RULES!N15</f>
        <v>! REQUISITO PMI DA NON VERIFICARE</v>
      </c>
      <c r="E30" s="539" t="str">
        <f>IF(C30="","VALORIZZARE DATA ALL.TO 4/1bis",IF(C30&gt;C28,"! ALL.TO 4/1bis POST AMM.NE - INSERIRE NOTE →","OK"))</f>
        <v>OK</v>
      </c>
      <c r="F30" s="825"/>
      <c r="G30" s="826"/>
      <c r="H30" s="550"/>
      <c r="I30" s="189"/>
      <c r="J30" s="190"/>
      <c r="Q30" s="136"/>
      <c r="R30" s="137"/>
    </row>
    <row r="31" spans="1:18" s="67" customFormat="1" ht="66" customHeight="1" thickBot="1" x14ac:dyDescent="0.3">
      <c r="A31" s="424" t="s">
        <v>16</v>
      </c>
      <c r="B31" s="744"/>
      <c r="C31" s="745"/>
      <c r="D31" s="745"/>
      <c r="E31" s="745"/>
      <c r="F31" s="745"/>
      <c r="G31" s="746"/>
      <c r="H31" s="551"/>
      <c r="I31" s="191"/>
      <c r="J31" s="192"/>
      <c r="Q31" s="136"/>
      <c r="R31" s="137"/>
    </row>
    <row r="32" spans="1:18" s="67" customFormat="1" ht="7.5" customHeight="1" thickBot="1" x14ac:dyDescent="0.3">
      <c r="A32" s="123"/>
      <c r="B32" s="38"/>
      <c r="C32" s="158"/>
      <c r="D32" s="37"/>
      <c r="E32" s="134"/>
      <c r="F32" s="37"/>
      <c r="G32" s="134"/>
      <c r="H32" s="134"/>
      <c r="I32" s="134"/>
      <c r="J32" s="134"/>
    </row>
    <row r="33" spans="1:18" s="67" customFormat="1" ht="15" customHeight="1" thickBot="1" x14ac:dyDescent="0.3">
      <c r="A33" s="120">
        <v>22</v>
      </c>
      <c r="B33" s="668" t="s">
        <v>83</v>
      </c>
      <c r="C33" s="669"/>
      <c r="D33" s="669"/>
      <c r="E33" s="669"/>
      <c r="F33" s="669"/>
      <c r="G33" s="670"/>
      <c r="H33" s="180" t="s">
        <v>2367</v>
      </c>
      <c r="I33" s="180" t="s">
        <v>2368</v>
      </c>
      <c r="J33" s="180" t="s">
        <v>2369</v>
      </c>
      <c r="Q33" s="136"/>
      <c r="R33" s="137"/>
    </row>
    <row r="34" spans="1:18" s="67" customFormat="1" ht="21.75" customHeight="1" x14ac:dyDescent="0.25">
      <c r="A34" s="126">
        <v>23</v>
      </c>
      <c r="B34" s="46" t="s">
        <v>3641</v>
      </c>
      <c r="C34" s="388" t="s">
        <v>67</v>
      </c>
      <c r="D34" s="51" t="s">
        <v>66</v>
      </c>
      <c r="E34" s="388" t="s">
        <v>44</v>
      </c>
      <c r="F34" s="35" t="s">
        <v>65</v>
      </c>
      <c r="G34" s="392">
        <v>72</v>
      </c>
      <c r="H34" s="193"/>
      <c r="I34" s="194"/>
      <c r="J34" s="195"/>
      <c r="Q34" s="139"/>
      <c r="R34" s="137"/>
    </row>
    <row r="35" spans="1:18" s="67" customFormat="1" ht="4.5" customHeight="1" x14ac:dyDescent="0.25">
      <c r="A35" s="127"/>
      <c r="B35" s="30"/>
      <c r="C35" s="95"/>
      <c r="D35" s="29"/>
      <c r="E35" s="96"/>
      <c r="F35" s="29"/>
      <c r="G35" s="92"/>
      <c r="H35" s="179"/>
      <c r="I35" s="134"/>
      <c r="J35" s="159"/>
    </row>
    <row r="36" spans="1:18" s="67" customFormat="1" ht="15" x14ac:dyDescent="0.25">
      <c r="A36" s="127">
        <v>24</v>
      </c>
      <c r="B36" s="54" t="s">
        <v>64</v>
      </c>
      <c r="C36" s="389"/>
      <c r="D36" s="44" t="s">
        <v>63</v>
      </c>
      <c r="E36" s="359">
        <v>43976</v>
      </c>
      <c r="F36" s="49" t="s">
        <v>62</v>
      </c>
      <c r="G36" s="393">
        <v>44015</v>
      </c>
      <c r="H36" s="196"/>
      <c r="I36" s="189"/>
      <c r="J36" s="190"/>
      <c r="Q36" s="140"/>
      <c r="R36" s="137"/>
    </row>
    <row r="37" spans="1:18" s="67" customFormat="1" ht="4.5" customHeight="1" x14ac:dyDescent="0.25">
      <c r="A37" s="127"/>
      <c r="B37" s="30"/>
      <c r="C37" s="95"/>
      <c r="D37" s="29"/>
      <c r="E37" s="361"/>
      <c r="F37" s="29"/>
      <c r="G37" s="362"/>
      <c r="H37" s="179"/>
      <c r="I37" s="134"/>
      <c r="J37" s="159"/>
    </row>
    <row r="38" spans="1:18" s="67" customFormat="1" ht="15" x14ac:dyDescent="0.25">
      <c r="A38" s="127">
        <v>25</v>
      </c>
      <c r="B38" s="50" t="s">
        <v>61</v>
      </c>
      <c r="C38" s="31">
        <v>46205</v>
      </c>
      <c r="D38" s="49" t="s">
        <v>60</v>
      </c>
      <c r="E38" s="359">
        <v>46205</v>
      </c>
      <c r="F38" s="49" t="s">
        <v>59</v>
      </c>
      <c r="G38" s="394">
        <v>25000</v>
      </c>
      <c r="H38" s="196"/>
      <c r="I38" s="189"/>
      <c r="J38" s="190"/>
      <c r="Q38" s="140"/>
      <c r="R38" s="137"/>
    </row>
    <row r="39" spans="1:18" s="67" customFormat="1" ht="4.5" customHeight="1" x14ac:dyDescent="0.25">
      <c r="A39" s="127"/>
      <c r="B39" s="30"/>
      <c r="C39" s="95"/>
      <c r="D39" s="29"/>
      <c r="E39" s="96"/>
      <c r="F39" s="29"/>
      <c r="G39" s="92"/>
      <c r="H39" s="179"/>
      <c r="I39" s="134"/>
      <c r="J39" s="159"/>
    </row>
    <row r="40" spans="1:18" s="67" customFormat="1" ht="15" x14ac:dyDescent="0.25">
      <c r="A40" s="127">
        <v>26</v>
      </c>
      <c r="B40" s="54" t="s">
        <v>82</v>
      </c>
      <c r="C40" s="390">
        <v>0</v>
      </c>
      <c r="D40" s="49" t="s">
        <v>81</v>
      </c>
      <c r="E40" s="829">
        <v>0</v>
      </c>
      <c r="F40" s="829"/>
      <c r="G40" s="91" t="str">
        <f>IF(E40&lt;&gt;(G38*C40),"! VERIFICA IMPORTO","OK")</f>
        <v>OK</v>
      </c>
      <c r="H40" s="196"/>
      <c r="I40" s="189"/>
      <c r="J40" s="190"/>
      <c r="Q40" s="140"/>
      <c r="R40" s="137"/>
    </row>
    <row r="41" spans="1:18" s="67" customFormat="1" ht="4.5" customHeight="1" x14ac:dyDescent="0.25">
      <c r="A41" s="127"/>
      <c r="B41" s="30"/>
      <c r="C41" s="360"/>
      <c r="D41" s="29"/>
      <c r="E41" s="96"/>
      <c r="F41" s="29"/>
      <c r="G41" s="92"/>
      <c r="H41" s="179"/>
      <c r="I41" s="134"/>
      <c r="J41" s="159"/>
    </row>
    <row r="42" spans="1:18" s="67" customFormat="1" ht="15.75" thickBot="1" x14ac:dyDescent="0.3">
      <c r="A42" s="128">
        <v>27</v>
      </c>
      <c r="B42" s="57" t="str">
        <f>IF(OR(C4=VAR_1!E7,C4=VAR_1!E8),"% RIASS FONDO", "% GAR FONDO")</f>
        <v>% GAR FONDO</v>
      </c>
      <c r="C42" s="391">
        <v>1</v>
      </c>
      <c r="D42" s="56" t="str">
        <f>IF(OR(C4=VAR_1!E7,C4=VAR_1!E8),"MAX RIASS FONDO €", "MAX GAR. FONDO €")</f>
        <v>MAX GAR. FONDO €</v>
      </c>
      <c r="E42" s="828">
        <v>25000</v>
      </c>
      <c r="F42" s="828"/>
      <c r="G42" s="93" t="str">
        <f>IF(C4&lt;&gt;VAR_1!E4,
IF(E42&lt;&gt;(E40*C42),"! VERIFICA IMPORTO","OK"),
IF(E42&lt;&gt;(C42*G38),"! VERIFICA IMPORTO","OK"))</f>
        <v>OK</v>
      </c>
      <c r="H42" s="196"/>
      <c r="I42" s="189"/>
      <c r="J42" s="190"/>
    </row>
    <row r="43" spans="1:18" s="67" customFormat="1" ht="4.5" customHeight="1" x14ac:dyDescent="0.25">
      <c r="A43" s="127"/>
      <c r="B43" s="30"/>
      <c r="C43" s="360"/>
      <c r="D43" s="29"/>
      <c r="E43" s="96"/>
      <c r="F43" s="29"/>
      <c r="G43" s="92"/>
      <c r="H43" s="179"/>
      <c r="I43" s="134"/>
      <c r="J43" s="159"/>
    </row>
    <row r="44" spans="1:18" s="67" customFormat="1" ht="15.75" thickBot="1" x14ac:dyDescent="0.3">
      <c r="A44" s="128">
        <v>28</v>
      </c>
      <c r="B44" s="590" t="s">
        <v>3600</v>
      </c>
      <c r="C44" s="591">
        <v>0</v>
      </c>
      <c r="D44" s="592" t="s">
        <v>3601</v>
      </c>
      <c r="E44" s="830">
        <v>0</v>
      </c>
      <c r="F44" s="831"/>
      <c r="G44" s="593" t="str">
        <f>IF(C4&lt;&gt;VAR_1!E8,"",
IF('CHECK_2.9'!E44&lt;&gt;('CHECK_2.9'!E40*'CHECK_2.9'!C44),"! VERIFICA IMPORTO","OK"))</f>
        <v/>
      </c>
      <c r="H44" s="434"/>
      <c r="I44" s="594"/>
      <c r="J44" s="595"/>
    </row>
    <row r="45" spans="1:18" s="67" customFormat="1" ht="43.5" customHeight="1" thickBot="1" x14ac:dyDescent="0.3">
      <c r="A45" s="122" t="s">
        <v>16</v>
      </c>
      <c r="B45" s="676"/>
      <c r="C45" s="677"/>
      <c r="D45" s="677"/>
      <c r="E45" s="677"/>
      <c r="F45" s="677"/>
      <c r="G45" s="678"/>
      <c r="H45" s="197"/>
      <c r="I45" s="191"/>
      <c r="J45" s="192"/>
      <c r="Q45" s="136"/>
      <c r="R45" s="137"/>
    </row>
    <row r="46" spans="1:18" s="67" customFormat="1" ht="7.5" customHeight="1" thickBot="1" x14ac:dyDescent="0.3">
      <c r="A46" s="123"/>
      <c r="B46" s="38"/>
      <c r="C46" s="158"/>
      <c r="D46" s="37"/>
      <c r="E46" s="134"/>
      <c r="F46" s="37"/>
      <c r="G46" s="134"/>
      <c r="H46" s="134"/>
      <c r="I46" s="134"/>
      <c r="J46" s="134"/>
    </row>
    <row r="47" spans="1:18" s="67" customFormat="1" ht="12" customHeight="1" thickBot="1" x14ac:dyDescent="0.3">
      <c r="A47" s="120"/>
      <c r="B47" s="668" t="str">
        <f>+CONCATENATE("COMMISSIONE UNA TANTUM  op n° ",C2," - data consiglio amm.ne: ",TEXT(E28,"gg/mm/aaa"))</f>
        <v>COMMISSIONE UNA TANTUM  op n° 1437613 - data consiglio amm.ne: 29/05/2020</v>
      </c>
      <c r="C47" s="669"/>
      <c r="D47" s="669"/>
      <c r="E47" s="669"/>
      <c r="F47" s="669"/>
      <c r="G47" s="670"/>
      <c r="H47" s="134"/>
      <c r="I47" s="134"/>
      <c r="J47" s="134"/>
    </row>
    <row r="48" spans="1:18" s="67" customFormat="1" ht="22.5" x14ac:dyDescent="0.25">
      <c r="A48" s="126">
        <v>29</v>
      </c>
      <c r="B48" s="165" t="s">
        <v>80</v>
      </c>
      <c r="C48" s="395" t="s">
        <v>79</v>
      </c>
      <c r="D48" s="166" t="s">
        <v>78</v>
      </c>
      <c r="E48" s="395" t="s">
        <v>79</v>
      </c>
      <c r="F48" s="55" t="s">
        <v>77</v>
      </c>
      <c r="G48" s="88" t="e">
        <f ca="1">IF(ParDim!E4="","! COMPILARE ParDim",ParDim!E4)</f>
        <v>#NAME?</v>
      </c>
      <c r="H48" s="134"/>
      <c r="I48" s="134"/>
      <c r="J48" s="134"/>
    </row>
    <row r="49" spans="1:18" s="67" customFormat="1" ht="22.5" x14ac:dyDescent="0.25">
      <c r="A49" s="127">
        <v>30</v>
      </c>
      <c r="B49" s="54" t="s">
        <v>75</v>
      </c>
      <c r="C49" s="396" t="s">
        <v>223</v>
      </c>
      <c r="D49" s="397">
        <v>0</v>
      </c>
      <c r="E49" s="44" t="s">
        <v>73</v>
      </c>
      <c r="F49" s="813" t="s">
        <v>3665</v>
      </c>
      <c r="G49" s="838"/>
      <c r="H49" s="134"/>
      <c r="I49" s="134"/>
      <c r="J49" s="134"/>
    </row>
    <row r="50" spans="1:18" s="67" customFormat="1" ht="15" x14ac:dyDescent="0.25">
      <c r="A50" s="127">
        <v>31</v>
      </c>
      <c r="B50" s="54" t="s">
        <v>71</v>
      </c>
      <c r="C50" s="53">
        <f>IF(C4=VAR_1!E5,D49*E42,
IF(C4=VAR_1!E7,D49*E42,
IF(C4=VAR_1!E8,D49*E44,D49*E42)))</f>
        <v>0</v>
      </c>
      <c r="D50" s="99" t="s">
        <v>70</v>
      </c>
      <c r="E50" s="104">
        <v>0</v>
      </c>
      <c r="F50" s="99" t="s">
        <v>69</v>
      </c>
      <c r="G50" s="399">
        <v>0</v>
      </c>
      <c r="H50" s="134"/>
      <c r="I50" s="134"/>
      <c r="J50" s="134"/>
      <c r="Q50" s="137"/>
    </row>
    <row r="51" spans="1:18" s="67" customFormat="1" ht="15.75" thickBot="1" x14ac:dyDescent="0.3">
      <c r="A51" s="128">
        <v>32</v>
      </c>
      <c r="B51" s="791" t="str">
        <f>IF(C50&lt;&gt;E50+G50,"! VERIFICARE DIFFERENZA IMPORTO DOVUTO/VERSATO","")</f>
        <v/>
      </c>
      <c r="C51" s="644"/>
      <c r="D51" s="52" t="s">
        <v>68</v>
      </c>
      <c r="E51" s="398"/>
      <c r="F51" s="733" t="str">
        <f>IF(E51&lt;E28,"! VALUTA ANTECEDENTE AD AMMISSIONE",IF(E51&gt;(RULES!B7),"! VERSAMENTO OLTRE 3M DA CONSIGLIO AMMISSIONE","OK"))</f>
        <v>! VALUTA ANTECEDENTE AD AMMISSIONE</v>
      </c>
      <c r="G51" s="734"/>
      <c r="H51" s="134"/>
      <c r="I51" s="134"/>
      <c r="J51" s="134"/>
      <c r="Q51" s="141"/>
    </row>
    <row r="52" spans="1:18" s="67" customFormat="1" ht="36" customHeight="1" thickBot="1" x14ac:dyDescent="0.3">
      <c r="A52" s="122" t="s">
        <v>16</v>
      </c>
      <c r="B52" s="744"/>
      <c r="C52" s="745"/>
      <c r="D52" s="745"/>
      <c r="E52" s="745"/>
      <c r="F52" s="745"/>
      <c r="G52" s="746"/>
      <c r="H52" s="134"/>
      <c r="I52" s="134"/>
      <c r="J52" s="134"/>
      <c r="Q52" s="136"/>
      <c r="R52" s="137"/>
    </row>
    <row r="53" spans="1:18" s="67" customFormat="1" ht="5.0999999999999996" customHeight="1" thickBot="1" x14ac:dyDescent="0.3">
      <c r="A53" s="123"/>
      <c r="B53" s="38"/>
      <c r="C53" s="158"/>
      <c r="D53" s="37"/>
      <c r="E53" s="134"/>
      <c r="F53" s="37"/>
      <c r="G53" s="134"/>
      <c r="H53" s="134"/>
      <c r="I53" s="134"/>
      <c r="J53" s="134"/>
    </row>
    <row r="54" spans="1:18" s="67" customFormat="1" ht="12" customHeight="1" thickBot="1" x14ac:dyDescent="0.3">
      <c r="A54" s="160">
        <v>33</v>
      </c>
      <c r="B54" s="668" t="str">
        <f>CONCATENATE("DATI FINANZIARI OPERAZIONE  op n° ",C2," - data domanda amm.ne: ",TEXT(C28,"gg/mm/aaa"))</f>
        <v>DATI FINANZIARI OPERAZIONE  op n° 1437613 - data domanda amm.ne: 25/05/2020</v>
      </c>
      <c r="C54" s="669"/>
      <c r="D54" s="669"/>
      <c r="E54" s="669"/>
      <c r="F54" s="669"/>
      <c r="G54" s="670"/>
      <c r="H54" s="180" t="s">
        <v>2367</v>
      </c>
      <c r="I54" s="180" t="s">
        <v>2368</v>
      </c>
      <c r="J54" s="180" t="s">
        <v>2369</v>
      </c>
      <c r="Q54" s="139"/>
    </row>
    <row r="55" spans="1:18" s="67" customFormat="1" ht="22.5" x14ac:dyDescent="0.25">
      <c r="A55" s="121">
        <v>34</v>
      </c>
      <c r="B55" s="46" t="s">
        <v>3641</v>
      </c>
      <c r="C55" s="388" t="s">
        <v>67</v>
      </c>
      <c r="D55" s="51" t="s">
        <v>66</v>
      </c>
      <c r="E55" s="388" t="s">
        <v>44</v>
      </c>
      <c r="F55" s="35" t="s">
        <v>65</v>
      </c>
      <c r="G55" s="401">
        <v>72</v>
      </c>
      <c r="H55" s="479"/>
      <c r="I55" s="194"/>
      <c r="J55" s="195"/>
      <c r="Q55" s="140"/>
    </row>
    <row r="56" spans="1:18" s="67" customFormat="1" ht="15" x14ac:dyDescent="0.25">
      <c r="A56" s="107">
        <v>35</v>
      </c>
      <c r="B56" s="54" t="s">
        <v>64</v>
      </c>
      <c r="C56" s="400"/>
      <c r="D56" s="44" t="s">
        <v>63</v>
      </c>
      <c r="E56" s="31">
        <v>43974</v>
      </c>
      <c r="F56" s="49" t="s">
        <v>62</v>
      </c>
      <c r="G56" s="169">
        <v>44015</v>
      </c>
      <c r="H56" s="365"/>
      <c r="I56" s="189"/>
      <c r="J56" s="190"/>
      <c r="Q56" s="142"/>
    </row>
    <row r="57" spans="1:18" s="67" customFormat="1" ht="15" x14ac:dyDescent="0.25">
      <c r="A57" s="107">
        <v>36</v>
      </c>
      <c r="B57" s="770" t="s">
        <v>3590</v>
      </c>
      <c r="C57" s="771"/>
      <c r="D57" s="31"/>
      <c r="E57" s="772" t="str">
        <f>IF(C57&gt;MAX(E27,G27),"! PREAMMORTAMENTO OLTRE CHIUSURA PORTAFOGLIO","OK")</f>
        <v>OK</v>
      </c>
      <c r="F57" s="773"/>
      <c r="G57" s="774"/>
      <c r="H57" s="365"/>
      <c r="I57" s="189"/>
      <c r="J57" s="190"/>
      <c r="Q57" s="142"/>
    </row>
    <row r="58" spans="1:18" s="67" customFormat="1" ht="15" x14ac:dyDescent="0.25">
      <c r="A58" s="107">
        <v>37</v>
      </c>
      <c r="B58" s="50" t="s">
        <v>61</v>
      </c>
      <c r="C58" s="31">
        <v>46205</v>
      </c>
      <c r="D58" s="49" t="s">
        <v>60</v>
      </c>
      <c r="E58" s="31">
        <v>46205</v>
      </c>
      <c r="F58" s="49" t="s">
        <v>59</v>
      </c>
      <c r="G58" s="402">
        <v>25000</v>
      </c>
      <c r="H58" s="365"/>
      <c r="I58" s="189"/>
      <c r="J58" s="190"/>
      <c r="Q58" s="142"/>
    </row>
    <row r="59" spans="1:18" s="67" customFormat="1" ht="50.25" customHeight="1" x14ac:dyDescent="0.25">
      <c r="A59" s="107">
        <v>38</v>
      </c>
      <c r="B59" s="176" t="str">
        <f>IF(C28&gt;E28,"! RICHIESTA DI AMM.NE SUCCESSIVA A CONSIGLIO", "")</f>
        <v/>
      </c>
      <c r="C59" s="48" t="str">
        <f>IF(OR(E56&gt;G56,C56&gt;G56),"! VERIFICARE DATE INSERITE","")</f>
        <v/>
      </c>
      <c r="D59" s="48" t="str">
        <f>IF(C56="","",IF(OR(C4=VAR_1!E7,C4=VAR_1!E8),+RULES!B30,
IF(AND(C56&gt;C28,C28&lt;RULES_TERMINI!C21),"! DELIBERA CONFIDI SUCCESSIVA A AMMISSIONE",
IF(C56&lt;&gt;C36,"! DELIBERA CONFIDI DIFFERENTE DA AMMISSIONE",""))))</f>
        <v/>
      </c>
      <c r="E59" s="94" t="str">
        <f>IF(E56&lt;&gt;E36,"! DELIBERA BANCA DIFFERENTE DA AMMISSIONE","")</f>
        <v>! DELIBERA BANCA DIFFERENTE DA AMMISSIONE</v>
      </c>
      <c r="F59" s="48" t="str">
        <f>IF(OR(G55&lt;&gt;G34,C38&lt;&gt;C58),"! DATI DURATA / SCADENZA DIVERSI DA AMMISSIONE","")</f>
        <v/>
      </c>
      <c r="G59" s="47" t="str">
        <f>IF(OR(G56&lt;&gt;G36,G38&lt;&gt;G58),"! DATI EROGAZIONE / IMPORTO FIN DIVERSI DA AMMISSIONE","")</f>
        <v/>
      </c>
      <c r="H59" s="365"/>
      <c r="I59" s="189"/>
      <c r="J59" s="190"/>
      <c r="Q59" s="142"/>
    </row>
    <row r="60" spans="1:18" s="67" customFormat="1" ht="45" customHeight="1" x14ac:dyDescent="0.25">
      <c r="A60" s="476">
        <v>39</v>
      </c>
      <c r="B60" s="473" t="str">
        <f>IF(G20=VAR_1!U11,IF(G58&gt;25000,"! SOLO SGR","OK"),
IF(G20=VAR_1!U12,IF(G58&gt;120000,"! OP. NON AMMISSIBILE","OK"),
IF(G20="portafoglio",IF(OR(E36&gt;MIN(E27,G27),G36&gt;MIN(E27,G27)),"! DELIBERA / EROGAZIONE OLTRE DATA CHIUSURA PORTAFOGLIO","OK"),
IF(E56="","",RULES!B25))))</f>
        <v>OK</v>
      </c>
      <c r="C60" s="474" t="str">
        <f>IF(E56="","",RULES!B26)</f>
        <v>OK</v>
      </c>
      <c r="D60" s="474" t="str">
        <f>IF(E56="","",RULES!B28)</f>
        <v>DEL CONDIZIONATA NON NECESSARIA</v>
      </c>
      <c r="E60" s="474" t="str">
        <f>IF(C56="","",RULES!B29)</f>
        <v/>
      </c>
      <c r="F60" s="474" t="str">
        <f>IF(G56="","",
IF(E55="Senza piano",RULES!B32,RULES!B33))</f>
        <v>! OPERAZIONE COVID - OK NO CTRL</v>
      </c>
      <c r="G60" s="475" t="str">
        <f>IF(G56="","",RULES!K35)</f>
        <v>OK</v>
      </c>
      <c r="H60" s="365"/>
      <c r="I60" s="189"/>
      <c r="J60" s="190"/>
      <c r="Q60" s="142"/>
    </row>
    <row r="61" spans="1:18" s="67" customFormat="1" ht="45" customHeight="1" x14ac:dyDescent="0.25">
      <c r="A61" s="477">
        <v>40</v>
      </c>
      <c r="B61" s="480" t="str">
        <f>IF(G20&lt;&gt;"Lettera m) art13 DL Liquidità","",
IF(RULES_TERMINI!B90="M1",IF(OR('CHECK_2.9'!G55&gt;72,'CHECK_2.9'!G58&gt;25000),"! LETT. M NON AMM.LE DURATA / IMPORTO ERRATI","OK"),
IF(RULES_TERMINI!B90="M2",IF(OR('CHECK_2.9'!G55&gt;120,'CHECK_2.9'!G58&gt;30000),"! LETT. M NON AMM.LE DURATA / IMPORTO ERRATI","OK"),
IF(RULES_TERMINI!B90="M3",IF(OR('CHECK_2.9'!G55&gt;180,'CHECK_2.9'!G58&gt;30000),"! LETT. M NON AMM.LE DURATA / IMPORTO ERRATI","OK"),"OK"))))</f>
        <v>OK</v>
      </c>
      <c r="C61" s="44" t="s">
        <v>3471</v>
      </c>
      <c r="D61" s="481">
        <v>24</v>
      </c>
      <c r="E61" s="44" t="s">
        <v>3470</v>
      </c>
      <c r="F61" s="481">
        <v>48</v>
      </c>
      <c r="G61" s="545" t="str">
        <f>IF(D61&lt;RULES!T80,"! PREAMM.TO NON CORRETTO - NON AMM.LE",
IF((D61+F61)&lt;&gt;G55,"! DURATA NON COERENTE","OK"))</f>
        <v>OK</v>
      </c>
      <c r="H61" s="472"/>
      <c r="I61" s="435"/>
      <c r="J61" s="436"/>
      <c r="Q61" s="142"/>
    </row>
    <row r="62" spans="1:18" s="67" customFormat="1" ht="43.5" customHeight="1" thickBot="1" x14ac:dyDescent="0.3">
      <c r="A62" s="478" t="s">
        <v>16</v>
      </c>
      <c r="B62" s="747"/>
      <c r="C62" s="748"/>
      <c r="D62" s="748"/>
      <c r="E62" s="748"/>
      <c r="F62" s="748"/>
      <c r="G62" s="749"/>
      <c r="H62" s="427"/>
      <c r="I62" s="198"/>
      <c r="J62" s="199"/>
      <c r="Q62" s="136"/>
      <c r="R62" s="137"/>
    </row>
    <row r="63" spans="1:18" s="67" customFormat="1" ht="5.0999999999999996" customHeight="1" thickBot="1" x14ac:dyDescent="0.3">
      <c r="A63" s="123"/>
      <c r="B63" s="38"/>
      <c r="C63" s="158"/>
      <c r="D63" s="37"/>
      <c r="E63" s="134"/>
      <c r="F63" s="37"/>
      <c r="G63" s="134"/>
      <c r="H63" s="134"/>
      <c r="I63" s="134"/>
      <c r="J63" s="134"/>
    </row>
    <row r="64" spans="1:18" s="67" customFormat="1" ht="15" customHeight="1" thickBot="1" x14ac:dyDescent="0.3">
      <c r="A64" s="540">
        <v>41</v>
      </c>
      <c r="B64" s="850" t="s">
        <v>3561</v>
      </c>
      <c r="C64" s="851"/>
      <c r="D64" s="851"/>
      <c r="E64" s="851"/>
      <c r="F64" s="851"/>
      <c r="G64" s="852"/>
      <c r="H64" s="134"/>
      <c r="I64" s="134"/>
      <c r="J64" s="134"/>
    </row>
    <row r="65" spans="1:18" s="67" customFormat="1" ht="15" customHeight="1" x14ac:dyDescent="0.25">
      <c r="A65" s="477">
        <v>42</v>
      </c>
      <c r="B65" s="853" t="s">
        <v>3562</v>
      </c>
      <c r="C65" s="854"/>
      <c r="D65" s="855"/>
      <c r="E65" s="855"/>
      <c r="F65" s="855"/>
      <c r="G65" s="856"/>
      <c r="H65" s="134"/>
      <c r="I65" s="134"/>
      <c r="J65" s="134"/>
    </row>
    <row r="66" spans="1:18" s="67" customFormat="1" ht="22.5" x14ac:dyDescent="0.25">
      <c r="A66" s="477">
        <v>43</v>
      </c>
      <c r="B66" s="54" t="s">
        <v>3566</v>
      </c>
      <c r="C66" s="525" t="s">
        <v>3573</v>
      </c>
      <c r="D66" s="163" t="s">
        <v>3574</v>
      </c>
      <c r="E66" s="44" t="s">
        <v>3575</v>
      </c>
      <c r="F66" s="44" t="s">
        <v>3568</v>
      </c>
      <c r="G66" s="172"/>
      <c r="H66" s="134"/>
      <c r="I66" s="134"/>
      <c r="J66" s="134"/>
    </row>
    <row r="67" spans="1:18" s="67" customFormat="1" ht="41.25" customHeight="1" x14ac:dyDescent="0.25">
      <c r="A67" s="477">
        <v>44</v>
      </c>
      <c r="B67" s="572"/>
      <c r="C67" s="573"/>
      <c r="D67" s="573"/>
      <c r="E67" s="574"/>
      <c r="F67" s="575"/>
      <c r="G67" s="531" t="str">
        <f>IF(B67="","INSERIRE TIPO LINEA",
IF(F67="","! INSERIRE IMPORTO CONSOLIDATO",
IF(OR(C67&lt;&gt;"",C67&lt;&gt;0,D67&lt;&gt;"",D67&lt;&gt;0),
IF(OR(E67="",E67=0),
IF(F67&gt;MAX(C67:D67),"! IMP.TO CONSOLIDATO ERRATO","OK"),"INSERIRE ACC.TO / UTILIZZATO PER LINEE BT O DEB. RESIDUO PER LINEE MLT"),IF((F67&gt;E67),"! IMP.TO CONSOLIDATO ERRATO","OK"))))</f>
        <v>INSERIRE TIPO LINEA</v>
      </c>
      <c r="H67" s="134"/>
      <c r="I67" s="134"/>
      <c r="J67" s="134"/>
    </row>
    <row r="68" spans="1:18" s="67" customFormat="1" ht="41.25" customHeight="1" x14ac:dyDescent="0.25">
      <c r="A68" s="477">
        <v>45</v>
      </c>
      <c r="B68" s="572"/>
      <c r="C68" s="573"/>
      <c r="D68" s="573"/>
      <c r="E68" s="574"/>
      <c r="F68" s="575"/>
      <c r="G68" s="531" t="str">
        <f t="shared" ref="G68:G71" si="0">IF(B68="","INSERIRE TIPO LINEA",
IF(F68="","! INSERIRE IMPORTO CONSOLIDATO",
IF(OR(C68&lt;&gt;"",C68&lt;&gt;0,D68&lt;&gt;"",D68&lt;&gt;0),
IF(OR(E68="",E68=0),
IF(F68&gt;MAX(C68:D68),"! IMP.TO CONSOLIDATO ERRATO","OK"),"INSERIRE ACC.TO / UTILIZZATO PER LINEE BT O DEB. RESIDUO PER LINEE MLT"),IF((F68&gt;E68),"! IMP.TO CONSOLIDATO ERRATO","OK"))))</f>
        <v>INSERIRE TIPO LINEA</v>
      </c>
      <c r="H68" s="134"/>
      <c r="I68" s="134"/>
      <c r="J68" s="134"/>
    </row>
    <row r="69" spans="1:18" s="67" customFormat="1" ht="41.25" customHeight="1" x14ac:dyDescent="0.25">
      <c r="A69" s="477">
        <v>46</v>
      </c>
      <c r="B69" s="572"/>
      <c r="C69" s="573"/>
      <c r="D69" s="576"/>
      <c r="E69" s="577"/>
      <c r="F69" s="575"/>
      <c r="G69" s="531" t="str">
        <f t="shared" si="0"/>
        <v>INSERIRE TIPO LINEA</v>
      </c>
      <c r="H69" s="134"/>
      <c r="I69" s="134"/>
      <c r="J69" s="134"/>
    </row>
    <row r="70" spans="1:18" s="67" customFormat="1" ht="41.25" customHeight="1" x14ac:dyDescent="0.25">
      <c r="A70" s="477">
        <v>47</v>
      </c>
      <c r="B70" s="572"/>
      <c r="C70" s="578"/>
      <c r="D70" s="576"/>
      <c r="E70" s="574"/>
      <c r="F70" s="575"/>
      <c r="G70" s="531" t="str">
        <f t="shared" si="0"/>
        <v>INSERIRE TIPO LINEA</v>
      </c>
      <c r="H70" s="134"/>
      <c r="I70" s="134"/>
      <c r="J70" s="134"/>
    </row>
    <row r="71" spans="1:18" s="67" customFormat="1" ht="41.25" customHeight="1" thickBot="1" x14ac:dyDescent="0.3">
      <c r="A71" s="477">
        <v>48</v>
      </c>
      <c r="B71" s="579"/>
      <c r="C71" s="580"/>
      <c r="D71" s="581"/>
      <c r="E71" s="582"/>
      <c r="F71" s="583"/>
      <c r="G71" s="538" t="str">
        <f t="shared" si="0"/>
        <v>INSERIRE TIPO LINEA</v>
      </c>
      <c r="H71" s="134"/>
      <c r="I71" s="134"/>
      <c r="J71" s="134"/>
    </row>
    <row r="72" spans="1:18" s="67" customFormat="1" ht="15" customHeight="1" x14ac:dyDescent="0.25">
      <c r="A72" s="125"/>
      <c r="B72" s="38"/>
      <c r="C72" s="158"/>
      <c r="D72" s="37"/>
      <c r="E72" s="134"/>
      <c r="F72" s="37"/>
      <c r="G72" s="134"/>
      <c r="H72" s="134"/>
      <c r="I72" s="134"/>
      <c r="J72" s="134"/>
    </row>
    <row r="73" spans="1:18" s="67" customFormat="1" ht="5.0999999999999996" customHeight="1" thickBot="1" x14ac:dyDescent="0.3">
      <c r="A73" s="125"/>
      <c r="B73" s="38"/>
      <c r="C73" s="158"/>
      <c r="D73" s="37"/>
      <c r="E73" s="134"/>
      <c r="F73" s="37"/>
      <c r="G73" s="134"/>
      <c r="H73" s="134"/>
      <c r="I73" s="134"/>
      <c r="J73" s="134"/>
    </row>
    <row r="74" spans="1:18" s="67" customFormat="1" ht="15.75" thickBot="1" x14ac:dyDescent="0.3">
      <c r="A74" s="553">
        <v>49</v>
      </c>
      <c r="B74" s="688" t="s">
        <v>3511</v>
      </c>
      <c r="C74" s="689"/>
      <c r="D74" s="689"/>
      <c r="E74" s="689"/>
      <c r="F74" s="689"/>
      <c r="G74" s="690"/>
      <c r="H74" s="505"/>
      <c r="I74" s="506"/>
      <c r="J74" s="506"/>
      <c r="Q74" s="136"/>
      <c r="R74" s="137"/>
    </row>
    <row r="75" spans="1:18" s="67" customFormat="1" ht="33.75" x14ac:dyDescent="0.25">
      <c r="A75" s="130">
        <v>50</v>
      </c>
      <c r="B75" s="588" t="s">
        <v>3525</v>
      </c>
      <c r="C75" s="612"/>
      <c r="D75" s="613"/>
      <c r="E75" s="588" t="s">
        <v>3619</v>
      </c>
      <c r="F75" s="614">
        <v>0</v>
      </c>
      <c r="G75" s="616" t="str">
        <f>IF(OR(F75="",F75&gt;D75),"! VERIFICARE PUNTUALMENTE AIUTI","OK")</f>
        <v>OK</v>
      </c>
      <c r="H75" s="505"/>
      <c r="I75" s="506"/>
      <c r="J75" s="506"/>
      <c r="Q75" s="136"/>
      <c r="R75" s="137"/>
    </row>
    <row r="76" spans="1:18" s="67" customFormat="1" ht="29.25" customHeight="1" x14ac:dyDescent="0.25">
      <c r="A76" s="130" t="s">
        <v>3620</v>
      </c>
      <c r="B76" s="615" t="s">
        <v>3529</v>
      </c>
      <c r="C76" s="555">
        <v>0</v>
      </c>
      <c r="D76" s="685" t="str">
        <f>+RULES!S31</f>
        <v>! VALORIZZARE IMPORTI FINANZIAMENTI T.F. 3.2</v>
      </c>
      <c r="E76" s="686"/>
      <c r="F76" s="686"/>
      <c r="G76" s="687"/>
      <c r="H76" s="505"/>
      <c r="I76" s="506"/>
      <c r="J76" s="506"/>
      <c r="Q76" s="136"/>
      <c r="R76" s="137"/>
    </row>
    <row r="77" spans="1:18" s="67" customFormat="1" ht="58.5" customHeight="1" x14ac:dyDescent="0.25">
      <c r="A77" s="107">
        <v>51</v>
      </c>
      <c r="B77" s="584" t="s">
        <v>3519</v>
      </c>
      <c r="C77" s="177" t="str">
        <f>+RULES!Q25</f>
        <v>OK</v>
      </c>
      <c r="D77" s="610" t="e">
        <f>+RULES!W32</f>
        <v>#N/A</v>
      </c>
      <c r="E77" s="585">
        <f>+RULES!W56</f>
        <v>0</v>
      </c>
      <c r="F77" s="727" t="str">
        <f>+RULES!W57</f>
        <v>OK</v>
      </c>
      <c r="G77" s="728"/>
      <c r="H77" s="505"/>
      <c r="I77" s="506"/>
      <c r="J77" s="506"/>
      <c r="Q77" s="136"/>
      <c r="R77" s="137"/>
    </row>
    <row r="78" spans="1:18" s="67" customFormat="1" ht="47.25" customHeight="1" thickBot="1" x14ac:dyDescent="0.3">
      <c r="A78" s="124">
        <v>52</v>
      </c>
      <c r="B78" s="586" t="s">
        <v>3522</v>
      </c>
      <c r="C78" s="509"/>
      <c r="D78" s="547" t="s">
        <v>3523</v>
      </c>
      <c r="E78" s="509"/>
      <c r="F78" s="611" t="str">
        <f>IF(E78&gt;=C78,"! SCONTO TASSO NON APPLICATO","OK")</f>
        <v>! SCONTO TASSO NON APPLICATO</v>
      </c>
      <c r="G78" s="587" t="str">
        <f>IF(C4=VAR_1!E8,"! ACQUISIRE DICHIARAZIONE SU PREMIO - SOLO RIASSICURAZIONI 100% CONTROGARANTITE", "")</f>
        <v/>
      </c>
      <c r="H78" s="505"/>
      <c r="I78" s="506"/>
      <c r="J78" s="506"/>
      <c r="Q78" s="136"/>
      <c r="R78" s="137"/>
    </row>
    <row r="79" spans="1:18" s="67" customFormat="1" ht="15.75" thickBot="1" x14ac:dyDescent="0.3">
      <c r="A79" s="123"/>
      <c r="B79" s="38"/>
      <c r="C79" s="158"/>
      <c r="D79" s="37"/>
      <c r="E79" s="134"/>
      <c r="F79" s="37"/>
      <c r="G79" s="134"/>
      <c r="H79" s="134"/>
      <c r="I79" s="134"/>
      <c r="J79" s="134"/>
    </row>
    <row r="80" spans="1:18" s="67" customFormat="1" ht="15.75" thickBot="1" x14ac:dyDescent="0.3">
      <c r="A80" s="123"/>
      <c r="B80" s="740" t="s">
        <v>3646</v>
      </c>
      <c r="C80" s="741"/>
      <c r="D80" s="741"/>
      <c r="E80" s="741"/>
      <c r="F80" s="741"/>
      <c r="G80" s="742"/>
      <c r="H80" s="134"/>
      <c r="I80" s="134"/>
      <c r="J80" s="134"/>
    </row>
    <row r="81" spans="1:10" ht="33.75" x14ac:dyDescent="0.25">
      <c r="B81" s="588" t="s">
        <v>3525</v>
      </c>
      <c r="C81" s="403"/>
      <c r="D81" s="600" t="s">
        <v>3652</v>
      </c>
      <c r="E81" s="642"/>
      <c r="F81" s="642"/>
      <c r="G81" s="643"/>
      <c r="H81" s="640"/>
    </row>
    <row r="82" spans="1:10" ht="22.5" x14ac:dyDescent="0.25">
      <c r="B82" s="584" t="s">
        <v>3653</v>
      </c>
      <c r="C82" s="146"/>
      <c r="D82" s="610" t="s">
        <v>3619</v>
      </c>
      <c r="E82" s="146">
        <v>0</v>
      </c>
      <c r="F82" s="656" t="str">
        <f>IF(C81=VAR_1!DA3,IF(OR(E82="",E82&gt;AVERAGE(E81:G81)),"! VERIFICARE PUNTUALMENTE AIUTI","OK"),IF(OR(E82="",E82&gt;'CHECK_2.9'!C82*0.5),"! VERIFICARE PUNTUALMENTE AIUTI","OK"))</f>
        <v>OK</v>
      </c>
      <c r="G82" s="657"/>
    </row>
    <row r="83" spans="1:10" ht="23.25" thickBot="1" x14ac:dyDescent="0.3">
      <c r="B83" s="586" t="s">
        <v>3654</v>
      </c>
      <c r="C83" s="641">
        <v>0</v>
      </c>
      <c r="D83" s="743" t="str">
        <f>IF(C83&gt;(C82*0.5),"! OP.NON AMM.LE RICAVI INF 15%","OK")</f>
        <v>OK</v>
      </c>
      <c r="E83" s="743"/>
      <c r="F83" s="644" t="e">
        <f>IF(C83&gt;(AVERAGE(E81:G81)*0.15),"! OP.NON AMM.LE RICAVI INF 15%","OK")</f>
        <v>#DIV/0!</v>
      </c>
      <c r="G83" s="645"/>
    </row>
    <row r="84" spans="1:10" ht="12" thickBot="1" x14ac:dyDescent="0.3">
      <c r="B84" s="639"/>
      <c r="C84" s="639"/>
      <c r="D84" s="639"/>
      <c r="E84" s="639"/>
      <c r="F84" s="639"/>
      <c r="G84" s="639"/>
    </row>
    <row r="85" spans="1:10" s="67" customFormat="1" ht="15" customHeight="1" thickBot="1" x14ac:dyDescent="0.3">
      <c r="A85" s="553">
        <v>53</v>
      </c>
      <c r="B85" s="766" t="s">
        <v>3558</v>
      </c>
      <c r="C85" s="767"/>
      <c r="D85" s="767"/>
      <c r="E85" s="767"/>
      <c r="F85" s="767"/>
      <c r="G85" s="768"/>
      <c r="H85" s="134"/>
      <c r="I85" s="134"/>
      <c r="J85" s="134"/>
    </row>
    <row r="86" spans="1:10" s="67" customFormat="1" ht="31.5" customHeight="1" x14ac:dyDescent="0.25">
      <c r="A86" s="540">
        <v>54</v>
      </c>
      <c r="B86" s="588" t="e">
        <f>+RULES!W32</f>
        <v>#N/A</v>
      </c>
      <c r="C86" s="589">
        <f>+RULES!W56</f>
        <v>0</v>
      </c>
      <c r="D86" s="695" t="str">
        <f>+RULES!W57</f>
        <v>OK</v>
      </c>
      <c r="E86" s="696"/>
      <c r="F86" s="556"/>
      <c r="G86" s="557"/>
      <c r="H86" s="134"/>
      <c r="I86" s="134"/>
      <c r="J86" s="134"/>
    </row>
    <row r="87" spans="1:10" s="67" customFormat="1" ht="34.5" thickBot="1" x14ac:dyDescent="0.3">
      <c r="A87" s="554">
        <v>55</v>
      </c>
      <c r="B87" s="586" t="s">
        <v>3522</v>
      </c>
      <c r="C87" s="509"/>
      <c r="D87" s="547" t="s">
        <v>3523</v>
      </c>
      <c r="E87" s="509"/>
      <c r="F87" s="733" t="str">
        <f>IF(E87&gt;=C87,"! SCONTO TASSO NON APPLICATO","OK")</f>
        <v>! SCONTO TASSO NON APPLICATO</v>
      </c>
      <c r="G87" s="734"/>
      <c r="H87" s="134"/>
      <c r="I87" s="134"/>
      <c r="J87" s="134"/>
    </row>
    <row r="88" spans="1:10" s="67" customFormat="1" ht="4.5" customHeight="1" thickBot="1" x14ac:dyDescent="0.3">
      <c r="A88" s="125"/>
      <c r="B88" s="534"/>
      <c r="C88" s="533"/>
      <c r="D88" s="534"/>
      <c r="E88" s="533"/>
      <c r="F88" s="535"/>
      <c r="G88" s="134"/>
      <c r="H88" s="134"/>
      <c r="I88" s="134"/>
      <c r="J88" s="134"/>
    </row>
    <row r="89" spans="1:10" s="67" customFormat="1" ht="12" customHeight="1" thickBot="1" x14ac:dyDescent="0.3">
      <c r="A89" s="553">
        <v>56</v>
      </c>
      <c r="B89" s="729" t="s">
        <v>3625</v>
      </c>
      <c r="C89" s="730"/>
      <c r="D89" s="730"/>
      <c r="E89" s="730"/>
      <c r="F89" s="730"/>
      <c r="G89" s="731"/>
      <c r="H89" s="134"/>
      <c r="I89" s="134"/>
      <c r="J89" s="134"/>
    </row>
    <row r="90" spans="1:10" s="67" customFormat="1" ht="29.25" customHeight="1" x14ac:dyDescent="0.25">
      <c r="A90" s="623"/>
      <c r="B90" s="588" t="s">
        <v>3587</v>
      </c>
      <c r="C90" s="732" t="s">
        <v>3640</v>
      </c>
      <c r="D90" s="732"/>
      <c r="E90" s="732"/>
      <c r="F90" s="624" t="s">
        <v>3637</v>
      </c>
      <c r="G90" s="936" t="s">
        <v>3664</v>
      </c>
      <c r="H90" s="134"/>
      <c r="I90" s="134"/>
      <c r="J90" s="134"/>
    </row>
    <row r="91" spans="1:10" s="67" customFormat="1" ht="33" customHeight="1" x14ac:dyDescent="0.25">
      <c r="A91" s="130">
        <v>57</v>
      </c>
      <c r="B91" s="584" t="s">
        <v>3588</v>
      </c>
      <c r="C91" s="558"/>
      <c r="D91" s="618" t="s">
        <v>3628</v>
      </c>
      <c r="E91" s="558"/>
      <c r="F91" s="693" t="str">
        <f>IF(G90&lt;&gt;G8,"! ATT.NE C.F. P.IVA DIFFERENTE DA AMM.NE - VERIFICARE COMUNICAZIONE ALLEGATO 5","OK")</f>
        <v>OK</v>
      </c>
      <c r="G91" s="694"/>
      <c r="H91" s="134"/>
      <c r="I91" s="134"/>
      <c r="J91" s="134"/>
    </row>
    <row r="92" spans="1:10" s="67" customFormat="1" ht="33" customHeight="1" x14ac:dyDescent="0.25">
      <c r="A92" s="130"/>
      <c r="B92" s="638" t="s">
        <v>3638</v>
      </c>
      <c r="C92" s="558"/>
      <c r="D92" s="685" t="str">
        <f>IF(C92="","! ATT.NE VALORIZZARE DATA SOTTOSCRIZIONE ALL.TO 4 NUOVA IMPRESA","OK")</f>
        <v>! ATT.NE VALORIZZARE DATA SOTTOSCRIZIONE ALL.TO 4 NUOVA IMPRESA</v>
      </c>
      <c r="E92" s="686"/>
      <c r="F92" s="686"/>
      <c r="G92" s="687"/>
      <c r="H92" s="134"/>
    </row>
    <row r="93" spans="1:10" s="67" customFormat="1" ht="26.25" customHeight="1" x14ac:dyDescent="0.25">
      <c r="A93" s="107">
        <v>58</v>
      </c>
      <c r="B93" s="651" t="s">
        <v>3627</v>
      </c>
      <c r="C93" s="652"/>
      <c r="D93" s="653"/>
      <c r="E93" s="685" t="str">
        <f>IF(C90="","",
IF(AND(E91&gt;RULES_TERMINI!C21,C91&gt;EDATE(E91,6)),"! COMUNICAZIONE VARIAZIONE PERVENTUTA OLTRE 6 MESI DA EVENTO","OK"))</f>
        <v>OK</v>
      </c>
      <c r="F93" s="686"/>
      <c r="G93" s="687"/>
      <c r="H93" s="134"/>
      <c r="I93" s="134"/>
      <c r="J93" s="134"/>
    </row>
    <row r="94" spans="1:10" s="67" customFormat="1" ht="12" customHeight="1" x14ac:dyDescent="0.25">
      <c r="A94" s="660" t="s">
        <v>16</v>
      </c>
      <c r="B94" s="701"/>
      <c r="C94" s="702"/>
      <c r="D94" s="702"/>
      <c r="E94" s="702"/>
      <c r="F94" s="702"/>
      <c r="G94" s="703"/>
      <c r="H94" s="134"/>
      <c r="I94" s="134"/>
      <c r="J94" s="134"/>
    </row>
    <row r="95" spans="1:10" s="67" customFormat="1" ht="12" customHeight="1" x14ac:dyDescent="0.25">
      <c r="A95" s="660"/>
      <c r="B95" s="701"/>
      <c r="C95" s="702"/>
      <c r="D95" s="702"/>
      <c r="E95" s="702"/>
      <c r="F95" s="702"/>
      <c r="G95" s="703"/>
      <c r="H95" s="134"/>
      <c r="I95" s="134"/>
      <c r="J95" s="134"/>
    </row>
    <row r="96" spans="1:10" s="67" customFormat="1" ht="12" customHeight="1" thickBot="1" x14ac:dyDescent="0.3">
      <c r="A96" s="661"/>
      <c r="B96" s="704"/>
      <c r="C96" s="705"/>
      <c r="D96" s="705"/>
      <c r="E96" s="705"/>
      <c r="F96" s="705"/>
      <c r="G96" s="706"/>
      <c r="H96" s="134"/>
      <c r="I96" s="134"/>
      <c r="J96" s="134"/>
    </row>
    <row r="97" spans="1:18" s="67" customFormat="1" ht="4.5" customHeight="1" thickBot="1" x14ac:dyDescent="0.3">
      <c r="A97" s="125"/>
      <c r="B97" s="520"/>
      <c r="C97" s="519"/>
      <c r="D97" s="520"/>
      <c r="E97" s="519"/>
      <c r="F97" s="521"/>
      <c r="G97" s="134"/>
      <c r="H97" s="134"/>
      <c r="I97" s="134"/>
      <c r="J97" s="134"/>
    </row>
    <row r="98" spans="1:18" s="67" customFormat="1" ht="12" customHeight="1" thickBot="1" x14ac:dyDescent="0.3">
      <c r="A98" s="120">
        <v>59</v>
      </c>
      <c r="B98" s="757" t="s">
        <v>58</v>
      </c>
      <c r="C98" s="758"/>
      <c r="D98" s="758"/>
      <c r="E98" s="758"/>
      <c r="F98" s="758"/>
      <c r="G98" s="759"/>
      <c r="H98" s="180" t="s">
        <v>2367</v>
      </c>
      <c r="I98" s="180" t="s">
        <v>2368</v>
      </c>
      <c r="J98" s="180" t="s">
        <v>2369</v>
      </c>
      <c r="P98" s="135"/>
    </row>
    <row r="99" spans="1:18" s="67" customFormat="1" ht="22.5" x14ac:dyDescent="0.25">
      <c r="A99" s="121">
        <v>60</v>
      </c>
      <c r="B99" s="46" t="s">
        <v>57</v>
      </c>
      <c r="C99" s="403" t="s">
        <v>239</v>
      </c>
      <c r="D99" s="45" t="str">
        <f>IF(OR('CHECK_2.9'!C99=VAR_1!AP12,'CHECK_2.9'!C99=VAR_1!AP10,'CHECK_2.9'!C99=VAR_1!AP11),"DURATA TOTALE POST ADEGUAMENTO","MAGG.RE DURATA VARIAZIONE (mesi)")</f>
        <v>MAGG.RE DURATA VARIAZIONE (mesi)</v>
      </c>
      <c r="E99" s="404"/>
      <c r="F99" s="45" t="s">
        <v>55</v>
      </c>
      <c r="G99" s="405"/>
      <c r="H99" s="479"/>
      <c r="I99" s="194"/>
      <c r="J99" s="195"/>
    </row>
    <row r="100" spans="1:18" s="67" customFormat="1" ht="15" x14ac:dyDescent="0.25">
      <c r="A100" s="666">
        <v>61</v>
      </c>
      <c r="B100" s="165" t="s">
        <v>294</v>
      </c>
      <c r="C100" s="599"/>
      <c r="D100" s="737" t="str">
        <f>IF(OR('CHECK_2.9'!C99=VAR_1!AP12,'CHECK_2.9'!C99=VAR_1!AP10,'CHECK_2.9'!C99=VAR_1!AP11),"PERFEZIONAMENTO ADEGUAMENTO DURATA/IMPORTO","DELIBERA VAR.NE RICHIEDENTE")</f>
        <v>DELIBERA VAR.NE RICHIEDENTE</v>
      </c>
      <c r="E100" s="738"/>
      <c r="F100" s="683" t="s">
        <v>2519</v>
      </c>
      <c r="G100" s="674"/>
      <c r="H100" s="425"/>
      <c r="I100" s="187"/>
      <c r="J100" s="188"/>
    </row>
    <row r="101" spans="1:18" s="67" customFormat="1" ht="22.5" customHeight="1" x14ac:dyDescent="0.25">
      <c r="A101" s="667"/>
      <c r="B101" s="165" t="s">
        <v>3602</v>
      </c>
      <c r="C101" s="31"/>
      <c r="D101" s="665"/>
      <c r="E101" s="739"/>
      <c r="F101" s="684"/>
      <c r="G101" s="675"/>
      <c r="H101" s="365"/>
      <c r="I101" s="189"/>
      <c r="J101" s="190"/>
    </row>
    <row r="102" spans="1:18" s="67" customFormat="1" ht="24.75" customHeight="1" x14ac:dyDescent="0.25">
      <c r="A102" s="107">
        <v>62</v>
      </c>
      <c r="B102" s="34" t="s">
        <v>54</v>
      </c>
      <c r="C102" s="31"/>
      <c r="D102" s="163" t="s">
        <v>2496</v>
      </c>
      <c r="E102" s="31"/>
      <c r="F102" s="48" t="str">
        <f>IF(C4&lt;&gt;"Garanzia Diretta",
IF(OR(C101&gt;=G101,G101&gt;=E101,E101&gt;=C102,C102&gt;=E102),"! VERIFICARE DATE INSERITE","OK"),IF(OR(C101&gt;=E101,E101&gt;=C102,C102&gt;=E102),"! VERIFICARE DATE INSERITE","OK"))</f>
        <v>! VERIFICARE DATE INSERITE</v>
      </c>
      <c r="G102" s="47" t="str">
        <f>IF(E99="","",RULES!K28)</f>
        <v/>
      </c>
      <c r="H102" s="365"/>
      <c r="I102" s="189"/>
      <c r="J102" s="190"/>
      <c r="P102" s="135"/>
    </row>
    <row r="103" spans="1:18" s="67" customFormat="1" ht="45" x14ac:dyDescent="0.25">
      <c r="A103" s="107"/>
      <c r="B103" s="34" t="s">
        <v>3604</v>
      </c>
      <c r="C103" s="481">
        <v>24</v>
      </c>
      <c r="D103" s="44" t="s">
        <v>3613</v>
      </c>
      <c r="E103" s="481">
        <v>4</v>
      </c>
      <c r="F103" s="44" t="s">
        <v>3612</v>
      </c>
      <c r="G103" s="605"/>
      <c r="H103" s="832" t="s">
        <v>3617</v>
      </c>
      <c r="I103" s="832"/>
      <c r="J103" s="833"/>
      <c r="P103" s="135"/>
    </row>
    <row r="104" spans="1:18" s="67" customFormat="1" ht="39" customHeight="1" x14ac:dyDescent="0.25">
      <c r="A104" s="107">
        <v>63</v>
      </c>
      <c r="B104" s="176" t="str">
        <f>IF(C103&lt;24,"! PREAMM.TO INFERIORE A 24M - VEDI COLONNA H","OK")</f>
        <v>OK</v>
      </c>
      <c r="C104" s="177" t="str">
        <f>+RULES!W64</f>
        <v>OK</v>
      </c>
      <c r="D104" s="177" t="str">
        <f>IF(G103&gt;30000,"! EROGAZIONE OLTRE SOGLIA €30.000","OK")</f>
        <v>OK</v>
      </c>
      <c r="E104" s="94" t="str">
        <f>+IF('CHECK_2.9'!E100&gt;=RULES_TERMINI!B75,"! VERIFICA TASSO ADEGUAMENTO - RIGA 216","")</f>
        <v/>
      </c>
      <c r="F104" s="735" t="str">
        <f>+RULES!W65</f>
        <v>OK</v>
      </c>
      <c r="G104" s="736"/>
      <c r="H104" s="834"/>
      <c r="I104" s="834"/>
      <c r="J104" s="835"/>
      <c r="P104" s="135"/>
    </row>
    <row r="105" spans="1:18" s="67" customFormat="1" ht="4.5" customHeight="1" x14ac:dyDescent="0.25">
      <c r="A105" s="107"/>
      <c r="B105" s="54"/>
      <c r="C105" s="525"/>
      <c r="D105" s="49"/>
      <c r="E105" s="117"/>
      <c r="F105" s="49"/>
      <c r="G105" s="173"/>
      <c r="H105" s="834"/>
      <c r="I105" s="834"/>
      <c r="J105" s="835"/>
    </row>
    <row r="106" spans="1:18" s="67" customFormat="1" ht="33.75" x14ac:dyDescent="0.25">
      <c r="A106" s="107">
        <v>64</v>
      </c>
      <c r="B106" s="34" t="s">
        <v>53</v>
      </c>
      <c r="C106" s="101"/>
      <c r="D106" s="163" t="s">
        <v>52</v>
      </c>
      <c r="E106" s="31"/>
      <c r="F106" s="44" t="s">
        <v>2503</v>
      </c>
      <c r="G106" s="169"/>
      <c r="H106" s="834"/>
      <c r="I106" s="834"/>
      <c r="J106" s="835"/>
      <c r="P106" s="135"/>
    </row>
    <row r="107" spans="1:18" s="67" customFormat="1" ht="3" customHeight="1" x14ac:dyDescent="0.25">
      <c r="A107" s="107"/>
      <c r="B107" s="54"/>
      <c r="C107" s="525"/>
      <c r="D107" s="49"/>
      <c r="E107" s="117"/>
      <c r="F107" s="49"/>
      <c r="G107" s="173"/>
      <c r="H107" s="834"/>
      <c r="I107" s="834"/>
      <c r="J107" s="835"/>
    </row>
    <row r="108" spans="1:18" s="67" customFormat="1" ht="33.75" x14ac:dyDescent="0.25">
      <c r="A108" s="107">
        <v>65</v>
      </c>
      <c r="B108" s="34" t="s">
        <v>51</v>
      </c>
      <c r="C108" s="101"/>
      <c r="D108" s="163" t="s">
        <v>50</v>
      </c>
      <c r="E108" s="31"/>
      <c r="F108" s="163" t="s">
        <v>49</v>
      </c>
      <c r="G108" s="169"/>
      <c r="H108" s="834"/>
      <c r="I108" s="834"/>
      <c r="J108" s="835"/>
      <c r="P108" s="135"/>
    </row>
    <row r="109" spans="1:18" s="67" customFormat="1" ht="2.25" customHeight="1" x14ac:dyDescent="0.25">
      <c r="A109" s="107"/>
      <c r="B109" s="54"/>
      <c r="C109" s="525"/>
      <c r="D109" s="49"/>
      <c r="E109" s="117"/>
      <c r="F109" s="49"/>
      <c r="G109" s="173"/>
      <c r="H109" s="834"/>
      <c r="I109" s="834"/>
      <c r="J109" s="835"/>
    </row>
    <row r="110" spans="1:18" s="67" customFormat="1" ht="34.5" thickBot="1" x14ac:dyDescent="0.3">
      <c r="A110" s="107">
        <v>66</v>
      </c>
      <c r="B110" s="422" t="s">
        <v>48</v>
      </c>
      <c r="C110" s="428" t="s">
        <v>23</v>
      </c>
      <c r="D110" s="52" t="s">
        <v>2587</v>
      </c>
      <c r="E110" s="398"/>
      <c r="F110" s="52" t="s">
        <v>47</v>
      </c>
      <c r="G110" s="606"/>
      <c r="H110" s="834"/>
      <c r="I110" s="834"/>
      <c r="J110" s="835"/>
      <c r="P110" s="135"/>
    </row>
    <row r="111" spans="1:18" s="67" customFormat="1" ht="15.75" thickBot="1" x14ac:dyDescent="0.3">
      <c r="A111" s="124">
        <v>67</v>
      </c>
      <c r="B111" s="769" t="str">
        <f>IF(OR(C102&gt;=RULES!N3,E110&gt;=RULES!N3),"! PROROGA 3M COVID-19 NON CONSIDERATA IN CALCOLI CHECK","")</f>
        <v/>
      </c>
      <c r="C111" s="691"/>
      <c r="D111" s="691"/>
      <c r="E111" s="691" t="str">
        <f>+RULES_TERMINI!M33</f>
        <v>OK</v>
      </c>
      <c r="F111" s="691"/>
      <c r="G111" s="692"/>
      <c r="H111" s="836"/>
      <c r="I111" s="836"/>
      <c r="J111" s="837"/>
      <c r="P111" s="135"/>
    </row>
    <row r="112" spans="1:18" s="67" customFormat="1" ht="43.5" customHeight="1" thickBot="1" x14ac:dyDescent="0.3">
      <c r="A112" s="122" t="s">
        <v>16</v>
      </c>
      <c r="B112" s="747"/>
      <c r="C112" s="748"/>
      <c r="D112" s="748"/>
      <c r="E112" s="748"/>
      <c r="F112" s="748"/>
      <c r="G112" s="749"/>
      <c r="H112" s="197"/>
      <c r="I112" s="198"/>
      <c r="J112" s="199"/>
      <c r="Q112" s="136"/>
      <c r="R112" s="137"/>
    </row>
    <row r="113" spans="1:14" s="67" customFormat="1" ht="5.0999999999999996" customHeight="1" thickBot="1" x14ac:dyDescent="0.3">
      <c r="A113" s="125"/>
      <c r="B113" s="38"/>
      <c r="C113" s="158"/>
      <c r="D113" s="37"/>
      <c r="E113" s="134"/>
      <c r="F113" s="37"/>
      <c r="G113" s="134"/>
      <c r="H113" s="134"/>
      <c r="I113" s="134"/>
      <c r="J113" s="134"/>
    </row>
    <row r="114" spans="1:14" s="67" customFormat="1" ht="12" customHeight="1" thickBot="1" x14ac:dyDescent="0.3">
      <c r="A114" s="120">
        <v>68</v>
      </c>
      <c r="B114" s="668" t="s">
        <v>46</v>
      </c>
      <c r="C114" s="669"/>
      <c r="D114" s="669"/>
      <c r="E114" s="669"/>
      <c r="F114" s="669"/>
      <c r="G114" s="670"/>
      <c r="H114" s="183" t="s">
        <v>2367</v>
      </c>
      <c r="I114" s="183" t="s">
        <v>2368</v>
      </c>
      <c r="J114" s="183" t="s">
        <v>2369</v>
      </c>
    </row>
    <row r="115" spans="1:14" s="67" customFormat="1" ht="52.5" customHeight="1" x14ac:dyDescent="0.25">
      <c r="A115" s="129">
        <v>69</v>
      </c>
      <c r="B115" s="43" t="s">
        <v>45</v>
      </c>
      <c r="C115" s="732" t="s">
        <v>44</v>
      </c>
      <c r="D115" s="732"/>
      <c r="E115" s="35" t="s">
        <v>43</v>
      </c>
      <c r="F115" s="403" t="s">
        <v>42</v>
      </c>
      <c r="G115" s="168" t="str">
        <f>+RULES!K11</f>
        <v>OK</v>
      </c>
      <c r="H115" s="193"/>
      <c r="I115" s="194"/>
      <c r="J115" s="195"/>
    </row>
    <row r="116" spans="1:14" s="67" customFormat="1" ht="4.5" customHeight="1" x14ac:dyDescent="0.25">
      <c r="A116" s="127"/>
      <c r="B116" s="30"/>
      <c r="C116" s="95"/>
      <c r="D116" s="29"/>
      <c r="E116" s="96"/>
      <c r="F116" s="29"/>
      <c r="G116" s="92"/>
      <c r="H116" s="167"/>
      <c r="I116" s="117"/>
      <c r="J116" s="173"/>
    </row>
    <row r="117" spans="1:14" s="67" customFormat="1" ht="39.75" customHeight="1" x14ac:dyDescent="0.25">
      <c r="A117" s="127">
        <v>70</v>
      </c>
      <c r="B117" s="164" t="s">
        <v>41</v>
      </c>
      <c r="C117" s="406" t="s">
        <v>237</v>
      </c>
      <c r="D117" s="163" t="s">
        <v>2527</v>
      </c>
      <c r="E117" s="31">
        <v>45384</v>
      </c>
      <c r="F117" s="163" t="s">
        <v>38</v>
      </c>
      <c r="G117" s="169">
        <v>45475</v>
      </c>
      <c r="H117" s="196"/>
      <c r="I117" s="189"/>
      <c r="J117" s="190"/>
    </row>
    <row r="118" spans="1:14" s="67" customFormat="1" ht="45" x14ac:dyDescent="0.25">
      <c r="A118" s="126">
        <v>71</v>
      </c>
      <c r="B118" s="42" t="s">
        <v>2225</v>
      </c>
      <c r="C118" s="406" t="s">
        <v>23</v>
      </c>
      <c r="D118" s="41" t="s">
        <v>37</v>
      </c>
      <c r="E118" s="31"/>
      <c r="F118" s="41" t="s">
        <v>36</v>
      </c>
      <c r="G118" s="169"/>
      <c r="H118" s="196"/>
      <c r="I118" s="189"/>
      <c r="J118" s="190"/>
      <c r="M118" s="138"/>
      <c r="N118" s="138"/>
    </row>
    <row r="119" spans="1:14" s="67" customFormat="1" ht="4.5" customHeight="1" x14ac:dyDescent="0.25">
      <c r="A119" s="127"/>
      <c r="B119" s="30"/>
      <c r="C119" s="95"/>
      <c r="D119" s="29"/>
      <c r="E119" s="96"/>
      <c r="F119" s="29"/>
      <c r="G119" s="92"/>
      <c r="H119" s="167"/>
      <c r="I119" s="117"/>
      <c r="J119" s="173"/>
    </row>
    <row r="120" spans="1:14" s="67" customFormat="1" ht="45.75" thickBot="1" x14ac:dyDescent="0.3">
      <c r="A120" s="126">
        <v>72</v>
      </c>
      <c r="B120" s="164" t="s">
        <v>2298</v>
      </c>
      <c r="C120" s="31">
        <v>45545</v>
      </c>
      <c r="D120" s="163" t="s">
        <v>35</v>
      </c>
      <c r="E120" s="31">
        <v>45547</v>
      </c>
      <c r="F120" s="164" t="str">
        <f>IF(C117=VAR_1!AY3,"DATA COMUNICAZIONE EVENTO DI RISCHIO A MCC","DATA COMUNICAZIONE AVVIO PROCEDURE A MCC")</f>
        <v>DATA COMUNICAZIONE EVENTO DI RISCHIO A MCC</v>
      </c>
      <c r="G120" s="169">
        <v>45511</v>
      </c>
      <c r="H120" s="197"/>
      <c r="I120" s="198"/>
      <c r="J120" s="199"/>
    </row>
    <row r="121" spans="1:14" s="67" customFormat="1" ht="4.5" customHeight="1" thickBot="1" x14ac:dyDescent="0.3">
      <c r="A121" s="127"/>
      <c r="B121" s="371"/>
      <c r="C121" s="372"/>
      <c r="D121" s="373"/>
      <c r="E121" s="374"/>
      <c r="F121" s="373"/>
      <c r="G121" s="375"/>
      <c r="H121" s="134"/>
      <c r="I121" s="134"/>
      <c r="J121" s="134"/>
    </row>
    <row r="122" spans="1:14" s="67" customFormat="1" ht="15" customHeight="1" thickBot="1" x14ac:dyDescent="0.3">
      <c r="A122" s="161">
        <v>73</v>
      </c>
      <c r="B122" s="845" t="str">
        <f>IF(RULES!E40="","",
IF(RULES!E40="E","! REGIME DA APPLICARE - D.O. EVENTO DI RISCHIO","REGIME DA APPLICARE - D.O. AVVIO PROCEDURE DI RECUPERO"))</f>
        <v>! REGIME DA APPLICARE - D.O. EVENTO DI RISCHIO</v>
      </c>
      <c r="C122" s="846"/>
      <c r="D122" s="846"/>
      <c r="E122" s="846"/>
      <c r="F122" s="846"/>
      <c r="G122" s="847"/>
      <c r="H122" s="134"/>
      <c r="I122" s="134"/>
      <c r="J122" s="134"/>
    </row>
    <row r="123" spans="1:14" s="67" customFormat="1" ht="27" customHeight="1" thickBot="1" x14ac:dyDescent="0.3">
      <c r="A123" s="121">
        <v>74</v>
      </c>
      <c r="B123" s="684" t="s">
        <v>34</v>
      </c>
      <c r="C123" s="376" t="str">
        <f>+RULES_TERMINI!J41</f>
        <v>OK</v>
      </c>
      <c r="D123" s="376" t="str">
        <f>+RULES_TERMINI!J48</f>
        <v>OK</v>
      </c>
      <c r="E123" s="376" t="str">
        <f>+RULES_TERMINI!J49</f>
        <v>OK</v>
      </c>
      <c r="F123" s="376" t="str">
        <f>+RULES_TERMINI!J50</f>
        <v>OK</v>
      </c>
      <c r="G123" s="377" t="str">
        <f>+RULES_TERMINI!J51</f>
        <v>OK</v>
      </c>
      <c r="H123" s="184" t="s">
        <v>2367</v>
      </c>
      <c r="I123" s="185" t="s">
        <v>2493</v>
      </c>
      <c r="J123" s="186" t="s">
        <v>2494</v>
      </c>
    </row>
    <row r="124" spans="1:14" s="67" customFormat="1" ht="43.5" customHeight="1" x14ac:dyDescent="0.25">
      <c r="A124" s="107">
        <v>75</v>
      </c>
      <c r="B124" s="700"/>
      <c r="C124" s="48" t="str">
        <f>+RULES_TERMINI!J52</f>
        <v>OK</v>
      </c>
      <c r="D124" s="48" t="str">
        <f>+RULES_TERMINI!J52</f>
        <v>OK</v>
      </c>
      <c r="E124" s="48" t="str">
        <f>+RULES_TERMINI!J53</f>
        <v>OK</v>
      </c>
      <c r="F124" s="48" t="str">
        <f>+RULES_TERMINI!J54</f>
        <v>OK</v>
      </c>
      <c r="G124" s="201" t="str">
        <f>+RULES_TERMINI!J55</f>
        <v>! EDR - TRANSITORIO KO</v>
      </c>
      <c r="H124" s="200"/>
      <c r="I124" s="187"/>
      <c r="J124" s="188"/>
      <c r="L124" s="636" t="s">
        <v>3635</v>
      </c>
    </row>
    <row r="125" spans="1:14" s="67" customFormat="1" ht="46.5" customHeight="1" x14ac:dyDescent="0.25">
      <c r="A125" s="126">
        <v>76</v>
      </c>
      <c r="B125" s="369" t="str">
        <f>+RULES_TERMINI!P67</f>
        <v>! EDR COMUNICATO OLTRE 3M</v>
      </c>
      <c r="C125" s="48" t="str">
        <f>+RULES_TERMINI!J59</f>
        <v>OK</v>
      </c>
      <c r="D125" s="48" t="str">
        <f>+RULES_TERMINI!J62</f>
        <v>OK -NO CTRL</v>
      </c>
      <c r="E125" s="48" t="str">
        <f>+RULES_TERMINI!J65</f>
        <v/>
      </c>
      <c r="F125" s="48" t="str">
        <f>+RULES_TERMINI!J66</f>
        <v/>
      </c>
      <c r="G125" s="201" t="str">
        <f>+RULES_TERMINI!J69</f>
        <v>OK - NO CTRL</v>
      </c>
      <c r="H125" s="196"/>
      <c r="I125" s="189"/>
      <c r="J125" s="190"/>
    </row>
    <row r="126" spans="1:14" s="67" customFormat="1" ht="46.5" customHeight="1" x14ac:dyDescent="0.25">
      <c r="A126" s="130">
        <v>77</v>
      </c>
      <c r="B126" s="656" t="str">
        <f>IF(RULES_TERMINI!P80="NO PROROGA","",RULES_TERMINI!M79)</f>
        <v/>
      </c>
      <c r="C126" s="656"/>
      <c r="D126" s="656" t="str">
        <f>+RULES_TERMINI!J99</f>
        <v>! SECONDO EDR COMUNICATO OLTRE TERMINE SCADENZA ATTIVAZIONE PRIMO EDR</v>
      </c>
      <c r="E126" s="656"/>
      <c r="F126" s="177" t="str">
        <f>+RULES_TERMINI!L94</f>
        <v>OK</v>
      </c>
      <c r="G126" s="635" t="b">
        <f>IF(F115=VAR_1!AV9,
IF('CHECK_2.9'!E117&lt;&gt;'CHECK_2.9'!G117,"! VERIFICARE DATA INADEMPIMENTO ≠ DATA EVENTO",
IF('CHECK_2.9'!G117&gt;'CHECK_2.9'!C58,"! ESCUSSIONE FIDEJUSSIONE OLTRE SCADENZA FINANZIAMENTO - IMPROCEDIBILE","OK")))</f>
        <v>0</v>
      </c>
      <c r="H126" s="196"/>
      <c r="I126" s="189"/>
      <c r="J126" s="190"/>
    </row>
    <row r="127" spans="1:14" s="67" customFormat="1" ht="4.5" customHeight="1" x14ac:dyDescent="0.25">
      <c r="A127" s="127"/>
      <c r="B127" s="30"/>
      <c r="C127" s="95"/>
      <c r="D127" s="29"/>
      <c r="E127" s="96"/>
      <c r="F127" s="29"/>
      <c r="G127" s="96"/>
      <c r="H127" s="167"/>
      <c r="I127" s="181"/>
      <c r="J127" s="182"/>
    </row>
    <row r="128" spans="1:14" s="67" customFormat="1" ht="23.25" customHeight="1" x14ac:dyDescent="0.25">
      <c r="A128" s="127">
        <v>78</v>
      </c>
      <c r="B128" s="708" t="str">
        <f>IF(AND(RULES!E33="A",RULES!E34="E"),"! AVVIO PROCEDURE IN REGIME D.O. EVENTO DI RISCHIO - VERIFICARE CONDIZIONI EFFICACIA GARANZIA - EVENTO DI RISCHIO NON COMUNICATO SECONDO LE MODALITA' PREVISTE DALLE D.O.",
IF(AND(RULES!E33="E",RULES!E34="A"),"! AVVIO PROCEDURE ANTE D.O. EVENTO DI RISCHIO - VERIFICARE CONDIZIONI EFFICACIA GARANZIA - AVVIO PROCEDURE NON COMUNICATO SECONDO LE MODALITA' PREVISTE DALLE D.O.",""))</f>
        <v/>
      </c>
      <c r="C128" s="656"/>
      <c r="D128" s="656"/>
      <c r="E128" s="656"/>
      <c r="F128" s="656"/>
      <c r="G128" s="685"/>
      <c r="H128" s="196"/>
      <c r="I128" s="189"/>
      <c r="J128" s="190"/>
      <c r="L128" s="64"/>
    </row>
    <row r="129" spans="1:18" s="67" customFormat="1" ht="4.5" customHeight="1" x14ac:dyDescent="0.25">
      <c r="A129" s="127"/>
      <c r="B129" s="30"/>
      <c r="C129" s="95"/>
      <c r="D129" s="29"/>
      <c r="E129" s="96"/>
      <c r="F129" s="29"/>
      <c r="G129" s="96"/>
      <c r="H129" s="167"/>
      <c r="I129" s="181"/>
      <c r="J129" s="182"/>
    </row>
    <row r="130" spans="1:18" s="67" customFormat="1" ht="33.75" x14ac:dyDescent="0.25">
      <c r="A130" s="126">
        <v>79</v>
      </c>
      <c r="B130" s="164" t="s">
        <v>33</v>
      </c>
      <c r="C130" s="40" t="str">
        <f>+RULES_TERMINI!J2</f>
        <v>OK</v>
      </c>
      <c r="D130" s="48" t="str">
        <f>+RULES_TERMINI!J3</f>
        <v>OK</v>
      </c>
      <c r="E130" s="40" t="str">
        <f>+RULES_TERMINI!J8</f>
        <v>OK TERMINI RICHIESTA SOSPENSIONE</v>
      </c>
      <c r="F130" s="48" t="str">
        <f>+RULES_TERMINI!J9</f>
        <v>! AVVIO OLTRE TERMINI SOSPENSIONE</v>
      </c>
      <c r="G130" s="201" t="str">
        <f>+RULES_TERMINI!J10</f>
        <v>OK</v>
      </c>
      <c r="H130" s="196"/>
      <c r="I130" s="189"/>
      <c r="J130" s="190"/>
      <c r="P130" s="143"/>
    </row>
    <row r="131" spans="1:18" s="67" customFormat="1" ht="4.5" customHeight="1" x14ac:dyDescent="0.25">
      <c r="A131" s="127"/>
      <c r="B131" s="30"/>
      <c r="C131" s="95"/>
      <c r="D131" s="29"/>
      <c r="E131" s="96"/>
      <c r="F131" s="29"/>
      <c r="G131" s="96"/>
      <c r="H131" s="167"/>
      <c r="I131" s="181"/>
      <c r="J131" s="182"/>
    </row>
    <row r="132" spans="1:18" s="67" customFormat="1" ht="55.5" customHeight="1" x14ac:dyDescent="0.25">
      <c r="A132" s="127">
        <v>80</v>
      </c>
      <c r="B132" s="842" t="s">
        <v>32</v>
      </c>
      <c r="C132" s="40" t="str">
        <f>+RULES_TERMINI!J13</f>
        <v>! REVOCA ≠ INADEMPIMENTO - A3</v>
      </c>
      <c r="D132" s="48" t="str">
        <f>+RULES_TERMINI!J14</f>
        <v>OK</v>
      </c>
      <c r="E132" s="40" t="str">
        <f>+RULES_TERMINI!J15</f>
        <v>OK</v>
      </c>
      <c r="F132" s="48" t="str">
        <f>+RULES_TERMINI!J17</f>
        <v>OK</v>
      </c>
      <c r="G132" s="201" t="str">
        <f>+RULES_TERMINI!J18</f>
        <v>OK</v>
      </c>
      <c r="H132" s="196"/>
      <c r="I132" s="189"/>
      <c r="J132" s="190"/>
    </row>
    <row r="133" spans="1:18" s="67" customFormat="1" ht="37.5" customHeight="1" x14ac:dyDescent="0.25">
      <c r="A133" s="126">
        <v>81</v>
      </c>
      <c r="B133" s="842"/>
      <c r="C133" s="40" t="str">
        <f>+RULES_TERMINI!J20</f>
        <v>OK</v>
      </c>
      <c r="D133" s="48" t="str">
        <f>+RULES_TERMINI!J21</f>
        <v>OK</v>
      </c>
      <c r="E133" s="48" t="str">
        <f>+RULES_TERMINI!J27</f>
        <v>OK TERMINI RICHIESTA</v>
      </c>
      <c r="F133" s="40" t="str">
        <f>+RULES_TERMINI!J28</f>
        <v>OK</v>
      </c>
      <c r="G133" s="201" t="str">
        <f>+RULES_TERMINI!J29</f>
        <v>! AVVIO OLTRE TERMINI SOSPENSIONE</v>
      </c>
      <c r="H133" s="196"/>
      <c r="I133" s="189"/>
      <c r="J133" s="190"/>
    </row>
    <row r="134" spans="1:18" s="67" customFormat="1" ht="63" customHeight="1" thickBot="1" x14ac:dyDescent="0.3">
      <c r="A134" s="128">
        <v>82</v>
      </c>
      <c r="B134" s="843"/>
      <c r="C134" s="39" t="str">
        <f>+RULES_TERMINI!J30</f>
        <v>OK</v>
      </c>
      <c r="D134" s="97" t="str">
        <f>+RULES_TERMINI!J31</f>
        <v>! AVVIO OLTRE TERMINI SOSPENSIONE</v>
      </c>
      <c r="E134" s="97" t="str">
        <f>+RULES_TERMINI!J34</f>
        <v>OK TERMINI RICHIESTA</v>
      </c>
      <c r="F134" s="39" t="str">
        <f>+RULES_TERMINI!J35</f>
        <v>! AVVIO OLTRE TERMINI SOSPENSIONE</v>
      </c>
      <c r="G134" s="202" t="str">
        <f>+RULES_TERMINI!J36</f>
        <v>OK</v>
      </c>
      <c r="H134" s="196"/>
      <c r="I134" s="189"/>
      <c r="J134" s="190"/>
    </row>
    <row r="135" spans="1:18" s="67" customFormat="1" ht="12" customHeight="1" thickBot="1" x14ac:dyDescent="0.3">
      <c r="A135" s="128"/>
      <c r="B135" s="839" t="str">
        <f>IF(RULES!E40="A",
IF(OR('CHECK_2.9'!E120&gt;=RULES!N3,'CHECK_2.9'!G120&gt;=RULES!N3),"! PROROGA ADEMPIMENTI DI +3M COVID-19 NON CONSIDERATA IN CALCOLI CHECK",""),
IF(OR(E118&gt;=RULES!N3,'CHECK_2.9'!G117&gt;=RULES!N3),"! PROROGA ADEMPIMENTI DI +3M COVID-19 NON CONSIDERATA IN CALCOLI CHECK",""))</f>
        <v>! PROROGA ADEMPIMENTI DI +3M COVID-19 NON CONSIDERATA IN CALCOLI CHECK</v>
      </c>
      <c r="C135" s="840"/>
      <c r="D135" s="840"/>
      <c r="E135" s="840"/>
      <c r="F135" s="840"/>
      <c r="G135" s="841"/>
      <c r="H135" s="434"/>
      <c r="I135" s="435"/>
      <c r="J135" s="436"/>
    </row>
    <row r="136" spans="1:18" s="67" customFormat="1" ht="57" customHeight="1" thickBot="1" x14ac:dyDescent="0.3">
      <c r="A136" s="122" t="s">
        <v>16</v>
      </c>
      <c r="B136" s="744"/>
      <c r="C136" s="745"/>
      <c r="D136" s="745"/>
      <c r="E136" s="745"/>
      <c r="F136" s="745"/>
      <c r="G136" s="844"/>
      <c r="H136" s="197"/>
      <c r="I136" s="198"/>
      <c r="J136" s="199"/>
      <c r="Q136" s="136"/>
      <c r="R136" s="137"/>
    </row>
    <row r="137" spans="1:18" s="67" customFormat="1" ht="5.0999999999999996" customHeight="1" thickBot="1" x14ac:dyDescent="0.3">
      <c r="A137" s="125"/>
      <c r="B137" s="38"/>
      <c r="C137" s="158"/>
      <c r="D137" s="37"/>
      <c r="E137" s="134"/>
      <c r="F137" s="37"/>
      <c r="G137" s="134"/>
      <c r="H137" s="134"/>
      <c r="I137" s="134"/>
      <c r="J137" s="134"/>
    </row>
    <row r="138" spans="1:18" s="67" customFormat="1" ht="12" customHeight="1" thickBot="1" x14ac:dyDescent="0.3">
      <c r="A138" s="120">
        <v>83</v>
      </c>
      <c r="B138" s="668" t="s">
        <v>31</v>
      </c>
      <c r="C138" s="669"/>
      <c r="D138" s="669"/>
      <c r="E138" s="669"/>
      <c r="F138" s="669"/>
      <c r="G138" s="670"/>
      <c r="H138" s="184" t="s">
        <v>2367</v>
      </c>
      <c r="I138" s="185" t="s">
        <v>2368</v>
      </c>
      <c r="J138" s="186" t="s">
        <v>2369</v>
      </c>
    </row>
    <row r="139" spans="1:18" s="67" customFormat="1" ht="33.75" x14ac:dyDescent="0.25">
      <c r="A139" s="121">
        <v>84</v>
      </c>
      <c r="B139" s="36" t="s">
        <v>30</v>
      </c>
      <c r="C139" s="388" t="s">
        <v>23</v>
      </c>
      <c r="D139" s="35" t="s">
        <v>28</v>
      </c>
      <c r="E139" s="407"/>
      <c r="F139" s="35" t="s">
        <v>27</v>
      </c>
      <c r="G139" s="405"/>
      <c r="H139" s="425"/>
      <c r="I139" s="187"/>
      <c r="J139" s="188"/>
    </row>
    <row r="140" spans="1:18" s="67" customFormat="1" ht="22.5" x14ac:dyDescent="0.25">
      <c r="A140" s="130">
        <v>85</v>
      </c>
      <c r="B140" s="33" t="s">
        <v>26</v>
      </c>
      <c r="C140" s="406" t="s">
        <v>25</v>
      </c>
      <c r="D140" s="163" t="s">
        <v>24</v>
      </c>
      <c r="E140" s="145">
        <f>+F4</f>
        <v>0</v>
      </c>
      <c r="F140" s="163" t="s">
        <v>22</v>
      </c>
      <c r="G140" s="108"/>
      <c r="H140" s="365"/>
      <c r="I140" s="189"/>
      <c r="J140" s="190"/>
    </row>
    <row r="141" spans="1:18" s="67" customFormat="1" ht="4.5" customHeight="1" x14ac:dyDescent="0.25">
      <c r="A141" s="107"/>
      <c r="B141" s="30"/>
      <c r="C141" s="95"/>
      <c r="D141" s="29"/>
      <c r="E141" s="96"/>
      <c r="F141" s="29"/>
      <c r="G141" s="92"/>
      <c r="H141" s="426"/>
      <c r="I141" s="117"/>
      <c r="J141" s="173"/>
    </row>
    <row r="142" spans="1:18" s="67" customFormat="1" ht="45" x14ac:dyDescent="0.25">
      <c r="A142" s="107">
        <v>86</v>
      </c>
      <c r="B142" s="54" t="s">
        <v>21</v>
      </c>
      <c r="C142" s="400"/>
      <c r="D142" s="163" t="s">
        <v>20</v>
      </c>
      <c r="E142" s="408"/>
      <c r="F142" s="163" t="str">
        <f>IF(E140="NO",IF(C140&lt;&gt;"IMPEGNO","DATA VERSAMENTO CONFIDI","DATA IMPEGNO CONFIDI"),"DATA DICHIARAZIONE EFFICACIA GAR. CONFIDI")</f>
        <v>DATA DICHIARAZIONE EFFICACIA GAR. CONFIDI</v>
      </c>
      <c r="G142" s="409"/>
      <c r="H142" s="365"/>
      <c r="I142" s="189"/>
      <c r="J142" s="190"/>
    </row>
    <row r="143" spans="1:18" s="67" customFormat="1" ht="4.5" customHeight="1" x14ac:dyDescent="0.25">
      <c r="A143" s="107"/>
      <c r="B143" s="30"/>
      <c r="C143" s="95"/>
      <c r="D143" s="29"/>
      <c r="E143" s="96"/>
      <c r="F143" s="29"/>
      <c r="G143" s="92"/>
      <c r="H143" s="426"/>
      <c r="I143" s="117"/>
      <c r="J143" s="173"/>
    </row>
    <row r="144" spans="1:18" s="67" customFormat="1" ht="22.5" x14ac:dyDescent="0.25">
      <c r="A144" s="130">
        <v>87</v>
      </c>
      <c r="B144" s="34" t="s">
        <v>19</v>
      </c>
      <c r="C144" s="359">
        <v>45978</v>
      </c>
      <c r="D144" s="32" t="s">
        <v>2365</v>
      </c>
      <c r="E144" s="410">
        <v>15820.25</v>
      </c>
      <c r="F144" s="163" t="s">
        <v>2226</v>
      </c>
      <c r="G144" s="411"/>
      <c r="H144" s="365"/>
      <c r="I144" s="189"/>
      <c r="J144" s="190"/>
    </row>
    <row r="145" spans="1:18" s="67" customFormat="1" ht="33.75" x14ac:dyDescent="0.25">
      <c r="A145" s="130">
        <v>88</v>
      </c>
      <c r="B145" s="421" t="str">
        <f>IF(OR(C4="Garanzia Diretta",E140="SI"),"AMMONTARE RICHIESTA ESCUSSIONE FDG",
IF(C140&lt;&gt;"IMPEGNO","IMPORTO VERSAMENTO CONFIDI","IMPORTO IMPEGNO CONFIDI"))</f>
        <v>AMMONTARE RICHIESTA ESCUSSIONE FDG</v>
      </c>
      <c r="C145" s="410">
        <v>15834.73</v>
      </c>
      <c r="D145" s="32" t="s">
        <v>18</v>
      </c>
      <c r="E145" s="359">
        <v>45574</v>
      </c>
      <c r="F145" s="48" t="str">
        <f>+RULES!H30</f>
        <v>! RILEVAZIONE AL 29 GIORNO</v>
      </c>
      <c r="G145" s="47" t="str">
        <f>+RULES!H39</f>
        <v>OK - RILEVAZIONE AL 4 MESE DA EDR</v>
      </c>
      <c r="H145" s="365"/>
      <c r="I145" s="189"/>
      <c r="J145" s="190"/>
      <c r="P145" s="134"/>
    </row>
    <row r="146" spans="1:18" s="67" customFormat="1" ht="33.75" customHeight="1" x14ac:dyDescent="0.25">
      <c r="A146" s="130">
        <v>89</v>
      </c>
      <c r="B146" s="707" t="str">
        <f>IF(RULES!H29&gt;0,"! RILEVAZIONE INFERIORE AL 60-ESIMO GG - ACQUISIRE DICHIARAZIONE DI NON RECUPERO SOMME","OK")</f>
        <v>! RILEVAZIONE INFERIORE AL 60-ESIMO GG - ACQUISIRE DICHIARAZIONE DI NON RECUPERO SOMME</v>
      </c>
      <c r="C146" s="708"/>
      <c r="D146" s="685" t="str">
        <f>+RULES!I42</f>
        <v>VERIFICARE RILEVAZIONE AL MASSIMO AL 11 MESE DALL'EVENTO: 02/06/2025</v>
      </c>
      <c r="E146" s="686"/>
      <c r="F146" s="686"/>
      <c r="G146" s="687"/>
      <c r="H146" s="365"/>
      <c r="I146" s="189"/>
      <c r="J146" s="190"/>
      <c r="P146" s="134"/>
    </row>
    <row r="147" spans="1:18" s="67" customFormat="1" ht="4.5" customHeight="1" x14ac:dyDescent="0.25">
      <c r="A147" s="107"/>
      <c r="B147" s="30"/>
      <c r="C147" s="95"/>
      <c r="D147" s="29"/>
      <c r="E147" s="96"/>
      <c r="F147" s="29"/>
      <c r="G147" s="92"/>
      <c r="H147" s="426"/>
      <c r="I147" s="117"/>
      <c r="J147" s="173"/>
    </row>
    <row r="148" spans="1:18" s="67" customFormat="1" ht="22.5" x14ac:dyDescent="0.25">
      <c r="A148" s="477">
        <v>90</v>
      </c>
      <c r="B148" s="54" t="s">
        <v>3594</v>
      </c>
      <c r="C148" s="359"/>
      <c r="D148" s="163" t="s">
        <v>3595</v>
      </c>
      <c r="E148" s="548"/>
      <c r="F148" s="163" t="s">
        <v>3598</v>
      </c>
      <c r="G148" s="559"/>
      <c r="H148" s="426"/>
      <c r="I148" s="117"/>
      <c r="J148" s="173"/>
    </row>
    <row r="149" spans="1:18" s="67" customFormat="1" ht="22.5" x14ac:dyDescent="0.25">
      <c r="A149" s="477">
        <v>91</v>
      </c>
      <c r="B149" s="57" t="s">
        <v>3596</v>
      </c>
      <c r="C149" s="625"/>
      <c r="D149" s="619" t="s">
        <v>3597</v>
      </c>
      <c r="E149" s="625"/>
      <c r="F149" s="626" t="str">
        <f>IF(G20=VAR_1!U9,
IF(C148&gt;EDATE(G117,24),"! ATT.NE ESCUSSIONE OLTRE 24 MESI DA EDR","OK"),"")</f>
        <v/>
      </c>
      <c r="G149" s="627" t="str">
        <f>IF((C149+E149)&gt;G148,"! VERIFICARE IMPORTI","OK")</f>
        <v>OK</v>
      </c>
      <c r="H149" s="426"/>
      <c r="I149" s="117"/>
      <c r="J149" s="173"/>
    </row>
    <row r="150" spans="1:18" s="67" customFormat="1" ht="26.25" customHeight="1" x14ac:dyDescent="0.25">
      <c r="A150" s="130"/>
      <c r="B150" s="654" t="s">
        <v>3627</v>
      </c>
      <c r="C150" s="655"/>
      <c r="D150" s="655"/>
      <c r="E150" s="656" t="str">
        <f>IF(AND(E117&gt;E91,C90=VAR_1!DE10),"! DATA INADEMPIMENTO SUCCESSIVA A VARIAZIONE - ACQUISIRE DOCUMENTAZIONE SU CHI HA EFFETTUATO I PAGAMENTI","OK")</f>
        <v>OK</v>
      </c>
      <c r="F150" s="656"/>
      <c r="G150" s="657"/>
      <c r="H150" s="426"/>
      <c r="I150" s="117"/>
      <c r="J150" s="173"/>
    </row>
    <row r="151" spans="1:18" s="67" customFormat="1" ht="4.5" customHeight="1" thickBot="1" x14ac:dyDescent="0.3">
      <c r="A151" s="130"/>
      <c r="B151" s="620"/>
      <c r="C151" s="628"/>
      <c r="D151" s="629"/>
      <c r="E151" s="630"/>
      <c r="F151" s="629"/>
      <c r="G151" s="631"/>
      <c r="H151" s="426"/>
      <c r="I151" s="117"/>
      <c r="J151" s="173"/>
    </row>
    <row r="152" spans="1:18" s="67" customFormat="1" ht="23.25" customHeight="1" thickBot="1" x14ac:dyDescent="0.3">
      <c r="A152" s="126">
        <v>92</v>
      </c>
      <c r="B152" s="646" t="str">
        <f>IF(RULES!E40="E","! RICHIESTA DI ESCUSSIONE IN REGIME DI EVENTO DI RISCHIO - APPLICARE D.O. EDR","! RICHIESTA DI ESCUSSIONE IN REGIME DI AVVIO PROCEDURE DI RECUPERO - APPLICARE D.O. 'AVVIO PROCEDURE DI RECUPERO'")</f>
        <v>! RICHIESTA DI ESCUSSIONE IN REGIME DI EVENTO DI RISCHIO - APPLICARE D.O. EDR</v>
      </c>
      <c r="C152" s="647"/>
      <c r="D152" s="647"/>
      <c r="E152" s="647"/>
      <c r="F152" s="647"/>
      <c r="G152" s="648"/>
      <c r="H152" s="196"/>
      <c r="I152" s="189"/>
      <c r="J152" s="190"/>
      <c r="P152" s="134"/>
    </row>
    <row r="153" spans="1:18" s="67" customFormat="1" ht="4.5" customHeight="1" thickBot="1" x14ac:dyDescent="0.3">
      <c r="A153" s="127"/>
      <c r="B153" s="560"/>
      <c r="C153" s="158"/>
      <c r="D153" s="37"/>
      <c r="E153" s="134"/>
      <c r="F153" s="37"/>
      <c r="G153" s="159"/>
      <c r="H153" s="167"/>
      <c r="I153" s="117"/>
      <c r="J153" s="173"/>
    </row>
    <row r="154" spans="1:18" s="67" customFormat="1" ht="69.75" customHeight="1" x14ac:dyDescent="0.25">
      <c r="A154" s="126">
        <v>93</v>
      </c>
      <c r="B154" s="36" t="s">
        <v>17</v>
      </c>
      <c r="C154" s="561" t="str">
        <f>+RULES_TERMINI!J75</f>
        <v>OK</v>
      </c>
      <c r="D154" s="561" t="str">
        <f>+RULES_TERMINI!M43</f>
        <v>! ATTIVAZIONE OLTRE 120 GG DA AVVIO</v>
      </c>
      <c r="E154" s="561" t="str">
        <f>+RULES_TERMINI!M44</f>
        <v>! ATTIVAZIONE OLTRE 3M DA IMPEGNO/VERSAMENTO</v>
      </c>
      <c r="F154" s="561" t="str">
        <f>+RULES_TERMINI!M45</f>
        <v>! 180 GG NON APPLICABILI - ATTIVAZIONE OLTRE 120 GG DA AVVIO</v>
      </c>
      <c r="G154" s="168" t="str">
        <f>+RULES_TERMINI!M46</f>
        <v>! ATTIVAZIONE OLTRE 180 GG DA AVVIO</v>
      </c>
      <c r="H154" s="196"/>
      <c r="I154" s="189"/>
      <c r="J154" s="190"/>
      <c r="P154" s="134"/>
    </row>
    <row r="155" spans="1:18" s="67" customFormat="1" ht="51.75" customHeight="1" thickBot="1" x14ac:dyDescent="0.3">
      <c r="A155" s="161">
        <v>94</v>
      </c>
      <c r="B155" s="437" t="str">
        <f>IF(RULES_TERMINI!P80="NO PROROGA","",
IF(RULES_TERMINI!M63=1,RULES_TERMINI!O79,RULES_TERMINI!O80))</f>
        <v/>
      </c>
      <c r="C155" s="97" t="str">
        <f>+RULES_TERMINI!M53</f>
        <v>! RICHIESTA DI ESCUSSIONE SUCCESSIVA A TERMINE SOSPENSIONE</v>
      </c>
      <c r="D155" s="97" t="str">
        <f>+RULES_TERMINI!M61</f>
        <v>! ATTENZIONE ESCUSSIONE OLTRE 9M DA EVENTO</v>
      </c>
      <c r="E155" s="97" t="str">
        <f>+RULES_TERMINI!M62</f>
        <v>OK</v>
      </c>
      <c r="F155" s="97">
        <f>+C144-E120</f>
        <v>431</v>
      </c>
      <c r="G155" s="98">
        <f>((C144-G117)/30)</f>
        <v>16.766666666666666</v>
      </c>
      <c r="H155" s="196"/>
      <c r="I155" s="189"/>
      <c r="J155" s="190"/>
      <c r="P155" s="134"/>
    </row>
    <row r="156" spans="1:18" s="67" customFormat="1" ht="55.5" customHeight="1" thickBot="1" x14ac:dyDescent="0.3">
      <c r="A156" s="122" t="s">
        <v>16</v>
      </c>
      <c r="B156" s="676"/>
      <c r="C156" s="677"/>
      <c r="D156" s="677"/>
      <c r="E156" s="677"/>
      <c r="F156" s="677"/>
      <c r="G156" s="678"/>
      <c r="H156" s="197"/>
      <c r="I156" s="198"/>
      <c r="J156" s="199"/>
      <c r="Q156" s="136"/>
      <c r="R156" s="137"/>
    </row>
    <row r="157" spans="1:18" s="67" customFormat="1" ht="5.0999999999999996" customHeight="1" thickBot="1" x14ac:dyDescent="0.3">
      <c r="A157" s="125"/>
      <c r="B157" s="38"/>
      <c r="C157" s="158"/>
      <c r="D157" s="37"/>
      <c r="E157" s="134"/>
      <c r="F157" s="37"/>
      <c r="G157" s="159"/>
      <c r="H157" s="134"/>
      <c r="I157" s="134"/>
      <c r="J157" s="134"/>
    </row>
    <row r="158" spans="1:18" s="67" customFormat="1" ht="12" customHeight="1" thickBot="1" x14ac:dyDescent="0.3">
      <c r="A158" s="120">
        <v>95</v>
      </c>
      <c r="B158" s="668" t="str">
        <f>CONCATENATE("VERIFICA PROCESS: ",G20," op n° ",C2," - data domanda amm.ne: ",TEXT(C28,"gg/mm/aaa"))</f>
        <v>VERIFICA PROCESS: Lettera m) art13 DL Liquidità op n° 1437613 - data domanda amm.ne: 25/05/2020</v>
      </c>
      <c r="C158" s="669"/>
      <c r="D158" s="669"/>
      <c r="E158" s="669"/>
      <c r="F158" s="669"/>
      <c r="G158" s="670"/>
      <c r="H158" s="184" t="s">
        <v>2367</v>
      </c>
      <c r="I158" s="185" t="s">
        <v>2368</v>
      </c>
      <c r="J158" s="186" t="s">
        <v>2369</v>
      </c>
    </row>
    <row r="159" spans="1:18" s="67" customFormat="1" ht="15" x14ac:dyDescent="0.25">
      <c r="A159" s="129">
        <v>96</v>
      </c>
      <c r="B159" s="113" t="str">
        <f>+F20</f>
        <v>PROCESS</v>
      </c>
      <c r="C159" s="106" t="str">
        <f>+G20</f>
        <v>Lettera m) art13 DL Liquidità</v>
      </c>
      <c r="D159" s="848" t="str">
        <f>CONCATENATE(E10,": ",F10)</f>
        <v>SETTORE: Commercio, servizi e altro</v>
      </c>
      <c r="E159" s="849"/>
      <c r="F159" s="62" t="s">
        <v>2195</v>
      </c>
      <c r="G159" s="170"/>
      <c r="H159" s="425"/>
      <c r="I159" s="187"/>
      <c r="J159" s="188"/>
      <c r="P159" s="134"/>
    </row>
    <row r="160" spans="1:18" s="67" customFormat="1" ht="4.5" customHeight="1" x14ac:dyDescent="0.25">
      <c r="A160" s="127"/>
      <c r="B160" s="30"/>
      <c r="C160" s="95"/>
      <c r="D160" s="29"/>
      <c r="E160" s="96"/>
      <c r="F160" s="29"/>
      <c r="G160" s="92"/>
      <c r="H160" s="426"/>
      <c r="I160" s="117"/>
      <c r="J160" s="173"/>
    </row>
    <row r="161" spans="1:18" s="67" customFormat="1" ht="15" x14ac:dyDescent="0.25">
      <c r="A161" s="127">
        <v>97</v>
      </c>
      <c r="B161" s="50" t="s">
        <v>2232</v>
      </c>
      <c r="C161" s="412"/>
      <c r="D161" s="99" t="str">
        <f>+RULES!B66</f>
        <v/>
      </c>
      <c r="E161" s="100" t="str">
        <f>IF(AND(RULES!K14&gt;3,C159&lt;&gt;"Semplificata"),RULES!C67,RULES!B77)</f>
        <v/>
      </c>
      <c r="F161" s="49" t="str">
        <f>IF(RULES!K14&gt;3,+RULES!A68,RULES!A79)</f>
        <v>OK - NO CTRL</v>
      </c>
      <c r="G161" s="171" t="e">
        <f>IF(C28="","",
IF(AND(RULES!K14&gt;3,C159&lt;&gt;"Semplificata"),RULES!A72,RULES!A83))</f>
        <v>#N/A</v>
      </c>
      <c r="H161" s="365"/>
      <c r="I161" s="189"/>
      <c r="J161" s="190"/>
    </row>
    <row r="162" spans="1:18" s="67" customFormat="1" ht="4.5" customHeight="1" x14ac:dyDescent="0.25">
      <c r="A162" s="127"/>
      <c r="B162" s="30"/>
      <c r="C162" s="95"/>
      <c r="D162" s="29"/>
      <c r="E162" s="96"/>
      <c r="F162" s="29"/>
      <c r="G162" s="92"/>
      <c r="H162" s="426"/>
      <c r="I162" s="117"/>
      <c r="J162" s="173"/>
    </row>
    <row r="163" spans="1:18" s="67" customFormat="1" ht="22.5" x14ac:dyDescent="0.25">
      <c r="A163" s="127">
        <v>98</v>
      </c>
      <c r="B163" s="34" t="s">
        <v>2201</v>
      </c>
      <c r="C163" s="31"/>
      <c r="D163" s="89">
        <f>DATE(YEAR($C$163)-1,MONTH($C$163),DAY($C$163))</f>
        <v>693597</v>
      </c>
      <c r="E163" s="89">
        <f>DATE(YEAR($C$163)-2,MONTH($C$163),DAY($C$163))</f>
        <v>693232</v>
      </c>
      <c r="F163" s="44" t="s">
        <v>2227</v>
      </c>
      <c r="G163" s="171" t="str">
        <f>+RULES!B42</f>
        <v>OK</v>
      </c>
      <c r="H163" s="365"/>
      <c r="I163" s="189"/>
      <c r="J163" s="190"/>
      <c r="P163" s="134"/>
      <c r="Q163" s="143"/>
    </row>
    <row r="164" spans="1:18" s="67" customFormat="1" ht="15" x14ac:dyDescent="0.2">
      <c r="A164" s="127">
        <v>99</v>
      </c>
      <c r="B164" s="114" t="s">
        <v>2346</v>
      </c>
      <c r="C164" s="146"/>
      <c r="D164" s="146"/>
      <c r="E164" s="146"/>
      <c r="F164" s="49" t="e">
        <f>"VAR.NE DEL " &amp; TRUNC(RULES!C45,3)*100&amp;"%"</f>
        <v>#VALUE!</v>
      </c>
      <c r="G164" s="171" t="str">
        <f>IF(RULES!K14&gt;1,+RULES!C46,RULES!E46)</f>
        <v>OK</v>
      </c>
      <c r="H164" s="365"/>
      <c r="I164" s="189"/>
      <c r="J164" s="190"/>
      <c r="L164" s="67" t="s">
        <v>2228</v>
      </c>
      <c r="P164" s="134"/>
      <c r="R164" s="143"/>
    </row>
    <row r="165" spans="1:18" s="67" customFormat="1" ht="15" x14ac:dyDescent="0.2">
      <c r="A165" s="127">
        <v>100</v>
      </c>
      <c r="B165" s="114" t="s">
        <v>2347</v>
      </c>
      <c r="C165" s="146"/>
      <c r="D165" s="146"/>
      <c r="E165" s="146"/>
      <c r="F165" s="49" t="str">
        <f>IF(C165&gt;=0,RULES!C50,"PERD/FATT= " &amp; TRUNC(RULES!C50,4)*100&amp;"%")</f>
        <v>OK - NO CTRL</v>
      </c>
      <c r="G165" s="172" t="str">
        <f>+RULES!C53</f>
        <v>OK</v>
      </c>
      <c r="H165" s="365"/>
      <c r="I165" s="189"/>
      <c r="J165" s="190"/>
      <c r="P165" s="134"/>
      <c r="R165" s="143"/>
    </row>
    <row r="166" spans="1:18" s="67" customFormat="1" ht="15" x14ac:dyDescent="0.2">
      <c r="A166" s="127">
        <v>101</v>
      </c>
      <c r="B166" s="114" t="s">
        <v>2348</v>
      </c>
      <c r="C166" s="146"/>
      <c r="D166" s="146"/>
      <c r="E166" s="146"/>
      <c r="F166" s="102" t="str">
        <f>IF(AND(C159="Rating",C166&lt;0),"! MOL NEGATIVO","")</f>
        <v/>
      </c>
      <c r="G166" s="171" t="str">
        <f>+RULES!E52</f>
        <v>OK</v>
      </c>
      <c r="H166" s="365"/>
      <c r="I166" s="189"/>
      <c r="J166" s="190"/>
      <c r="P166" s="134"/>
      <c r="R166" s="143"/>
    </row>
    <row r="167" spans="1:18" s="67" customFormat="1" ht="15" x14ac:dyDescent="0.2">
      <c r="A167" s="127">
        <v>102</v>
      </c>
      <c r="B167" s="114" t="s">
        <v>2349</v>
      </c>
      <c r="C167" s="146"/>
      <c r="D167" s="146"/>
      <c r="E167" s="146"/>
      <c r="F167" s="117"/>
      <c r="G167" s="173"/>
      <c r="H167" s="365"/>
      <c r="I167" s="189"/>
      <c r="J167" s="190"/>
      <c r="P167" s="134"/>
      <c r="R167" s="143"/>
    </row>
    <row r="168" spans="1:18" s="67" customFormat="1" ht="15.75" thickBot="1" x14ac:dyDescent="0.25">
      <c r="A168" s="127">
        <v>103</v>
      </c>
      <c r="B168" s="114" t="s">
        <v>2350</v>
      </c>
      <c r="C168" s="146"/>
      <c r="D168" s="146"/>
      <c r="E168" s="146"/>
      <c r="F168" s="49" t="str">
        <f>(IF(RULES!K1&gt;3,"M.P./TOT. PASS "&amp;TRUNC(RULES!C56,3)*100&amp;"%",""))</f>
        <v/>
      </c>
      <c r="G168" s="171" t="str">
        <f>(IF(RULES!K1&gt;3,+RULES!B59,""))</f>
        <v/>
      </c>
      <c r="H168" s="427"/>
      <c r="I168" s="198"/>
      <c r="J168" s="199"/>
    </row>
    <row r="169" spans="1:18" s="67" customFormat="1" ht="51.6" customHeight="1" x14ac:dyDescent="0.25">
      <c r="A169" s="127">
        <v>104</v>
      </c>
      <c r="B169" s="707" t="s">
        <v>2588</v>
      </c>
      <c r="C169" s="686"/>
      <c r="D169" s="686"/>
      <c r="E169" s="686"/>
      <c r="F169" s="686"/>
      <c r="G169" s="468" t="s">
        <v>3427</v>
      </c>
      <c r="H169" s="134"/>
      <c r="I169" s="134"/>
      <c r="J169" s="134"/>
    </row>
    <row r="170" spans="1:18" ht="15" customHeight="1" x14ac:dyDescent="0.25">
      <c r="A170" s="127">
        <v>105</v>
      </c>
      <c r="B170" s="54" t="s">
        <v>2229</v>
      </c>
      <c r="C170" s="420" t="str">
        <f>IF(G34&gt;36,"TOTALE","ENTRO 36 MESI")</f>
        <v>TOTALE</v>
      </c>
      <c r="D170" s="104"/>
      <c r="E170" s="103" t="str">
        <f>IF(D170="","","ESP/FATT " &amp; TRUNC(RULES!C62,3)*100 &amp;"%")</f>
        <v/>
      </c>
      <c r="F170" s="662" t="str">
        <f>+RULES!E63</f>
        <v>OK</v>
      </c>
      <c r="G170" s="663"/>
    </row>
    <row r="171" spans="1:18" s="67" customFormat="1" ht="15" customHeight="1" x14ac:dyDescent="0.25">
      <c r="A171" s="127">
        <v>106</v>
      </c>
      <c r="B171" s="54" t="s">
        <v>2557</v>
      </c>
      <c r="C171" s="101"/>
      <c r="D171" s="31"/>
      <c r="E171" s="163" t="s">
        <v>2235</v>
      </c>
      <c r="F171" s="101"/>
      <c r="G171" s="169"/>
      <c r="H171" s="134"/>
      <c r="I171" s="134"/>
      <c r="J171" s="134"/>
    </row>
    <row r="172" spans="1:18" ht="15" customHeight="1" x14ac:dyDescent="0.25">
      <c r="A172" s="127">
        <v>107</v>
      </c>
      <c r="B172" s="707" t="str">
        <f>+RULES!N42</f>
        <v>! CE.RI. PRECEDENTE OLTRE 2M -  MOTIVARE IN NOTE</v>
      </c>
      <c r="C172" s="686"/>
      <c r="D172" s="686"/>
      <c r="E172" s="864" t="str">
        <f>+RULES!N45</f>
        <v>! PREGIUDIZIEVOLI ANTECEDENTI A 6M AMM.NE</v>
      </c>
      <c r="F172" s="865"/>
      <c r="G172" s="866"/>
    </row>
    <row r="173" spans="1:18" ht="33.75" customHeight="1" thickBot="1" x14ac:dyDescent="0.3">
      <c r="A173" s="127">
        <v>108</v>
      </c>
      <c r="B173" s="422" t="s">
        <v>2240</v>
      </c>
      <c r="C173" s="428" t="s">
        <v>2245</v>
      </c>
      <c r="D173" s="52" t="s">
        <v>2247</v>
      </c>
      <c r="E173" s="429"/>
      <c r="F173" s="430" t="s">
        <v>2246</v>
      </c>
      <c r="G173" s="431"/>
    </row>
    <row r="174" spans="1:18" ht="17.25" customHeight="1" thickBot="1" x14ac:dyDescent="0.3">
      <c r="A174" s="476"/>
      <c r="B174" s="697" t="str">
        <f>+RULES!W6</f>
        <v/>
      </c>
      <c r="C174" s="698"/>
      <c r="D174" s="698"/>
      <c r="E174" s="698"/>
      <c r="F174" s="698"/>
      <c r="G174" s="699"/>
    </row>
    <row r="175" spans="1:18" ht="88.9" customHeight="1" thickBot="1" x14ac:dyDescent="0.3">
      <c r="A175" s="424" t="s">
        <v>16</v>
      </c>
      <c r="B175" s="671"/>
      <c r="C175" s="672"/>
      <c r="D175" s="672"/>
      <c r="E175" s="672"/>
      <c r="F175" s="672"/>
      <c r="G175" s="673"/>
    </row>
    <row r="176" spans="1:18" s="67" customFormat="1" ht="4.5" customHeight="1" thickBot="1" x14ac:dyDescent="0.3">
      <c r="A176" s="125"/>
      <c r="B176" s="133"/>
      <c r="C176" s="134"/>
      <c r="D176" s="134"/>
      <c r="E176" s="134"/>
      <c r="F176" s="134"/>
      <c r="G176" s="134"/>
      <c r="H176" s="134"/>
      <c r="I176" s="134"/>
      <c r="J176" s="134"/>
    </row>
    <row r="177" spans="1:10" ht="12" customHeight="1" thickBot="1" x14ac:dyDescent="0.3">
      <c r="A177" s="120">
        <v>109</v>
      </c>
      <c r="B177" s="649" t="s">
        <v>2306</v>
      </c>
      <c r="C177" s="650"/>
      <c r="D177" s="650"/>
      <c r="E177" s="650"/>
      <c r="F177" s="119">
        <f>IF(RULES!K14=1,75000,100000)</f>
        <v>100000</v>
      </c>
      <c r="G177" s="174" t="str">
        <f>IF(G38&gt;F177,"! NON AMMISSIBILE","")</f>
        <v/>
      </c>
      <c r="H177" s="184" t="s">
        <v>2367</v>
      </c>
      <c r="I177" s="185" t="s">
        <v>2368</v>
      </c>
      <c r="J177" s="186" t="s">
        <v>2369</v>
      </c>
    </row>
    <row r="178" spans="1:10" ht="15" customHeight="1" x14ac:dyDescent="0.25">
      <c r="A178" s="130">
        <v>110</v>
      </c>
      <c r="B178" s="664" t="s">
        <v>2272</v>
      </c>
      <c r="C178" s="665"/>
      <c r="D178" s="413"/>
      <c r="E178" s="115">
        <f>+RULES!K49</f>
        <v>20000</v>
      </c>
      <c r="F178" s="55" t="s">
        <v>2282</v>
      </c>
      <c r="G178" s="175">
        <f>+G58</f>
        <v>25000</v>
      </c>
      <c r="H178" s="193"/>
      <c r="I178" s="194"/>
      <c r="J178" s="195"/>
    </row>
    <row r="179" spans="1:10" ht="15" customHeight="1" x14ac:dyDescent="0.25">
      <c r="A179" s="107">
        <v>111</v>
      </c>
      <c r="B179" s="658" t="s">
        <v>2273</v>
      </c>
      <c r="C179" s="659"/>
      <c r="D179" s="366"/>
      <c r="E179" s="105">
        <f>+RULES!K52</f>
        <v>0</v>
      </c>
      <c r="F179" s="683" t="s">
        <v>2280</v>
      </c>
      <c r="G179" s="108"/>
      <c r="H179" s="196"/>
      <c r="I179" s="189"/>
      <c r="J179" s="190"/>
    </row>
    <row r="180" spans="1:10" ht="15" customHeight="1" x14ac:dyDescent="0.25">
      <c r="A180" s="130">
        <v>112</v>
      </c>
      <c r="B180" s="658" t="s">
        <v>2274</v>
      </c>
      <c r="C180" s="659"/>
      <c r="D180" s="414"/>
      <c r="E180" s="105">
        <f>+RULES!K55</f>
        <v>0</v>
      </c>
      <c r="F180" s="684"/>
      <c r="G180" s="417"/>
      <c r="H180" s="200"/>
      <c r="I180" s="187"/>
      <c r="J180" s="188"/>
    </row>
    <row r="181" spans="1:10" ht="22.5" customHeight="1" thickBot="1" x14ac:dyDescent="0.3">
      <c r="A181" s="107">
        <v>113</v>
      </c>
      <c r="B181" s="658" t="s">
        <v>2275</v>
      </c>
      <c r="C181" s="659"/>
      <c r="D181" s="414"/>
      <c r="E181" s="105">
        <f>+RULES!K58</f>
        <v>0</v>
      </c>
      <c r="F181" s="49" t="s">
        <v>2281</v>
      </c>
      <c r="G181" s="110">
        <v>20000</v>
      </c>
      <c r="H181" s="197"/>
      <c r="I181" s="198"/>
      <c r="J181" s="199"/>
    </row>
    <row r="182" spans="1:10" ht="22.5" customHeight="1" x14ac:dyDescent="0.2">
      <c r="A182" s="130">
        <v>114</v>
      </c>
      <c r="B182" s="679" t="s">
        <v>2276</v>
      </c>
      <c r="C182" s="680"/>
      <c r="D182" s="116" t="str">
        <f>IF(RULES!K14&gt;1,RULES!C45,RULES!E46)</f>
        <v/>
      </c>
      <c r="E182" s="105">
        <f>+RULES!K62</f>
        <v>0</v>
      </c>
      <c r="F182" s="111" t="s">
        <v>2279</v>
      </c>
      <c r="G182" s="110">
        <f>+RULES!K74</f>
        <v>20000</v>
      </c>
    </row>
    <row r="183" spans="1:10" ht="22.5" customHeight="1" x14ac:dyDescent="0.25">
      <c r="A183" s="107">
        <v>115</v>
      </c>
      <c r="B183" s="658" t="s">
        <v>2277</v>
      </c>
      <c r="C183" s="659" t="s">
        <v>3660</v>
      </c>
      <c r="D183" s="415"/>
      <c r="E183" s="105">
        <f>+RULES!K67</f>
        <v>0</v>
      </c>
      <c r="F183" s="147" t="s">
        <v>2284</v>
      </c>
      <c r="G183" s="112">
        <f>+G182+G181</f>
        <v>40000</v>
      </c>
    </row>
    <row r="184" spans="1:10" ht="22.5" customHeight="1" x14ac:dyDescent="0.25">
      <c r="A184" s="130">
        <v>116</v>
      </c>
      <c r="B184" s="658" t="s">
        <v>2271</v>
      </c>
      <c r="C184" s="659"/>
      <c r="D184" s="406"/>
      <c r="E184" s="105">
        <f>+RULES!K70</f>
        <v>0</v>
      </c>
      <c r="F184" s="700" t="s">
        <v>2283</v>
      </c>
      <c r="G184" s="657" t="str">
        <f>IF((G58+G180)&gt;G183,"! MAGGIORAZIONI NON SUFFICENTI - INEFFICACE","OK")</f>
        <v>OK</v>
      </c>
    </row>
    <row r="185" spans="1:10" ht="15" customHeight="1" thickBot="1" x14ac:dyDescent="0.3">
      <c r="A185" s="130">
        <v>117</v>
      </c>
      <c r="B185" s="681" t="s">
        <v>2269</v>
      </c>
      <c r="C185" s="682">
        <v>25000</v>
      </c>
      <c r="D185" s="416"/>
      <c r="E185" s="109">
        <f>+RULES!K73</f>
        <v>0</v>
      </c>
      <c r="F185" s="756"/>
      <c r="G185" s="645"/>
    </row>
    <row r="186" spans="1:10" ht="64.900000000000006" customHeight="1" thickBot="1" x14ac:dyDescent="0.3">
      <c r="A186" s="122" t="s">
        <v>16</v>
      </c>
      <c r="B186" s="784"/>
      <c r="C186" s="785">
        <v>72</v>
      </c>
      <c r="D186" s="785"/>
      <c r="E186" s="785"/>
      <c r="F186" s="785"/>
      <c r="G186" s="786"/>
    </row>
    <row r="187" spans="1:10" ht="5.0999999999999996" customHeight="1" thickBot="1" x14ac:dyDescent="0.3"/>
    <row r="188" spans="1:10" ht="12" customHeight="1" thickBot="1" x14ac:dyDescent="0.3">
      <c r="A188" s="120">
        <v>118</v>
      </c>
      <c r="B188" s="788" t="s">
        <v>2332</v>
      </c>
      <c r="C188" s="789"/>
      <c r="D188" s="789"/>
      <c r="E188" s="789"/>
      <c r="F188" s="789"/>
      <c r="G188" s="790"/>
      <c r="H188" s="184" t="s">
        <v>2367</v>
      </c>
      <c r="I188" s="185" t="s">
        <v>2368</v>
      </c>
      <c r="J188" s="186" t="s">
        <v>2369</v>
      </c>
    </row>
    <row r="189" spans="1:10" ht="22.5" customHeight="1" x14ac:dyDescent="0.25">
      <c r="A189" s="129">
        <v>119</v>
      </c>
      <c r="B189" s="113" t="s">
        <v>108</v>
      </c>
      <c r="C189" s="403"/>
      <c r="D189" s="45" t="s">
        <v>2307</v>
      </c>
      <c r="E189" s="407"/>
      <c r="F189" s="45" t="s">
        <v>2308</v>
      </c>
      <c r="G189" s="418"/>
      <c r="H189" s="193"/>
      <c r="I189" s="194"/>
      <c r="J189" s="195"/>
    </row>
    <row r="190" spans="1:10" ht="15" customHeight="1" x14ac:dyDescent="0.25">
      <c r="A190" s="127">
        <v>120</v>
      </c>
      <c r="B190" s="50" t="s">
        <v>59</v>
      </c>
      <c r="C190" s="53">
        <f>+G58</f>
        <v>25000</v>
      </c>
      <c r="D190" s="49" t="s">
        <v>2309</v>
      </c>
      <c r="E190" s="101"/>
      <c r="F190" s="44" t="s">
        <v>2327</v>
      </c>
      <c r="G190" s="417"/>
      <c r="H190" s="196"/>
      <c r="I190" s="189"/>
      <c r="J190" s="190"/>
    </row>
    <row r="191" spans="1:10" ht="15" customHeight="1" x14ac:dyDescent="0.25">
      <c r="A191" s="127">
        <v>121</v>
      </c>
      <c r="B191" s="54" t="s">
        <v>65</v>
      </c>
      <c r="C191" s="132">
        <f>+G55+E99</f>
        <v>72</v>
      </c>
      <c r="D191" s="163" t="s">
        <v>2316</v>
      </c>
      <c r="E191" s="101"/>
      <c r="F191" s="49" t="s">
        <v>2310</v>
      </c>
      <c r="G191" s="108"/>
      <c r="H191" s="196"/>
      <c r="I191" s="189"/>
      <c r="J191" s="190"/>
    </row>
    <row r="192" spans="1:10" ht="25.5" customHeight="1" x14ac:dyDescent="0.25">
      <c r="A192" s="127">
        <v>122</v>
      </c>
      <c r="B192" s="54" t="s">
        <v>2321</v>
      </c>
      <c r="C192" s="803"/>
      <c r="D192" s="803"/>
      <c r="E192" s="163" t="s">
        <v>2321</v>
      </c>
      <c r="F192" s="803"/>
      <c r="G192" s="804"/>
      <c r="H192" s="196"/>
      <c r="I192" s="189"/>
      <c r="J192" s="190"/>
    </row>
    <row r="193" spans="1:15" ht="21.75" customHeight="1" x14ac:dyDescent="0.25">
      <c r="A193" s="127">
        <v>123</v>
      </c>
      <c r="B193" s="792" t="str">
        <f>+RULES!H86</f>
        <v>! P.IVA ATTIVA DA OLTRE 5 ANNI</v>
      </c>
      <c r="C193" s="727"/>
      <c r="D193" s="177" t="str">
        <f>+RULES!J87</f>
        <v>OK</v>
      </c>
      <c r="E193" s="177" t="str">
        <f>+RULES!H90</f>
        <v>! FREQ.ZA RATE NON AMM.LE</v>
      </c>
      <c r="F193" s="656" t="str">
        <f>+RULES!G84</f>
        <v>! INSERIRE DATI FATTURATO / TOT. BIL 00/01/00</v>
      </c>
      <c r="G193" s="657"/>
      <c r="H193" s="196"/>
      <c r="I193" s="189"/>
      <c r="J193" s="190"/>
    </row>
    <row r="194" spans="1:15" ht="21.75" customHeight="1" x14ac:dyDescent="0.25">
      <c r="A194" s="127">
        <v>124</v>
      </c>
      <c r="B194" s="176" t="str">
        <f>+RULES!G89</f>
        <v>OK</v>
      </c>
      <c r="C194" s="656" t="str">
        <f>+RULES!H87</f>
        <v>! TIPOLOGIA IMPRESA NON AMM.LE MICROCREDITO</v>
      </c>
      <c r="D194" s="656"/>
      <c r="E194" s="177" t="str">
        <f>+RULES!H89</f>
        <v>OK</v>
      </c>
      <c r="F194" s="656" t="str">
        <f>+RULES!H84</f>
        <v>! INSERIRE DATI FATTURATO / TOT. BIL 31/12/98</v>
      </c>
      <c r="G194" s="657"/>
      <c r="H194" s="196"/>
      <c r="I194" s="189"/>
      <c r="J194" s="190"/>
    </row>
    <row r="195" spans="1:15" ht="21.75" customHeight="1" thickBot="1" x14ac:dyDescent="0.3">
      <c r="A195" s="128">
        <v>125</v>
      </c>
      <c r="B195" s="791" t="str">
        <f>+RULES!H88</f>
        <v>OK</v>
      </c>
      <c r="C195" s="644"/>
      <c r="D195" s="644" t="str">
        <f>+RULES!J86</f>
        <v>! SPECIFICARE ALMENO 2 SERV.ZI AUSILIARI OFFERTI</v>
      </c>
      <c r="E195" s="644"/>
      <c r="F195" s="644" t="str">
        <f>+RULES!I84</f>
        <v>! INSERIRE DATI FATTURATO / TOT. BIL 31/12/97</v>
      </c>
      <c r="G195" s="645"/>
      <c r="H195" s="197"/>
      <c r="I195" s="198"/>
      <c r="J195" s="199"/>
      <c r="M195" s="144"/>
      <c r="N195" s="144"/>
      <c r="O195" s="144"/>
    </row>
    <row r="196" spans="1:15" ht="55.5" customHeight="1" thickBot="1" x14ac:dyDescent="0.3">
      <c r="A196" s="131" t="s">
        <v>16</v>
      </c>
      <c r="B196" s="784"/>
      <c r="C196" s="785"/>
      <c r="D196" s="785"/>
      <c r="E196" s="785"/>
      <c r="F196" s="785"/>
      <c r="G196" s="786"/>
      <c r="M196" s="144"/>
      <c r="N196" s="144"/>
      <c r="O196" s="144"/>
    </row>
    <row r="197" spans="1:15" ht="7.5" customHeight="1" x14ac:dyDescent="0.25">
      <c r="A197" s="482"/>
      <c r="B197" s="504"/>
      <c r="C197" s="504"/>
      <c r="D197" s="504"/>
      <c r="E197" s="504"/>
      <c r="F197" s="504"/>
      <c r="G197" s="504"/>
      <c r="M197" s="144"/>
      <c r="N197" s="144"/>
      <c r="O197" s="144"/>
    </row>
    <row r="198" spans="1:15" ht="5.0999999999999996" customHeight="1" thickBot="1" x14ac:dyDescent="0.3"/>
    <row r="199" spans="1:15" ht="22.5" customHeight="1" thickBot="1" x14ac:dyDescent="0.3">
      <c r="A199" s="120">
        <v>126</v>
      </c>
      <c r="B199" s="668" t="str">
        <f>CONCATENATE("MODELLO DI RATING (",G20,") op n° ",C2," - data dom amm.ne: ",TEXT(C28,"gg/mm/aaa"))</f>
        <v>MODELLO DI RATING (Lettera m) art13 DL Liquidità) op n° 1437613 - data dom amm.ne: 25/05/2020</v>
      </c>
      <c r="C199" s="669"/>
      <c r="D199" s="669"/>
      <c r="E199" s="669"/>
      <c r="F199" s="798" t="str">
        <f>+RULES!S21</f>
        <v/>
      </c>
      <c r="G199" s="799"/>
      <c r="M199" s="144"/>
      <c r="N199" s="144"/>
      <c r="O199" s="144"/>
    </row>
    <row r="200" spans="1:15" ht="36" customHeight="1" x14ac:dyDescent="0.25">
      <c r="A200" s="562">
        <v>127</v>
      </c>
      <c r="B200" s="165" t="s">
        <v>2594</v>
      </c>
      <c r="C200" s="376" t="str">
        <f>+RULES!R46</f>
        <v>REQUISITO DA NON VERIFICARE</v>
      </c>
      <c r="D200" s="802" t="str">
        <f>IF(C9="","! VALORIZZARE TIPOLOGIA IMPRESA IN RIGO C9",C9)</f>
        <v>Soc a responsabilità limitata</v>
      </c>
      <c r="E200" s="802"/>
      <c r="F200" s="518" t="s">
        <v>2195</v>
      </c>
      <c r="G200" s="544" t="s">
        <v>2197</v>
      </c>
      <c r="M200" s="144"/>
      <c r="N200" s="144"/>
      <c r="O200" s="144"/>
    </row>
    <row r="201" spans="1:15" ht="32.25" customHeight="1" x14ac:dyDescent="0.25">
      <c r="A201" s="477">
        <v>128</v>
      </c>
      <c r="B201" s="541" t="s">
        <v>3532</v>
      </c>
      <c r="C201" s="563"/>
      <c r="D201" s="861" t="str">
        <f>IF(C18=VAR_1!CS6,"VERIFICA DA FARE AL 31/12/2019 - SE BILANCIO/MOD. UNICO 2019 NON DEPOSITATO ANTE RICHIESTA DI AMM.NE UTILIZZARE 2018","")</f>
        <v/>
      </c>
      <c r="E201" s="861"/>
      <c r="F201" s="862" t="str">
        <f>IF(AND(C18=VAR_1!CS6,F202="! IMPRESA IN DIFFICOLTA'"),"VERIFICARE CHE LA CONDIZIONE DI DIFFICOLTA' SIA SUPERATA CON BILANCIO/MOD. UNICO 2020 SE DEPOSITATO ANTE RICHIESTA AMM.NE","")</f>
        <v/>
      </c>
      <c r="G201" s="863"/>
      <c r="M201" s="144"/>
      <c r="N201" s="144"/>
      <c r="O201" s="144"/>
    </row>
    <row r="202" spans="1:15" ht="22.9" customHeight="1" x14ac:dyDescent="0.25">
      <c r="A202" s="477">
        <v>129</v>
      </c>
      <c r="B202" s="541" t="s">
        <v>3531</v>
      </c>
      <c r="C202" s="564"/>
      <c r="D202" s="510" t="str">
        <f>IF(OR(D200=VAR_1!AB3,D200=VAR_1!AB4),"FONDI PROPRI","CAPITALE SOCIALE")</f>
        <v>CAPITALE SOCIALE</v>
      </c>
      <c r="E202" s="564"/>
      <c r="F202" s="656" t="str">
        <f>+RULES!R42</f>
        <v>! IMPRESA IN DIFFICOLTA'</v>
      </c>
      <c r="G202" s="657"/>
      <c r="M202" s="144"/>
      <c r="N202" s="144"/>
      <c r="O202" s="144"/>
    </row>
    <row r="203" spans="1:15" ht="22.5" x14ac:dyDescent="0.25">
      <c r="A203" s="477">
        <v>130</v>
      </c>
      <c r="B203" s="54" t="s">
        <v>2593</v>
      </c>
      <c r="C203" s="31">
        <v>43921</v>
      </c>
      <c r="D203" s="101" t="s">
        <v>2592</v>
      </c>
      <c r="E203" s="163" t="s">
        <v>2590</v>
      </c>
      <c r="F203" s="31">
        <v>43921</v>
      </c>
      <c r="G203" s="108" t="s">
        <v>2592</v>
      </c>
    </row>
    <row r="204" spans="1:15" ht="26.45" customHeight="1" x14ac:dyDescent="0.25">
      <c r="A204" s="477">
        <v>131</v>
      </c>
      <c r="B204" s="34" t="s">
        <v>2595</v>
      </c>
      <c r="C204" s="31">
        <v>43976</v>
      </c>
      <c r="D204" s="101" t="s">
        <v>2592</v>
      </c>
      <c r="E204" s="656" t="str">
        <f>+RULES!O40</f>
        <v>OK</v>
      </c>
      <c r="F204" s="656"/>
      <c r="G204" s="545" t="str">
        <f>IF(OR(G203="PRESENTI",F202="SI"),"! NON AMMISSIBILE",
IF(RULES_TERMINI!J90=0,
IF(OR(D203="PRESENTI",D204="PRESENTI"),"! NON AMMISSIBILE","OK"),
"VALORIZZA CELLE SOTTOSTANTI"))</f>
        <v>OK</v>
      </c>
    </row>
    <row r="205" spans="1:15" ht="33" x14ac:dyDescent="0.25">
      <c r="A205" s="477">
        <v>132</v>
      </c>
      <c r="B205" s="542" t="s">
        <v>3506</v>
      </c>
      <c r="C205" s="565"/>
      <c r="D205" s="503" t="s">
        <v>3505</v>
      </c>
      <c r="E205" s="31"/>
      <c r="F205" s="503" t="s">
        <v>3572</v>
      </c>
      <c r="G205" s="169"/>
    </row>
    <row r="206" spans="1:15" ht="21" customHeight="1" x14ac:dyDescent="0.25">
      <c r="A206" s="477">
        <v>133</v>
      </c>
      <c r="B206" s="760" t="str">
        <f>IF(G204="! NON AMMISSIBILE","! NON AMMISSIBILE",
IF(C205="","! VERIFICARE IN VISURA ASSENZA PROC CONCORSUALI",RULES_TERMINI!J87))</f>
        <v>! VERIFICARE IN VISURA ASSENZA PROC CONCORSUALI</v>
      </c>
      <c r="C206" s="761"/>
      <c r="D206" s="761"/>
      <c r="E206" s="800" t="str">
        <f>IF(G204="! NON AMMISSIBILE","! NON AMMISSIBILE",+RULES_TERMINI!J84)</f>
        <v>! NON AMM.LE CR SCAD / INA PROB ANTECENDETI A 31/01/2020</v>
      </c>
      <c r="F206" s="800"/>
      <c r="G206" s="801"/>
    </row>
    <row r="207" spans="1:15" ht="40.5" customHeight="1" thickBot="1" x14ac:dyDescent="0.3">
      <c r="A207" s="107">
        <v>134</v>
      </c>
      <c r="B207" s="762" t="s">
        <v>3500</v>
      </c>
      <c r="C207" s="763"/>
      <c r="D207" s="763"/>
      <c r="E207" s="763"/>
      <c r="F207" s="566"/>
      <c r="G207" s="543" t="s">
        <v>3545</v>
      </c>
    </row>
    <row r="208" spans="1:15" ht="16.899999999999999" customHeight="1" thickBot="1" x14ac:dyDescent="0.3">
      <c r="A208" s="127">
        <v>135</v>
      </c>
      <c r="B208" s="793" t="s">
        <v>3424</v>
      </c>
      <c r="C208" s="793"/>
      <c r="D208" s="793"/>
      <c r="E208" s="793"/>
      <c r="F208" s="793"/>
      <c r="G208" s="794"/>
    </row>
    <row r="209" spans="1:7" ht="36" customHeight="1" x14ac:dyDescent="0.25">
      <c r="A209" s="127">
        <v>136</v>
      </c>
      <c r="B209" s="36" t="s">
        <v>2596</v>
      </c>
      <c r="C209" s="407">
        <v>0</v>
      </c>
      <c r="D209" s="388"/>
      <c r="E209" s="464">
        <f>DATE(YEAR(C209)-1,MONTH(C209),DAY(C209))</f>
        <v>693597</v>
      </c>
      <c r="F209" s="388"/>
      <c r="G209" s="168" t="str">
        <f>+RULES!N54</f>
        <v>VERIFICARE DATI INSERITI PER ANNI 1900 E 3798</v>
      </c>
    </row>
    <row r="210" spans="1:7" ht="15" customHeight="1" x14ac:dyDescent="0.25">
      <c r="A210" s="127">
        <v>137</v>
      </c>
      <c r="B210" s="460" t="s">
        <v>2235</v>
      </c>
      <c r="C210" s="31">
        <v>43957</v>
      </c>
      <c r="D210" s="656" t="str">
        <f>+RULES!O44</f>
        <v>OK</v>
      </c>
      <c r="E210" s="656"/>
      <c r="F210" s="656"/>
      <c r="G210" s="108" t="s">
        <v>2592</v>
      </c>
    </row>
    <row r="211" spans="1:7" ht="30.75" customHeight="1" thickBot="1" x14ac:dyDescent="0.3">
      <c r="A211" s="128">
        <v>138</v>
      </c>
      <c r="B211" s="465" t="s">
        <v>2599</v>
      </c>
      <c r="C211" s="416" t="s">
        <v>2592</v>
      </c>
      <c r="D211" s="754"/>
      <c r="E211" s="754"/>
      <c r="F211" s="754"/>
      <c r="G211" s="755"/>
    </row>
    <row r="212" spans="1:7" ht="15" customHeight="1" thickBot="1" x14ac:dyDescent="0.3">
      <c r="A212" s="160">
        <v>139</v>
      </c>
      <c r="B212" s="795" t="s">
        <v>3425</v>
      </c>
      <c r="C212" s="796"/>
      <c r="D212" s="796"/>
      <c r="E212" s="796"/>
      <c r="F212" s="796"/>
      <c r="G212" s="797"/>
    </row>
    <row r="213" spans="1:7" ht="15" customHeight="1" x14ac:dyDescent="0.25">
      <c r="A213" s="129">
        <v>140</v>
      </c>
      <c r="B213" s="457" t="s">
        <v>3410</v>
      </c>
      <c r="C213" s="403" t="s">
        <v>3417</v>
      </c>
      <c r="D213" s="787" t="str">
        <f>IF(C213= "CE.RI. BDI", "OK - NO CTRL", "! VERIFICARE DATI")</f>
        <v>! VERIFICARE DATI</v>
      </c>
      <c r="E213" s="787"/>
      <c r="F213" s="458"/>
      <c r="G213" s="459"/>
    </row>
    <row r="214" spans="1:7" ht="15" customHeight="1" x14ac:dyDescent="0.25">
      <c r="A214" s="127">
        <v>141</v>
      </c>
      <c r="B214" s="460" t="s">
        <v>3413</v>
      </c>
      <c r="C214" s="406" t="s">
        <v>3417</v>
      </c>
      <c r="D214" s="656" t="str">
        <f>IF(C214="CRIF","OK - NO CTRL",IF(AND(C214="VUOTO",C215="VUOTO"),"RICHIEDERE REGOLAMENTO DEL CREDITO",IF(AND(C214="VUOTO",C215&lt;&gt;"VUOTO"),"","! VERIFICARE DATI")))</f>
        <v>RICHIEDERE REGOLAMENTO DEL CREDITO</v>
      </c>
      <c r="E214" s="656"/>
      <c r="G214" s="159"/>
    </row>
    <row r="215" spans="1:7" ht="15" customHeight="1" x14ac:dyDescent="0.25">
      <c r="A215" s="127">
        <v>142</v>
      </c>
      <c r="B215" s="517" t="s">
        <v>3414</v>
      </c>
      <c r="C215" s="406" t="s">
        <v>3417</v>
      </c>
      <c r="D215" s="656" t="str">
        <f>IF(C215="CERVED","OK - NO CTRL",IF(AND(C215="VUOTO",C214="VUOTO"),"RICHIEDERE REGOLAMENTO DEL CREDITO",IF(AND(C215="VUOTO",C214&lt;&gt;"VUOTO"),"","! VERIFICARE DATI")))</f>
        <v>RICHIEDERE REGOLAMENTO DEL CREDITO</v>
      </c>
      <c r="E215" s="656"/>
      <c r="G215" s="159"/>
    </row>
    <row r="216" spans="1:7" ht="15" customHeight="1" x14ac:dyDescent="0.25">
      <c r="A216" s="127">
        <v>143</v>
      </c>
      <c r="B216" s="764" t="s">
        <v>3419</v>
      </c>
      <c r="C216" s="765"/>
      <c r="D216" s="859" t="s">
        <v>3423</v>
      </c>
      <c r="E216" s="860"/>
      <c r="F216" s="773"/>
      <c r="G216" s="774"/>
    </row>
    <row r="217" spans="1:7" ht="15" customHeight="1" x14ac:dyDescent="0.25">
      <c r="A217" s="127">
        <v>144</v>
      </c>
      <c r="B217" s="461" t="s">
        <v>3420</v>
      </c>
      <c r="C217" s="567"/>
      <c r="D217" s="441" t="s">
        <v>3420</v>
      </c>
      <c r="E217" s="567"/>
      <c r="F217" s="750" t="str">
        <f>IF(C217=E217, "OK", "! ATTENZIONE")</f>
        <v>OK</v>
      </c>
      <c r="G217" s="751"/>
    </row>
    <row r="218" spans="1:7" ht="22.9" customHeight="1" x14ac:dyDescent="0.25">
      <c r="A218" s="127">
        <v>145</v>
      </c>
      <c r="B218" s="461" t="s">
        <v>3421</v>
      </c>
      <c r="C218" s="567"/>
      <c r="D218" s="441" t="s">
        <v>3421</v>
      </c>
      <c r="E218" s="567"/>
      <c r="F218" s="750" t="str">
        <f>IF(C218=E218, "OK", "! ATTENZIONE VERIFICA TABELLA")</f>
        <v>OK</v>
      </c>
      <c r="G218" s="751"/>
    </row>
    <row r="219" spans="1:7" ht="23.25" thickBot="1" x14ac:dyDescent="0.3">
      <c r="A219" s="128">
        <v>146</v>
      </c>
      <c r="B219" s="462" t="s">
        <v>3422</v>
      </c>
      <c r="C219" s="568"/>
      <c r="D219" s="463" t="s">
        <v>3422</v>
      </c>
      <c r="E219" s="569"/>
      <c r="F219" s="752" t="str">
        <f>IF(C219=E219, "OK", "! ATTENZIONE")</f>
        <v>OK</v>
      </c>
      <c r="G219" s="753"/>
    </row>
    <row r="220" spans="1:7" ht="55.35" customHeight="1" thickBot="1" x14ac:dyDescent="0.3">
      <c r="A220" s="466" t="s">
        <v>16</v>
      </c>
      <c r="B220" s="784"/>
      <c r="C220" s="785"/>
      <c r="D220" s="785"/>
      <c r="E220" s="785"/>
      <c r="F220" s="785"/>
      <c r="G220" s="786"/>
    </row>
    <row r="221" spans="1:7" ht="5.0999999999999996" customHeight="1" thickBot="1" x14ac:dyDescent="0.3"/>
    <row r="222" spans="1:7" ht="15" customHeight="1" thickBot="1" x14ac:dyDescent="0.3">
      <c r="A222" s="125">
        <v>147</v>
      </c>
      <c r="B222" s="668" t="str">
        <f>CONCATENATE("ART. 13 LETTERA M DL LIQUIDITA' E SS"," - data domanda amm.ne: ",TEXT(C28,"gg/mm/aaa"))</f>
        <v>ART. 13 LETTERA M DL LIQUIDITA' E SS - data domanda amm.ne: 25/05/2020</v>
      </c>
      <c r="C222" s="669"/>
      <c r="D222" s="669"/>
      <c r="E222" s="669"/>
      <c r="F222" s="669"/>
      <c r="G222" s="670"/>
    </row>
    <row r="223" spans="1:7" ht="67.5" x14ac:dyDescent="0.25">
      <c r="A223" s="125">
        <v>148</v>
      </c>
      <c r="B223" s="36" t="s">
        <v>3614</v>
      </c>
      <c r="C223" s="601">
        <v>8.6E-3</v>
      </c>
      <c r="D223" s="45" t="str">
        <f>+RULES!P60</f>
        <v>RENDISTATO con durata residua da 4 anni e 7 mesi a 6 anni e 6 mesi + 0,20</v>
      </c>
      <c r="E223" s="602">
        <f>IF(RULES!P74=2020,
IF(RULES!P58="DL LIQUIDITA ANTE CONVERSIONE",RULES!Q68,RULES!Q71),RULES!Q78)</f>
        <v>1.061E-2</v>
      </c>
      <c r="F223" s="600" t="s">
        <v>3485</v>
      </c>
      <c r="G223" s="603"/>
    </row>
    <row r="224" spans="1:7" ht="33.75" x14ac:dyDescent="0.25">
      <c r="B224" s="632" t="s">
        <v>3630</v>
      </c>
      <c r="C224" s="570" t="s">
        <v>23</v>
      </c>
      <c r="D224" s="633" t="s">
        <v>3631</v>
      </c>
      <c r="E224" s="634"/>
      <c r="F224" s="857" t="str">
        <f>IF(E224&gt;=C120,"! ATT.NE RICONTRATTUALIZZAZIONE SUCCESSIVA A REVOCA FINANZIAMENTO - NON AMMISSIBILE DA AVVIARE INEFFICACIA","OK")</f>
        <v>OK</v>
      </c>
      <c r="G224" s="858"/>
    </row>
    <row r="225" spans="1:7" ht="24" customHeight="1" x14ac:dyDescent="0.25">
      <c r="A225" s="125">
        <v>149</v>
      </c>
      <c r="B225" s="707" t="str">
        <f>+RULES!Q74</f>
        <v>OK</v>
      </c>
      <c r="C225" s="686"/>
      <c r="D225" s="686"/>
      <c r="E225" s="726" t="s">
        <v>3616</v>
      </c>
      <c r="F225" s="726"/>
      <c r="G225" s="570" t="s">
        <v>29</v>
      </c>
    </row>
    <row r="226" spans="1:7" ht="51.6" customHeight="1" x14ac:dyDescent="0.25">
      <c r="A226" s="125">
        <v>150</v>
      </c>
      <c r="B226" s="707" t="str">
        <f>IF(DAY(G56)=1,"!ATT.NE IL TASSO INDICATO IN CHECK NON E' CORRETTO - CONSIDERARE RENDISTATO 2 MESI PRECEDENTI A EROGAZIONE","")</f>
        <v/>
      </c>
      <c r="C226" s="686"/>
      <c r="D226" s="708"/>
      <c r="E226" s="685" t="str">
        <f>IF(C227&lt;E223,"! VALORIZZARE TASSO POST ADEGUAMENTO DURATEA E/O IMPORTO","OK")</f>
        <v>! VALORIZZARE TASSO POST ADEGUAMENTO DURATEA E/O IMPORTO</v>
      </c>
      <c r="F226" s="686"/>
      <c r="G226" s="687"/>
    </row>
    <row r="227" spans="1:7" ht="67.5" customHeight="1" x14ac:dyDescent="0.25">
      <c r="B227" s="483" t="str">
        <f>+RULES!P60</f>
        <v>RENDISTATO con durata residua da 4 anni e 7 mesi a 6 anni e 6 mesi + 0,20</v>
      </c>
      <c r="C227" s="607">
        <f>+RULES!V70</f>
        <v>0</v>
      </c>
      <c r="D227" s="483" t="s">
        <v>3615</v>
      </c>
      <c r="E227" s="608">
        <v>0.02</v>
      </c>
      <c r="F227" s="685" t="str">
        <f>IF(C227&lt;E223,
IF(E227&gt;C227,"! TASSO OLTRE SOGLIA","OK"),"! VARIAZIONE TASSO IN AUMENTO CONSENTITA - OK")</f>
        <v>! TASSO OLTRE SOGLIA</v>
      </c>
      <c r="G227" s="687"/>
    </row>
    <row r="228" spans="1:7" ht="22.5" x14ac:dyDescent="0.25">
      <c r="A228" s="125">
        <v>151</v>
      </c>
      <c r="B228" s="34" t="s">
        <v>3472</v>
      </c>
      <c r="C228" s="570" t="s">
        <v>29</v>
      </c>
      <c r="D228" s="707" t="str">
        <f>IF(C228&lt;&gt;"SI", "!ATT.NE ACQUISIRE DICHIARAZIONE DANNI DA COVID ALLA DATA DI RICHIESTA AMM.NE ALTRIMENTI INEFFICACE", "OK")</f>
        <v>OK</v>
      </c>
      <c r="E228" s="686"/>
      <c r="F228" s="686"/>
      <c r="G228" s="687"/>
    </row>
    <row r="229" spans="1:7" ht="29.25" customHeight="1" thickBot="1" x14ac:dyDescent="0.3">
      <c r="A229" s="125">
        <v>152</v>
      </c>
      <c r="B229" s="722"/>
      <c r="C229" s="723"/>
      <c r="D229" s="723"/>
      <c r="E229" s="723"/>
      <c r="F229" s="723"/>
      <c r="G229" s="724"/>
    </row>
    <row r="230" spans="1:7" ht="15" customHeight="1" thickBot="1" x14ac:dyDescent="0.3"/>
    <row r="231" spans="1:7" ht="15" customHeight="1" thickBot="1" x14ac:dyDescent="0.3">
      <c r="C231" s="118" t="s">
        <v>2491</v>
      </c>
      <c r="D231" s="781" t="s">
        <v>3636</v>
      </c>
      <c r="E231" s="782"/>
      <c r="F231" s="782"/>
      <c r="G231" s="783"/>
    </row>
    <row r="232" spans="1:7" ht="15" customHeight="1" x14ac:dyDescent="0.25">
      <c r="A232" s="709" t="s">
        <v>2336</v>
      </c>
      <c r="B232" s="778" t="s">
        <v>2333</v>
      </c>
      <c r="C232" s="178">
        <v>45980</v>
      </c>
      <c r="D232" s="711"/>
      <c r="E232" s="712"/>
      <c r="F232" s="712"/>
      <c r="G232" s="713"/>
    </row>
    <row r="233" spans="1:7" ht="15" customHeight="1" x14ac:dyDescent="0.25">
      <c r="A233" s="710"/>
      <c r="B233" s="779"/>
      <c r="C233" s="720" t="s">
        <v>3666</v>
      </c>
      <c r="D233" s="714"/>
      <c r="E233" s="715"/>
      <c r="F233" s="715"/>
      <c r="G233" s="716"/>
    </row>
    <row r="234" spans="1:7" ht="15" customHeight="1" thickBot="1" x14ac:dyDescent="0.3">
      <c r="A234" s="725"/>
      <c r="B234" s="780"/>
      <c r="C234" s="721"/>
      <c r="D234" s="717"/>
      <c r="E234" s="718"/>
      <c r="F234" s="718"/>
      <c r="G234" s="719"/>
    </row>
    <row r="235" spans="1:7" ht="15" customHeight="1" x14ac:dyDescent="0.25">
      <c r="A235" s="709" t="s">
        <v>2337</v>
      </c>
      <c r="B235" s="778" t="s">
        <v>2334</v>
      </c>
      <c r="C235" s="178"/>
      <c r="D235" s="711"/>
      <c r="E235" s="712"/>
      <c r="F235" s="712"/>
      <c r="G235" s="713"/>
    </row>
    <row r="236" spans="1:7" ht="15" customHeight="1" x14ac:dyDescent="0.25">
      <c r="A236" s="710"/>
      <c r="B236" s="779"/>
      <c r="C236" s="720"/>
      <c r="D236" s="714"/>
      <c r="E236" s="715"/>
      <c r="F236" s="715"/>
      <c r="G236" s="716"/>
    </row>
    <row r="237" spans="1:7" ht="15" customHeight="1" thickBot="1" x14ac:dyDescent="0.3">
      <c r="A237" s="710"/>
      <c r="B237" s="779"/>
      <c r="C237" s="721"/>
      <c r="D237" s="717"/>
      <c r="E237" s="718"/>
      <c r="F237" s="718"/>
      <c r="G237" s="719"/>
    </row>
    <row r="238" spans="1:7" ht="15" customHeight="1" thickBot="1" x14ac:dyDescent="0.3">
      <c r="A238" s="120" t="s">
        <v>2338</v>
      </c>
      <c r="B238" s="148" t="s">
        <v>2335</v>
      </c>
      <c r="C238" s="149"/>
      <c r="D238" s="775"/>
      <c r="E238" s="776"/>
      <c r="F238" s="776"/>
      <c r="G238" s="777"/>
    </row>
    <row r="239" spans="1:7" ht="15" customHeight="1" x14ac:dyDescent="0.25"/>
    <row r="240" spans="1:7"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sheetData>
  <sheetProtection algorithmName="SHA-512" hashValue="c9UGDls0N2vpp6OYxgQOVCVGHsT4oIRrxODtkyVBv/gIlD7hTbZVfUbfrkE9LmoH3JY3dW5+2v5P6NFZSt221g==" saltValue="1kd3xyLM3w098EywnVyowQ==" spinCount="100000" sheet="1" selectLockedCells="1"/>
  <protectedRanges>
    <protectedRange sqref="G200" name="Intervallo3"/>
    <protectedRange sqref="D209 F209 C217:C223 C225:C229 E217:E229" name="Intervallo1"/>
    <protectedRange algorithmName="SHA-512" hashValue="yjMorpIvj55x+Scgylt4zw607L5A4EkdRGKUm2HtiTCCXhreFx3m2II6G0yJmLyVZ7lSB+DxoR/nzEucrj5lAQ==" saltValue="PvVjotLVehNFKA/lKVlmaw==" spinCount="100000" sqref="E209" name="Intervallo2"/>
  </protectedRanges>
  <dataConsolidate/>
  <mergeCells count="156">
    <mergeCell ref="H103:J111"/>
    <mergeCell ref="F227:G227"/>
    <mergeCell ref="F51:G51"/>
    <mergeCell ref="B51:C51"/>
    <mergeCell ref="F49:G49"/>
    <mergeCell ref="B172:D172"/>
    <mergeCell ref="B135:G135"/>
    <mergeCell ref="B138:G138"/>
    <mergeCell ref="B132:B134"/>
    <mergeCell ref="B136:G136"/>
    <mergeCell ref="C115:D115"/>
    <mergeCell ref="B128:G128"/>
    <mergeCell ref="B122:G122"/>
    <mergeCell ref="D159:E159"/>
    <mergeCell ref="B64:G64"/>
    <mergeCell ref="B65:C65"/>
    <mergeCell ref="D65:G65"/>
    <mergeCell ref="B169:F169"/>
    <mergeCell ref="F224:G224"/>
    <mergeCell ref="D216:E216"/>
    <mergeCell ref="D201:E201"/>
    <mergeCell ref="F201:G201"/>
    <mergeCell ref="E172:G172"/>
    <mergeCell ref="B158:G158"/>
    <mergeCell ref="B1:G1"/>
    <mergeCell ref="B47:G47"/>
    <mergeCell ref="C6:D6"/>
    <mergeCell ref="F6:G6"/>
    <mergeCell ref="B16:D16"/>
    <mergeCell ref="E16:G16"/>
    <mergeCell ref="C9:G9"/>
    <mergeCell ref="C13:G13"/>
    <mergeCell ref="D18:E18"/>
    <mergeCell ref="C20:E20"/>
    <mergeCell ref="C21:G21"/>
    <mergeCell ref="B14:D14"/>
    <mergeCell ref="F14:G14"/>
    <mergeCell ref="C22:G22"/>
    <mergeCell ref="B31:G31"/>
    <mergeCell ref="C11:E11"/>
    <mergeCell ref="F11:G11"/>
    <mergeCell ref="F30:G30"/>
    <mergeCell ref="C8:E8"/>
    <mergeCell ref="B45:G45"/>
    <mergeCell ref="E42:F42"/>
    <mergeCell ref="B33:G33"/>
    <mergeCell ref="E40:F40"/>
    <mergeCell ref="E44:F44"/>
    <mergeCell ref="D238:G238"/>
    <mergeCell ref="B232:B234"/>
    <mergeCell ref="B235:B237"/>
    <mergeCell ref="D231:G231"/>
    <mergeCell ref="B220:G220"/>
    <mergeCell ref="D213:E213"/>
    <mergeCell ref="B186:G186"/>
    <mergeCell ref="B188:G188"/>
    <mergeCell ref="B196:G196"/>
    <mergeCell ref="B195:C195"/>
    <mergeCell ref="B193:C193"/>
    <mergeCell ref="D195:E195"/>
    <mergeCell ref="C194:D194"/>
    <mergeCell ref="B208:G208"/>
    <mergeCell ref="B212:G212"/>
    <mergeCell ref="F193:G193"/>
    <mergeCell ref="F199:G199"/>
    <mergeCell ref="E206:G206"/>
    <mergeCell ref="F216:G216"/>
    <mergeCell ref="D200:E200"/>
    <mergeCell ref="F202:G202"/>
    <mergeCell ref="C192:D192"/>
    <mergeCell ref="F192:G192"/>
    <mergeCell ref="F194:G194"/>
    <mergeCell ref="B52:G52"/>
    <mergeCell ref="B62:G62"/>
    <mergeCell ref="B222:G222"/>
    <mergeCell ref="D210:F210"/>
    <mergeCell ref="F217:G217"/>
    <mergeCell ref="F218:G218"/>
    <mergeCell ref="F219:G219"/>
    <mergeCell ref="D211:G211"/>
    <mergeCell ref="D214:E214"/>
    <mergeCell ref="D215:E215"/>
    <mergeCell ref="E204:F204"/>
    <mergeCell ref="F184:F185"/>
    <mergeCell ref="B184:C184"/>
    <mergeCell ref="B98:G98"/>
    <mergeCell ref="B112:G112"/>
    <mergeCell ref="B206:D206"/>
    <mergeCell ref="B207:E207"/>
    <mergeCell ref="B216:C216"/>
    <mergeCell ref="B85:G85"/>
    <mergeCell ref="B111:D111"/>
    <mergeCell ref="B199:E199"/>
    <mergeCell ref="B57:C57"/>
    <mergeCell ref="E57:G57"/>
    <mergeCell ref="D146:G146"/>
    <mergeCell ref="F77:G77"/>
    <mergeCell ref="B89:G89"/>
    <mergeCell ref="C90:E90"/>
    <mergeCell ref="F87:G87"/>
    <mergeCell ref="F104:G104"/>
    <mergeCell ref="D126:E126"/>
    <mergeCell ref="D100:D101"/>
    <mergeCell ref="E100:E101"/>
    <mergeCell ref="F100:F101"/>
    <mergeCell ref="B80:G80"/>
    <mergeCell ref="F82:G82"/>
    <mergeCell ref="D83:E83"/>
    <mergeCell ref="F83:G83"/>
    <mergeCell ref="A235:A237"/>
    <mergeCell ref="D235:G237"/>
    <mergeCell ref="C236:C237"/>
    <mergeCell ref="B229:G229"/>
    <mergeCell ref="A232:A234"/>
    <mergeCell ref="D232:G234"/>
    <mergeCell ref="C233:C234"/>
    <mergeCell ref="B225:D225"/>
    <mergeCell ref="E225:F225"/>
    <mergeCell ref="E226:G226"/>
    <mergeCell ref="D228:G228"/>
    <mergeCell ref="B226:D226"/>
    <mergeCell ref="B54:G54"/>
    <mergeCell ref="B175:G175"/>
    <mergeCell ref="G100:G101"/>
    <mergeCell ref="B156:G156"/>
    <mergeCell ref="G184:G185"/>
    <mergeCell ref="B181:C181"/>
    <mergeCell ref="B182:C182"/>
    <mergeCell ref="B179:C179"/>
    <mergeCell ref="B180:C180"/>
    <mergeCell ref="B185:C185"/>
    <mergeCell ref="F179:F180"/>
    <mergeCell ref="D92:G92"/>
    <mergeCell ref="B74:G74"/>
    <mergeCell ref="D76:G76"/>
    <mergeCell ref="E111:G111"/>
    <mergeCell ref="B126:C126"/>
    <mergeCell ref="F91:G91"/>
    <mergeCell ref="D86:E86"/>
    <mergeCell ref="E93:G93"/>
    <mergeCell ref="B174:G174"/>
    <mergeCell ref="B123:B124"/>
    <mergeCell ref="B114:G114"/>
    <mergeCell ref="B94:G96"/>
    <mergeCell ref="B146:C146"/>
    <mergeCell ref="F195:G195"/>
    <mergeCell ref="B152:G152"/>
    <mergeCell ref="B177:E177"/>
    <mergeCell ref="B93:D93"/>
    <mergeCell ref="B150:D150"/>
    <mergeCell ref="E150:G150"/>
    <mergeCell ref="B183:C183"/>
    <mergeCell ref="A94:A96"/>
    <mergeCell ref="F170:G170"/>
    <mergeCell ref="B178:C178"/>
    <mergeCell ref="A100:A101"/>
  </mergeCells>
  <phoneticPr fontId="39" type="noConversion"/>
  <conditionalFormatting sqref="F6:G6">
    <cfRule type="expression" dxfId="197" priority="379">
      <formula>$E$6=""</formula>
    </cfRule>
  </conditionalFormatting>
  <conditionalFormatting sqref="D18:G18">
    <cfRule type="expression" dxfId="196" priority="122">
      <formula>$C$18="NO"</formula>
    </cfRule>
  </conditionalFormatting>
  <conditionalFormatting sqref="D24:G24">
    <cfRule type="expression" dxfId="195" priority="481">
      <formula>$C$24&lt;&gt;"SI (indicare €)"</formula>
    </cfRule>
  </conditionalFormatting>
  <conditionalFormatting sqref="G24">
    <cfRule type="expression" dxfId="194" priority="484">
      <formula>$G$24&lt;0.499</formula>
    </cfRule>
  </conditionalFormatting>
  <conditionalFormatting sqref="F30">
    <cfRule type="expression" dxfId="193" priority="485">
      <formula>$E$30="OK"</formula>
    </cfRule>
  </conditionalFormatting>
  <conditionalFormatting sqref="D10:G10">
    <cfRule type="expression" dxfId="192" priority="317">
      <formula>$C$10=""</formula>
    </cfRule>
  </conditionalFormatting>
  <conditionalFormatting sqref="B16:G16">
    <cfRule type="expression" dxfId="191" priority="310">
      <formula>$C$15="NO"</formula>
    </cfRule>
    <cfRule type="expression" dxfId="190" priority="468">
      <formula>$C$15="NO"</formula>
    </cfRule>
  </conditionalFormatting>
  <conditionalFormatting sqref="D139:G139">
    <cfRule type="expression" dxfId="189" priority="454">
      <formula>$C$139&lt;&gt;"SI"</formula>
    </cfRule>
  </conditionalFormatting>
  <conditionalFormatting sqref="F145">
    <cfRule type="expression" dxfId="188" priority="238">
      <formula>$C$117&lt;&gt;"COMUNICAZIONE AVVIO PROCEDURE"</formula>
    </cfRule>
    <cfRule type="expression" dxfId="187" priority="453">
      <formula>$C$4&lt;&gt;"Garanzia Diretta"</formula>
    </cfRule>
  </conditionalFormatting>
  <conditionalFormatting sqref="G145">
    <cfRule type="expression" dxfId="186" priority="450">
      <formula>$C$117&lt;&gt;"EVENTO DI RISCHIO "</formula>
    </cfRule>
  </conditionalFormatting>
  <conditionalFormatting sqref="C155">
    <cfRule type="expression" dxfId="185" priority="435">
      <formula>$G$139=""</formula>
    </cfRule>
  </conditionalFormatting>
  <conditionalFormatting sqref="D154:G154 D155:E155">
    <cfRule type="expression" dxfId="184" priority="111">
      <formula>$G$139&lt;&gt;""</formula>
    </cfRule>
  </conditionalFormatting>
  <conditionalFormatting sqref="E130:G130">
    <cfRule type="expression" dxfId="183" priority="292">
      <formula>$C$110&lt;&gt;"si"</formula>
    </cfRule>
  </conditionalFormatting>
  <conditionalFormatting sqref="B27:G27 B22:C22 B57:G57">
    <cfRule type="expression" dxfId="182" priority="397">
      <formula>$G$20&lt;&gt;"Portafoglio"</formula>
    </cfRule>
  </conditionalFormatting>
  <conditionalFormatting sqref="C60:G60">
    <cfRule type="expression" dxfId="181" priority="107">
      <formula>$G$20="Portafoglio"</formula>
    </cfRule>
  </conditionalFormatting>
  <conditionalFormatting sqref="B146">
    <cfRule type="expression" dxfId="180" priority="242">
      <formula>$C$117&lt;&gt;"COMUNICAZIONE AVVIO PROCEDURE"</formula>
    </cfRule>
  </conditionalFormatting>
  <conditionalFormatting sqref="D146">
    <cfRule type="expression" dxfId="179" priority="384">
      <formula>$C$117&lt;&gt;"EVENTO DI RISCHIO "</formula>
    </cfRule>
  </conditionalFormatting>
  <conditionalFormatting sqref="F163:G163">
    <cfRule type="expression" dxfId="178" priority="380">
      <formula>$C$159&lt;&gt;"Importo Ridotto"</formula>
    </cfRule>
  </conditionalFormatting>
  <conditionalFormatting sqref="F168">
    <cfRule type="expression" dxfId="177" priority="369">
      <formula>$G$168&lt;&gt;"OK"</formula>
    </cfRule>
  </conditionalFormatting>
  <conditionalFormatting sqref="D118:G118">
    <cfRule type="expression" dxfId="176" priority="462">
      <formula>$C$118="NO"</formula>
    </cfRule>
  </conditionalFormatting>
  <conditionalFormatting sqref="F168:G168">
    <cfRule type="expression" dxfId="175" priority="225">
      <formula>$C$159&lt;&gt;"Semplificata"</formula>
    </cfRule>
    <cfRule type="expression" dxfId="174" priority="368">
      <formula>$C$168=""</formula>
    </cfRule>
  </conditionalFormatting>
  <conditionalFormatting sqref="F166">
    <cfRule type="expression" dxfId="173" priority="367">
      <formula>$C$166=""</formula>
    </cfRule>
  </conditionalFormatting>
  <conditionalFormatting sqref="F165:G165">
    <cfRule type="expression" dxfId="172" priority="254">
      <formula>$C$165=""</formula>
    </cfRule>
  </conditionalFormatting>
  <conditionalFormatting sqref="F164:G164">
    <cfRule type="expression" dxfId="171" priority="256">
      <formula>$C$164=""</formula>
    </cfRule>
  </conditionalFormatting>
  <conditionalFormatting sqref="E170:G170">
    <cfRule type="expression" dxfId="170" priority="356">
      <formula>$D$170=""</formula>
    </cfRule>
  </conditionalFormatting>
  <conditionalFormatting sqref="B184:E184">
    <cfRule type="expression" dxfId="169" priority="313">
      <formula>$E$159&lt;&gt;"Autotrasporto"</formula>
    </cfRule>
  </conditionalFormatting>
  <conditionalFormatting sqref="B185:E185">
    <cfRule type="expression" dxfId="168" priority="355">
      <formula>$C$4="Garanzia Diretta"</formula>
    </cfRule>
  </conditionalFormatting>
  <conditionalFormatting sqref="G180">
    <cfRule type="expression" dxfId="167" priority="351">
      <formula>$G$179="NO"</formula>
    </cfRule>
  </conditionalFormatting>
  <conditionalFormatting sqref="B177:G186">
    <cfRule type="expression" dxfId="166" priority="249">
      <formula>$C$159&lt;&gt;"Importo Ridotto"</formula>
    </cfRule>
  </conditionalFormatting>
  <conditionalFormatting sqref="D10">
    <cfRule type="expression" dxfId="165" priority="350">
      <formula>AND($D$10="662 solo controg.",$C$4="Garanzia Diretta")</formula>
    </cfRule>
    <cfRule type="expression" dxfId="164" priority="409">
      <formula>AND($D$10="662 solo controg.",$C$4&lt;&gt;"Garanzia Diretta")</formula>
    </cfRule>
  </conditionalFormatting>
  <conditionalFormatting sqref="E4:F4 B56:C56 F100:G100">
    <cfRule type="expression" dxfId="163" priority="312">
      <formula>$C$4="Garanzia Diretta"</formula>
    </cfRule>
  </conditionalFormatting>
  <conditionalFormatting sqref="B36:C36 B40:G40">
    <cfRule type="expression" dxfId="162" priority="110">
      <formula>$C$4="Garanzia Diretta"</formula>
    </cfRule>
  </conditionalFormatting>
  <conditionalFormatting sqref="B105:G109 B104 E104 D99:G101 B100:C101 B102:G102 B103:C103 F103:G103">
    <cfRule type="expression" dxfId="161" priority="117">
      <formula>$C$99="no"</formula>
    </cfRule>
  </conditionalFormatting>
  <conditionalFormatting sqref="D106:G106">
    <cfRule type="expression" dxfId="160" priority="305">
      <formula>$C$106&lt;&gt;"si"</formula>
    </cfRule>
  </conditionalFormatting>
  <conditionalFormatting sqref="D108:G108">
    <cfRule type="expression" dxfId="159" priority="301">
      <formula>$C$108=""</formula>
    </cfRule>
  </conditionalFormatting>
  <conditionalFormatting sqref="D108:E108">
    <cfRule type="expression" dxfId="158" priority="303">
      <formula>$C$108="no"</formula>
    </cfRule>
  </conditionalFormatting>
  <conditionalFormatting sqref="F108:G108">
    <cfRule type="expression" dxfId="157" priority="304">
      <formula>$C$108="si"</formula>
    </cfRule>
  </conditionalFormatting>
  <conditionalFormatting sqref="D110:G110">
    <cfRule type="expression" dxfId="156" priority="298">
      <formula>$C$110&lt;&gt;"si"</formula>
    </cfRule>
  </conditionalFormatting>
  <conditionalFormatting sqref="E133:G133 C134:G134">
    <cfRule type="expression" dxfId="155" priority="267">
      <formula>$C$110&lt;&gt;"SI"</formula>
    </cfRule>
  </conditionalFormatting>
  <conditionalFormatting sqref="F140:G140">
    <cfRule type="expression" dxfId="154" priority="437">
      <formula>$E$140&lt;&gt;"SI"</formula>
    </cfRule>
  </conditionalFormatting>
  <conditionalFormatting sqref="D142:E142">
    <cfRule type="expression" dxfId="153" priority="263">
      <formula>$E$140&lt;&gt;"SI"</formula>
    </cfRule>
  </conditionalFormatting>
  <conditionalFormatting sqref="B146:C146">
    <cfRule type="expression" dxfId="152" priority="385">
      <formula>$C$4="Controgaranzia"</formula>
    </cfRule>
  </conditionalFormatting>
  <conditionalFormatting sqref="B16:G16 F15:G15">
    <cfRule type="expression" dxfId="151" priority="241">
      <formula>$C$15="SI - Inattiva"</formula>
    </cfRule>
  </conditionalFormatting>
  <conditionalFormatting sqref="D140:E140">
    <cfRule type="expression" dxfId="150" priority="240">
      <formula>$F$4&lt;&gt;"SI"</formula>
    </cfRule>
  </conditionalFormatting>
  <conditionalFormatting sqref="B167:G168">
    <cfRule type="expression" dxfId="149" priority="252">
      <formula>$G$159="Semplificato"</formula>
    </cfRule>
  </conditionalFormatting>
  <conditionalFormatting sqref="B166:F166 B167:G168">
    <cfRule type="expression" dxfId="148" priority="228">
      <formula>$C$159="Importo Ridotto"</formula>
    </cfRule>
  </conditionalFormatting>
  <conditionalFormatting sqref="B166:F166 B167:G167">
    <cfRule type="expression" dxfId="147" priority="226">
      <formula>$C$159="Microcredito"</formula>
    </cfRule>
  </conditionalFormatting>
  <conditionalFormatting sqref="G106">
    <cfRule type="expression" dxfId="146" priority="227">
      <formula>$C$106&lt;&gt;"si"</formula>
    </cfRule>
  </conditionalFormatting>
  <conditionalFormatting sqref="F170:G170">
    <cfRule type="expression" dxfId="145" priority="224">
      <formula>$C$159&lt;&gt;"Semplificata"</formula>
    </cfRule>
  </conditionalFormatting>
  <conditionalFormatting sqref="B161:G161">
    <cfRule type="expression" dxfId="144" priority="123">
      <formula>$G$20="Microcredito"</formula>
    </cfRule>
    <cfRule type="expression" dxfId="143" priority="257">
      <formula>$G$20="Importo Ridotto"</formula>
    </cfRule>
  </conditionalFormatting>
  <conditionalFormatting sqref="C130:D130">
    <cfRule type="expression" dxfId="142" priority="273">
      <formula>$C$110="SI"</formula>
    </cfRule>
  </conditionalFormatting>
  <conditionalFormatting sqref="C132:G132 C133:D133">
    <cfRule type="expression" dxfId="141" priority="272">
      <formula>$C$110="SI"</formula>
    </cfRule>
  </conditionalFormatting>
  <conditionalFormatting sqref="D173:G173">
    <cfRule type="expression" dxfId="140" priority="491">
      <formula>$C$173="NON ACQUISITE"</formula>
    </cfRule>
  </conditionalFormatting>
  <conditionalFormatting sqref="D29">
    <cfRule type="expression" dxfId="139" priority="87">
      <formula>$C$29="PMI"</formula>
    </cfRule>
  </conditionalFormatting>
  <conditionalFormatting sqref="B201:G202">
    <cfRule type="expression" dxfId="138" priority="83">
      <formula>$C$200="REQUISITO DA NON VERIFICARE"</formula>
    </cfRule>
  </conditionalFormatting>
  <conditionalFormatting sqref="B205:G207">
    <cfRule type="expression" dxfId="137" priority="58">
      <formula>$E$29="OPERAZIONE NON COVID-19"</formula>
    </cfRule>
  </conditionalFormatting>
  <conditionalFormatting sqref="D126:F126">
    <cfRule type="expression" dxfId="136" priority="41">
      <formula>$C$118="NO"</formula>
    </cfRule>
  </conditionalFormatting>
  <conditionalFormatting sqref="B105:G149 B227:E227 B228:G229 B103:C104 F103:G103 D104:G104 B174 B2:G45 B94:G102 B91:E91 F90:G91 B93 E93 B151:G173 E150 B150 B175:G226 B92:G92 B47:G79 B80 D82:G83 B85:G90">
    <cfRule type="containsText" dxfId="135" priority="504" operator="containsText" text="OK">
      <formula>NOT(ISERROR(SEARCH("OK",B2)))</formula>
    </cfRule>
  </conditionalFormatting>
  <conditionalFormatting sqref="B46:G46">
    <cfRule type="containsText" dxfId="134" priority="39" operator="containsText" text="OK">
      <formula>NOT(ISERROR(SEARCH("OK",B46)))</formula>
    </cfRule>
  </conditionalFormatting>
  <conditionalFormatting sqref="B101">
    <cfRule type="containsText" dxfId="133" priority="38" operator="containsText" text="OK">
      <formula>NOT(ISERROR(SEARCH("OK",B101)))</formula>
    </cfRule>
  </conditionalFormatting>
  <conditionalFormatting sqref="C101">
    <cfRule type="expression" dxfId="132" priority="36">
      <formula>$C$99="no"</formula>
    </cfRule>
  </conditionalFormatting>
  <conditionalFormatting sqref="C101">
    <cfRule type="containsText" dxfId="131" priority="37" operator="containsText" text="OK">
      <formula>NOT(ISERROR(SEARCH("OK",C101)))</formula>
    </cfRule>
  </conditionalFormatting>
  <conditionalFormatting sqref="F227:G227">
    <cfRule type="containsText" dxfId="130" priority="26" operator="containsText" text="OK">
      <formula>NOT(ISERROR(SEARCH("OK",F227)))</formula>
    </cfRule>
  </conditionalFormatting>
  <conditionalFormatting sqref="D103">
    <cfRule type="expression" dxfId="129" priority="19">
      <formula>$C$99="no"</formula>
    </cfRule>
  </conditionalFormatting>
  <conditionalFormatting sqref="D103">
    <cfRule type="containsText" dxfId="128" priority="20" operator="containsText" text="OK">
      <formula>NOT(ISERROR(SEARCH("OK",D103)))</formula>
    </cfRule>
  </conditionalFormatting>
  <conditionalFormatting sqref="E103">
    <cfRule type="expression" dxfId="127" priority="15">
      <formula>$C$99="no"</formula>
    </cfRule>
  </conditionalFormatting>
  <conditionalFormatting sqref="E103">
    <cfRule type="containsText" dxfId="126" priority="16" operator="containsText" text="OK">
      <formula>NOT(ISERROR(SEARCH("OK",E103)))</formula>
    </cfRule>
  </conditionalFormatting>
  <conditionalFormatting sqref="B76:G76">
    <cfRule type="expression" dxfId="125" priority="88">
      <formula>$G$75="OK"</formula>
    </cfRule>
  </conditionalFormatting>
  <conditionalFormatting sqref="D224:G224">
    <cfRule type="expression" dxfId="124" priority="105">
      <formula>$C$224&lt;&gt;"SI"</formula>
    </cfRule>
  </conditionalFormatting>
  <conditionalFormatting sqref="G126">
    <cfRule type="containsText" dxfId="123" priority="5" operator="containsText" text="FALSO">
      <formula>NOT(ISERROR(SEARCH("FALSO",G126)))</formula>
    </cfRule>
  </conditionalFormatting>
  <hyperlinks>
    <hyperlink ref="G169" r:id="rId1" xr:uid="{65825455-2BE0-414B-9ACE-194DA86BB643}"/>
  </hyperlinks>
  <pageMargins left="0.23622047244094491" right="0.23622047244094491" top="0.19685039370078741" bottom="0.19685039370078741" header="0.31496062992125984" footer="0.31496062992125984"/>
  <pageSetup paperSize="9" orientation="portrait" r:id="rId2"/>
  <rowBreaks count="2" manualBreakCount="2">
    <brk id="46" max="16383" man="1"/>
    <brk id="157" max="16383" man="1"/>
  </rowBreaks>
  <ignoredErrors>
    <ignoredError sqref="F77 F91" unlockedFormula="1"/>
  </ignoredErrors>
  <drawing r:id="rId3"/>
  <legacyDrawing r:id="rId4"/>
  <controls>
    <mc:AlternateContent xmlns:mc="http://schemas.openxmlformats.org/markup-compatibility/2006">
      <mc:Choice Requires="x14">
        <control shapeId="2140" r:id="rId5" name="CommandButton3">
          <controlPr defaultSize="0" autoLine="0" autoPict="0" r:id="rId6">
            <anchor moveWithCells="1">
              <from>
                <xdr:col>10</xdr:col>
                <xdr:colOff>476250</xdr:colOff>
                <xdr:row>5</xdr:row>
                <xdr:rowOff>123825</xdr:rowOff>
              </from>
              <to>
                <xdr:col>11</xdr:col>
                <xdr:colOff>1162050</xdr:colOff>
                <xdr:row>6</xdr:row>
                <xdr:rowOff>19050</xdr:rowOff>
              </to>
            </anchor>
          </controlPr>
        </control>
      </mc:Choice>
      <mc:Fallback>
        <control shapeId="2140" r:id="rId5" name="CommandButton3"/>
      </mc:Fallback>
    </mc:AlternateContent>
    <mc:AlternateContent xmlns:mc="http://schemas.openxmlformats.org/markup-compatibility/2006">
      <mc:Choice Requires="x14">
        <control shapeId="2139" r:id="rId7" name="CommandButton2">
          <controlPr defaultSize="0" autoLine="0" autoPict="0" r:id="rId8">
            <anchor moveWithCells="1">
              <from>
                <xdr:col>10</xdr:col>
                <xdr:colOff>485775</xdr:colOff>
                <xdr:row>3</xdr:row>
                <xdr:rowOff>323850</xdr:rowOff>
              </from>
              <to>
                <xdr:col>11</xdr:col>
                <xdr:colOff>1171575</xdr:colOff>
                <xdr:row>5</xdr:row>
                <xdr:rowOff>47625</xdr:rowOff>
              </to>
            </anchor>
          </controlPr>
        </control>
      </mc:Choice>
      <mc:Fallback>
        <control shapeId="2139" r:id="rId7" name="CommandButton2"/>
      </mc:Fallback>
    </mc:AlternateContent>
    <mc:AlternateContent xmlns:mc="http://schemas.openxmlformats.org/markup-compatibility/2006">
      <mc:Choice Requires="x14">
        <control shapeId="2138" r:id="rId9" name="CommandButton1">
          <controlPr defaultSize="0" autoLine="0" autoPict="0" r:id="rId10">
            <anchor moveWithCells="1">
              <from>
                <xdr:col>10</xdr:col>
                <xdr:colOff>495300</xdr:colOff>
                <xdr:row>2</xdr:row>
                <xdr:rowOff>47625</xdr:rowOff>
              </from>
              <to>
                <xdr:col>11</xdr:col>
                <xdr:colOff>1181100</xdr:colOff>
                <xdr:row>3</xdr:row>
                <xdr:rowOff>228600</xdr:rowOff>
              </to>
            </anchor>
          </controlPr>
        </control>
      </mc:Choice>
      <mc:Fallback>
        <control shapeId="2138" r:id="rId9"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32" id="{00000000-000E-0000-0000-000008000000}">
            <xm:f>AND($C$4="Controgaranzia",RULES!$E$40="A")</xm:f>
            <x14:dxf>
              <font>
                <color theme="0"/>
              </font>
              <fill>
                <patternFill patternType="none">
                  <bgColor auto="1"/>
                </patternFill>
              </fill>
            </x14:dxf>
          </x14:cfRule>
          <xm:sqref>D145:E145</xm:sqref>
        </x14:conditionalFormatting>
        <x14:conditionalFormatting xmlns:xm="http://schemas.microsoft.com/office/excel/2006/main">
          <x14:cfRule type="expression" priority="352" id="{01EC02CB-A834-4A04-B986-1DBB7A173701}">
            <xm:f>RULES!$K$14&lt;3</xm:f>
            <x14:dxf>
              <font>
                <color theme="0"/>
              </font>
              <fill>
                <patternFill patternType="none">
                  <bgColor auto="1"/>
                </patternFill>
              </fill>
            </x14:dxf>
          </x14:cfRule>
          <xm:sqref>B184:E184</xm:sqref>
        </x14:conditionalFormatting>
        <x14:conditionalFormatting xmlns:xm="http://schemas.microsoft.com/office/excel/2006/main">
          <x14:cfRule type="expression" priority="260" id="{6AACB588-A82A-4DB9-ADAB-DB7CFE7F0373}">
            <xm:f>RULES!$E$40&lt;&gt;"E"</xm:f>
            <x14:dxf>
              <font>
                <color theme="0"/>
              </font>
            </x14:dxf>
          </x14:cfRule>
          <xm:sqref>G155 D155:E155</xm:sqref>
        </x14:conditionalFormatting>
        <x14:conditionalFormatting xmlns:xm="http://schemas.microsoft.com/office/excel/2006/main">
          <x14:cfRule type="expression" priority="311" id="{1F492726-CFC2-4D90-8CF5-F3F6A5572034}">
            <xm:f>RULES!$E$23=0</xm:f>
            <x14:dxf>
              <font>
                <color theme="0"/>
              </font>
              <fill>
                <patternFill patternType="none">
                  <bgColor auto="1"/>
                </patternFill>
              </fill>
            </x14:dxf>
          </x14:cfRule>
          <xm:sqref>B14:G14</xm:sqref>
        </x14:conditionalFormatting>
        <x14:conditionalFormatting xmlns:xm="http://schemas.microsoft.com/office/excel/2006/main">
          <x14:cfRule type="expression" priority="307" id="{19D47C5E-F944-4177-B63D-6A6227D17E64}">
            <xm:f>RULES!$E$17="NO"</xm:f>
            <x14:dxf>
              <font>
                <color theme="0"/>
              </font>
              <fill>
                <patternFill patternType="none">
                  <bgColor auto="1"/>
                </patternFill>
              </fill>
            </x14:dxf>
          </x14:cfRule>
          <xm:sqref>B25:G25</xm:sqref>
        </x14:conditionalFormatting>
        <x14:conditionalFormatting xmlns:xm="http://schemas.microsoft.com/office/excel/2006/main">
          <x14:cfRule type="expression" priority="109" id="{31E8766F-7F4D-40E9-8145-05CDB14A9478}">
            <xm:f>$C$49=VAR_1!$AF$4</xm:f>
            <x14:dxf>
              <font>
                <color theme="0"/>
              </font>
              <fill>
                <patternFill patternType="none">
                  <bgColor auto="1"/>
                </patternFill>
              </fill>
            </x14:dxf>
          </x14:cfRule>
          <xm:sqref>D49 B50:G51</xm:sqref>
        </x14:conditionalFormatting>
        <x14:conditionalFormatting xmlns:xm="http://schemas.microsoft.com/office/excel/2006/main">
          <x14:cfRule type="expression" priority="306" id="{9E6B74CF-ECA7-4D11-86B6-A0C3AB3ECEFE}">
            <xm:f>$C$49=VAR_1!$AF$3</xm:f>
            <x14:dxf>
              <font>
                <color theme="0"/>
              </font>
              <fill>
                <patternFill patternType="none">
                  <bgColor auto="1"/>
                </patternFill>
              </fill>
            </x14:dxf>
          </x14:cfRule>
          <xm:sqref>E49:G49</xm:sqref>
        </x14:conditionalFormatting>
        <x14:conditionalFormatting xmlns:xm="http://schemas.microsoft.com/office/excel/2006/main">
          <x14:cfRule type="expression" priority="237" id="{9B10B4FC-EC10-44E1-8747-8ECA05C707A9}">
            <xm:f>$C$99&lt;&gt;VAR_1!$AP$8</xm:f>
            <x14:dxf>
              <font>
                <color theme="0"/>
              </font>
              <fill>
                <patternFill patternType="none">
                  <bgColor auto="1"/>
                </patternFill>
              </fill>
            </x14:dxf>
          </x14:cfRule>
          <xm:sqref>B106:G108 E111 B100:C101</xm:sqref>
        </x14:conditionalFormatting>
        <x14:conditionalFormatting xmlns:xm="http://schemas.microsoft.com/office/excel/2006/main">
          <x14:cfRule type="expression" priority="300" id="{03E2F570-F9F7-4EBC-A1E7-B5A33966D523}">
            <xm:f>RULES!$G$14=1</xm:f>
            <x14:dxf>
              <font>
                <color theme="0"/>
              </font>
              <fill>
                <patternFill patternType="none">
                  <bgColor auto="1"/>
                </patternFill>
              </fill>
            </x14:dxf>
          </x14:cfRule>
          <xm:sqref>F106:G106 B108:G108</xm:sqref>
        </x14:conditionalFormatting>
        <x14:conditionalFormatting xmlns:xm="http://schemas.microsoft.com/office/excel/2006/main">
          <x14:cfRule type="expression" priority="293" id="{07574EDA-79A0-418A-A6BC-124E31EFE874}">
            <xm:f>$C$117=VAR_1!$AY$4</xm:f>
            <x14:dxf>
              <font>
                <color theme="0"/>
              </font>
              <fill>
                <patternFill patternType="none">
                  <bgColor auto="1"/>
                </patternFill>
              </fill>
            </x14:dxf>
          </x14:cfRule>
          <xm:sqref>F117:G117 B118:G118</xm:sqref>
        </x14:conditionalFormatting>
        <x14:conditionalFormatting xmlns:xm="http://schemas.microsoft.com/office/excel/2006/main">
          <x14:cfRule type="expression" priority="295" id="{F9C1E2B0-671F-48C9-A52E-E14390B5711A}">
            <xm:f>RULES!$H$25&lt;&gt;"OK"</xm:f>
            <x14:dxf>
              <font>
                <color theme="0"/>
              </font>
              <fill>
                <patternFill patternType="none">
                  <bgColor auto="1"/>
                </patternFill>
              </fill>
            </x14:dxf>
          </x14:cfRule>
          <xm:sqref>B118:G118</xm:sqref>
        </x14:conditionalFormatting>
        <x14:conditionalFormatting xmlns:xm="http://schemas.microsoft.com/office/excel/2006/main">
          <x14:cfRule type="expression" priority="127" id="{EA837C30-6300-42BB-ABFF-271CC5F02DF2}">
            <xm:f>RULES!$E$40&lt;&gt;"E"</xm:f>
            <x14:dxf>
              <font>
                <color theme="0"/>
              </font>
              <fill>
                <patternFill patternType="none">
                  <bgColor auto="1"/>
                </patternFill>
              </fill>
            </x14:dxf>
          </x14:cfRule>
          <xm:sqref>B123:G123 B125:G125 C124:G124 B126 D126 F126:G126</xm:sqref>
        </x14:conditionalFormatting>
        <x14:conditionalFormatting xmlns:xm="http://schemas.microsoft.com/office/excel/2006/main">
          <x14:cfRule type="expression" priority="114" id="{36B83CAD-ABBE-4902-A6D2-59D82D3528C6}">
            <xm:f>RULES!$E$40=""</xm:f>
            <x14:dxf>
              <font>
                <color theme="0"/>
              </font>
              <fill>
                <patternFill patternType="none">
                  <bgColor auto="1"/>
                </patternFill>
              </fill>
            </x14:dxf>
          </x14:cfRule>
          <xm:sqref>B123:G123 B125:G125 C124:G124 B127:G134 B126 D126 F126:G126</xm:sqref>
        </x14:conditionalFormatting>
        <x14:conditionalFormatting xmlns:xm="http://schemas.microsoft.com/office/excel/2006/main">
          <x14:cfRule type="expression" priority="115" id="{AF8A0CEF-B8B7-4E19-BDCB-489AA63006F6}">
            <xm:f>RULES!$E$40&lt;&gt;"A"</xm:f>
            <x14:dxf>
              <font>
                <color theme="0"/>
              </font>
              <fill>
                <patternFill patternType="none">
                  <bgColor auto="1"/>
                </patternFill>
              </fill>
            </x14:dxf>
          </x14:cfRule>
          <xm:sqref>B130:G134</xm:sqref>
        </x14:conditionalFormatting>
        <x14:conditionalFormatting xmlns:xm="http://schemas.microsoft.com/office/excel/2006/main">
          <x14:cfRule type="expression" priority="291" id="{62C699B5-B72B-4C90-89F0-08FB9566DEBC}">
            <xm:f>RULES!$N$19=0</xm:f>
            <x14:dxf>
              <font>
                <color theme="0"/>
              </font>
              <fill>
                <patternFill patternType="none">
                  <bgColor auto="1"/>
                </patternFill>
              </fill>
            </x14:dxf>
          </x14:cfRule>
          <xm:sqref>D123</xm:sqref>
        </x14:conditionalFormatting>
        <x14:conditionalFormatting xmlns:xm="http://schemas.microsoft.com/office/excel/2006/main">
          <x14:cfRule type="expression" priority="218" id="{280F6136-A411-41BE-83DB-99E16724C368}">
            <xm:f>RULES_TERMINI!$C$15&gt;=RULES_TERMINI!$C$20</xm:f>
            <x14:dxf>
              <font>
                <color theme="0"/>
              </font>
              <fill>
                <patternFill patternType="none">
                  <bgColor auto="1"/>
                </patternFill>
              </fill>
            </x14:dxf>
          </x14:cfRule>
          <xm:sqref>D123:G123 C124:G124</xm:sqref>
        </x14:conditionalFormatting>
        <x14:conditionalFormatting xmlns:xm="http://schemas.microsoft.com/office/excel/2006/main">
          <x14:cfRule type="expression" priority="290" id="{A4160E8A-4650-4AD4-BE4B-C544D666D2F7}">
            <xm:f>RULES!$N$20=0</xm:f>
            <x14:dxf>
              <font>
                <color theme="0"/>
              </font>
              <fill>
                <patternFill patternType="none">
                  <bgColor auto="1"/>
                </patternFill>
              </fill>
            </x14:dxf>
          </x14:cfRule>
          <xm:sqref>E123</xm:sqref>
        </x14:conditionalFormatting>
        <x14:conditionalFormatting xmlns:xm="http://schemas.microsoft.com/office/excel/2006/main">
          <x14:cfRule type="expression" priority="289" id="{FEDF2533-F9C4-4B61-A2D2-C1943B4452DF}">
            <xm:f>RULES!$N$21=0</xm:f>
            <x14:dxf>
              <font>
                <color theme="0"/>
              </font>
              <fill>
                <patternFill patternType="none">
                  <bgColor auto="1"/>
                </patternFill>
              </fill>
            </x14:dxf>
          </x14:cfRule>
          <xm:sqref>F123</xm:sqref>
        </x14:conditionalFormatting>
        <x14:conditionalFormatting xmlns:xm="http://schemas.microsoft.com/office/excel/2006/main">
          <x14:cfRule type="expression" priority="288" id="{0F79FC8E-76DE-4442-A624-0E7395FD2B3F}">
            <xm:f>RULES!$N$22=0</xm:f>
            <x14:dxf>
              <font>
                <color theme="0"/>
              </font>
              <fill>
                <patternFill patternType="none">
                  <bgColor auto="1"/>
                </patternFill>
              </fill>
            </x14:dxf>
          </x14:cfRule>
          <xm:sqref>G123</xm:sqref>
        </x14:conditionalFormatting>
        <x14:conditionalFormatting xmlns:xm="http://schemas.microsoft.com/office/excel/2006/main">
          <x14:cfRule type="expression" priority="285" id="{185E0D65-2BF9-470F-9544-092BA8C0A251}">
            <xm:f>RULES!$N$23=0</xm:f>
            <x14:dxf>
              <font>
                <color theme="0"/>
              </font>
              <fill>
                <patternFill patternType="none">
                  <bgColor auto="1"/>
                </patternFill>
              </fill>
            </x14:dxf>
          </x14:cfRule>
          <xm:sqref>C124</xm:sqref>
        </x14:conditionalFormatting>
        <x14:conditionalFormatting xmlns:xm="http://schemas.microsoft.com/office/excel/2006/main">
          <x14:cfRule type="expression" priority="283" id="{68A00FF5-0FD0-4100-9E62-E0D32B90F205}">
            <xm:f>RULES!$N$24=0</xm:f>
            <x14:dxf>
              <font>
                <color theme="0"/>
              </font>
              <fill>
                <patternFill patternType="none">
                  <bgColor auto="1"/>
                </patternFill>
              </fill>
            </x14:dxf>
          </x14:cfRule>
          <xm:sqref>D124</xm:sqref>
        </x14:conditionalFormatting>
        <x14:conditionalFormatting xmlns:xm="http://schemas.microsoft.com/office/excel/2006/main">
          <x14:cfRule type="expression" priority="281" id="{2A0F34CD-CB6B-453A-B767-496366CD5448}">
            <xm:f>RULES!$N$26=0</xm:f>
            <x14:dxf>
              <font>
                <color theme="0"/>
              </font>
              <fill>
                <patternFill patternType="none">
                  <bgColor auto="1"/>
                </patternFill>
              </fill>
            </x14:dxf>
          </x14:cfRule>
          <xm:sqref>F124</xm:sqref>
        </x14:conditionalFormatting>
        <x14:conditionalFormatting xmlns:xm="http://schemas.microsoft.com/office/excel/2006/main">
          <x14:cfRule type="expression" priority="280" id="{48A0C99D-83F0-407C-9F49-5041EAD094A8}">
            <xm:f>RULES!$N$27=0</xm:f>
            <x14:dxf>
              <font>
                <color theme="0"/>
              </font>
              <fill>
                <patternFill patternType="none">
                  <bgColor auto="1"/>
                </patternFill>
              </fill>
            </x14:dxf>
          </x14:cfRule>
          <xm:sqref>G124</xm:sqref>
        </x14:conditionalFormatting>
        <x14:conditionalFormatting xmlns:xm="http://schemas.microsoft.com/office/excel/2006/main">
          <x14:cfRule type="expression" priority="279" id="{4ECA355D-3B9F-40FB-9124-4EA5E6570DC2}">
            <xm:f>RULES_TERMINI!$C$17&lt;RULES_TERMINI!$C$20</xm:f>
            <x14:dxf>
              <font>
                <color theme="0"/>
              </font>
              <fill>
                <patternFill patternType="none">
                  <bgColor auto="1"/>
                </patternFill>
              </fill>
            </x14:dxf>
          </x14:cfRule>
          <xm:sqref>C125</xm:sqref>
        </x14:conditionalFormatting>
        <x14:conditionalFormatting xmlns:xm="http://schemas.microsoft.com/office/excel/2006/main">
          <x14:cfRule type="expression" priority="278" id="{B147EEDC-1AE7-4969-8022-762C4C6E323B}">
            <xm:f>RULES_TERMINI!$J$61&lt;&gt;"EVENTO MODIFICATO IN CONCORSUALI"</xm:f>
            <x14:dxf>
              <font>
                <color theme="0"/>
              </font>
              <fill>
                <patternFill patternType="none">
                  <bgColor auto="1"/>
                </patternFill>
              </fill>
            </x14:dxf>
          </x14:cfRule>
          <xm:sqref>D125</xm:sqref>
        </x14:conditionalFormatting>
        <x14:conditionalFormatting xmlns:xm="http://schemas.microsoft.com/office/excel/2006/main">
          <x14:cfRule type="expression" priority="276" id="{56B81EB7-62D6-4C81-99DF-A33D51294CE0}">
            <xm:f>RULES_TERMINI!$J$42&lt;&gt;"EDR TRANSITORIO"</xm:f>
            <x14:dxf>
              <font>
                <color theme="0"/>
              </font>
              <fill>
                <patternFill patternType="none">
                  <bgColor auto="1"/>
                </patternFill>
              </fill>
            </x14:dxf>
          </x14:cfRule>
          <xm:sqref>E125</xm:sqref>
        </x14:conditionalFormatting>
        <x14:conditionalFormatting xmlns:xm="http://schemas.microsoft.com/office/excel/2006/main">
          <x14:cfRule type="expression" priority="275" id="{FECCF277-9B73-4C12-B921-975697DB72DA}">
            <xm:f>RULES_TERMINI!$J$42&lt;&gt;"EDR"</xm:f>
            <x14:dxf>
              <font>
                <color theme="0"/>
              </font>
              <fill>
                <patternFill patternType="none">
                  <bgColor auto="1"/>
                </patternFill>
              </fill>
            </x14:dxf>
          </x14:cfRule>
          <xm:sqref>F125:F126</xm:sqref>
        </x14:conditionalFormatting>
        <x14:conditionalFormatting xmlns:xm="http://schemas.microsoft.com/office/excel/2006/main">
          <x14:cfRule type="expression" priority="274" id="{2438EC46-0F1F-4552-BEB0-EE343E464B09}">
            <xm:f>RULES_TERMINI!$J$70=0</xm:f>
            <x14:dxf>
              <font>
                <color theme="0"/>
              </font>
              <fill>
                <patternFill patternType="none">
                  <bgColor auto="1"/>
                </patternFill>
              </fill>
            </x14:dxf>
          </x14:cfRule>
          <xm:sqref>G125</xm:sqref>
        </x14:conditionalFormatting>
        <x14:conditionalFormatting xmlns:xm="http://schemas.microsoft.com/office/excel/2006/main">
          <x14:cfRule type="expression" priority="220" id="{2003F4C0-2D14-4F5E-8673-187C6DE0219D}">
            <xm:f>RULES!$K$4="AVVIO PIANO NO"</xm:f>
            <x14:dxf>
              <font>
                <color theme="0"/>
              </font>
              <fill>
                <patternFill patternType="none">
                  <bgColor auto="1"/>
                </patternFill>
              </fill>
            </x14:dxf>
          </x14:cfRule>
          <xm:sqref>B130:G130</xm:sqref>
        </x14:conditionalFormatting>
        <x14:conditionalFormatting xmlns:xm="http://schemas.microsoft.com/office/excel/2006/main">
          <x14:cfRule type="expression" priority="219" id="{C7676D28-1DAE-45D8-B590-65D728436A32}">
            <xm:f>RULES!$K$4="AVVIO PIANO SI"</xm:f>
            <x14:dxf>
              <font>
                <color theme="0"/>
              </font>
              <fill>
                <patternFill patternType="none">
                  <bgColor auto="1"/>
                </patternFill>
              </fill>
            </x14:dxf>
          </x14:cfRule>
          <xm:sqref>B132:G134</xm:sqref>
        </x14:conditionalFormatting>
        <x14:conditionalFormatting xmlns:xm="http://schemas.microsoft.com/office/excel/2006/main">
          <x14:cfRule type="expression" priority="271" id="{8D15D847-5BFB-4CC7-B119-36438662D053}">
            <xm:f>RULES_TERMINI!$B$43&gt;1</xm:f>
            <x14:dxf>
              <font>
                <color theme="0"/>
              </font>
              <fill>
                <patternFill patternType="none">
                  <bgColor auto="1"/>
                </patternFill>
              </fill>
            </x14:dxf>
          </x14:cfRule>
          <xm:sqref>C132:E132</xm:sqref>
        </x14:conditionalFormatting>
        <x14:conditionalFormatting xmlns:xm="http://schemas.microsoft.com/office/excel/2006/main">
          <x14:cfRule type="expression" priority="270" id="{17231914-A58E-4F6A-B14E-9A93D5F334E6}">
            <xm:f>RULES_TERMINI!$B$43&lt;&gt;2</xm:f>
            <x14:dxf>
              <font>
                <color theme="0"/>
              </font>
              <fill>
                <patternFill patternType="none">
                  <bgColor auto="1"/>
                </patternFill>
              </fill>
            </x14:dxf>
          </x14:cfRule>
          <xm:sqref>F132:G132</xm:sqref>
        </x14:conditionalFormatting>
        <x14:conditionalFormatting xmlns:xm="http://schemas.microsoft.com/office/excel/2006/main">
          <x14:cfRule type="expression" priority="266" id="{4BA6D536-1886-4054-AB68-19A9DB4F64FB}">
            <xm:f>RULES_TERMINI!$B$43&lt;3</xm:f>
            <x14:dxf>
              <font>
                <color theme="0"/>
              </font>
              <fill>
                <patternFill patternType="none">
                  <bgColor auto="1"/>
                </patternFill>
              </fill>
            </x14:dxf>
          </x14:cfRule>
          <xm:sqref>C133:D133</xm:sqref>
        </x14:conditionalFormatting>
        <x14:conditionalFormatting xmlns:xm="http://schemas.microsoft.com/office/excel/2006/main">
          <x14:cfRule type="expression" priority="269" id="{BC6929CA-C61B-41CC-B8B3-666909B39364}">
            <xm:f>RULES_TERMINI!$B$43&gt;2</xm:f>
            <x14:dxf>
              <font>
                <color theme="0"/>
              </font>
              <fill>
                <patternFill patternType="none">
                  <bgColor auto="1"/>
                </patternFill>
              </fill>
            </x14:dxf>
          </x14:cfRule>
          <xm:sqref>E133:G133 C134:D134</xm:sqref>
        </x14:conditionalFormatting>
        <x14:conditionalFormatting xmlns:xm="http://schemas.microsoft.com/office/excel/2006/main">
          <x14:cfRule type="expression" priority="268" id="{27C8D23D-324B-402B-8D98-95A2799734F6}">
            <xm:f>RULES_TERMINI!$B$43&lt;3</xm:f>
            <x14:dxf>
              <font>
                <color theme="0"/>
              </font>
              <fill>
                <patternFill patternType="none">
                  <bgColor auto="1"/>
                </patternFill>
              </fill>
            </x14:dxf>
          </x14:cfRule>
          <xm:sqref>E134:G134</xm:sqref>
        </x14:conditionalFormatting>
        <x14:conditionalFormatting xmlns:xm="http://schemas.microsoft.com/office/excel/2006/main">
          <x14:cfRule type="expression" priority="264" id="{69EF30CD-9914-49D4-9155-6B472C189F33}">
            <xm:f>$C$4=VAR_1!$E$4</xm:f>
            <x14:dxf>
              <font>
                <color theme="0"/>
              </font>
              <fill>
                <patternFill patternType="none">
                  <bgColor auto="1"/>
                </patternFill>
              </fill>
            </x14:dxf>
          </x14:cfRule>
          <xm:sqref>F140:G140 F144:G144</xm:sqref>
        </x14:conditionalFormatting>
        <x14:conditionalFormatting xmlns:xm="http://schemas.microsoft.com/office/excel/2006/main">
          <x14:cfRule type="expression" priority="261" id="{9E18644A-C79E-4356-A719-085C6FFF2926}">
            <xm:f>$C$4=VAR_1!$E$4</xm:f>
            <x14:dxf>
              <font>
                <color theme="0"/>
              </font>
              <fill>
                <patternFill patternType="none">
                  <bgColor auto="1"/>
                </patternFill>
              </fill>
            </x14:dxf>
          </x14:cfRule>
          <xm:sqref>B142:G142</xm:sqref>
        </x14:conditionalFormatting>
        <x14:conditionalFormatting xmlns:xm="http://schemas.microsoft.com/office/excel/2006/main">
          <x14:cfRule type="expression" priority="244" id="{4458769B-C590-4BD4-8FF7-127982EC4D63}">
            <xm:f>RULES!$E$40&lt;&gt;"A"</xm:f>
            <x14:dxf>
              <font>
                <color theme="0"/>
              </font>
              <fill>
                <patternFill patternType="none">
                  <bgColor auto="1"/>
                </patternFill>
              </fill>
            </x14:dxf>
          </x14:cfRule>
          <xm:sqref>D154:G154</xm:sqref>
        </x14:conditionalFormatting>
        <x14:conditionalFormatting xmlns:xm="http://schemas.microsoft.com/office/excel/2006/main">
          <x14:cfRule type="expression" priority="259" id="{75421D5E-29F7-41D4-8FFF-3E39E8170E6D}">
            <xm:f>RULES!$E$40&lt;&gt;"A"</xm:f>
            <x14:dxf>
              <font>
                <color theme="0"/>
              </font>
              <fill>
                <patternFill patternType="none">
                  <bgColor auto="1"/>
                </patternFill>
              </fill>
            </x14:dxf>
          </x14:cfRule>
          <xm:sqref>F155</xm:sqref>
        </x14:conditionalFormatting>
        <x14:conditionalFormatting xmlns:xm="http://schemas.microsoft.com/office/excel/2006/main">
          <x14:cfRule type="expression" priority="243" id="{D3DBC932-B60E-4B75-9B76-F758FA50A9B9}">
            <xm:f>RULES_TERMINI!$M$63=0</xm:f>
            <x14:dxf>
              <font>
                <color theme="0"/>
              </font>
              <fill>
                <patternFill patternType="none">
                  <bgColor auto="1"/>
                </patternFill>
              </fill>
            </x14:dxf>
          </x14:cfRule>
          <xm:sqref>D155</xm:sqref>
        </x14:conditionalFormatting>
        <x14:conditionalFormatting xmlns:xm="http://schemas.microsoft.com/office/excel/2006/main">
          <x14:cfRule type="expression" priority="258" id="{E00147E5-5539-4679-A988-FBE2E99B960A}">
            <xm:f>RULES_TERMINI!$M$64=0</xm:f>
            <x14:dxf>
              <font>
                <color theme="0"/>
              </font>
              <fill>
                <patternFill patternType="none">
                  <bgColor auto="1"/>
                </patternFill>
              </fill>
            </x14:dxf>
          </x14:cfRule>
          <xm:sqref>E155</xm:sqref>
        </x14:conditionalFormatting>
        <x14:conditionalFormatting xmlns:xm="http://schemas.microsoft.com/office/excel/2006/main">
          <x14:cfRule type="expression" priority="236" id="{50B28373-AAF0-4F6C-ADE7-FB8D6280BE5B}">
            <xm:f>RULES!$K$17=1</xm:f>
            <x14:dxf>
              <font>
                <color theme="0"/>
              </font>
              <fill>
                <patternFill patternType="none">
                  <bgColor auto="1"/>
                </patternFill>
              </fill>
            </x14:dxf>
          </x14:cfRule>
          <xm:sqref>F164:G164 F166:G168</xm:sqref>
        </x14:conditionalFormatting>
        <x14:conditionalFormatting xmlns:xm="http://schemas.microsoft.com/office/excel/2006/main">
          <x14:cfRule type="expression" priority="365" id="{81284E6C-98D5-4A3A-9469-E711E7E31229}">
            <xm:f>RULES!$C$45&lt;=-0.4</xm:f>
            <x14:dxf>
              <font>
                <color rgb="FFFF0000"/>
              </font>
            </x14:dxf>
          </x14:cfRule>
          <xm:sqref>F164</xm:sqref>
        </x14:conditionalFormatting>
        <x14:conditionalFormatting xmlns:xm="http://schemas.microsoft.com/office/excel/2006/main">
          <x14:cfRule type="expression" priority="366" id="{36D37BCE-9CDD-4695-80DC-47571AB7697A}">
            <xm:f>RULES!$B$53&lt;&gt;3</xm:f>
            <x14:dxf>
              <font>
                <color rgb="FFFF0000"/>
              </font>
            </x14:dxf>
          </x14:cfRule>
          <xm:sqref>G165</xm:sqref>
        </x14:conditionalFormatting>
        <x14:conditionalFormatting xmlns:xm="http://schemas.microsoft.com/office/excel/2006/main">
          <x14:cfRule type="expression" priority="255" id="{3A2746FE-D540-49AD-8A44-0BFCFA8FDA43}">
            <xm:f>RULES!$B$53&lt;&gt;3</xm:f>
            <x14:dxf>
              <font>
                <color rgb="FFFF0000"/>
              </font>
            </x14:dxf>
          </x14:cfRule>
          <xm:sqref>F165</xm:sqref>
        </x14:conditionalFormatting>
        <x14:conditionalFormatting xmlns:xm="http://schemas.microsoft.com/office/excel/2006/main">
          <x14:cfRule type="expression" priority="253" id="{440A51BE-B692-473D-BECC-8F193D8F4E91}">
            <xm:f>RULES!$E$53=0</xm:f>
            <x14:dxf>
              <font>
                <color theme="0"/>
              </font>
              <fill>
                <patternFill patternType="none">
                  <bgColor auto="1"/>
                </patternFill>
              </fill>
            </x14:dxf>
          </x14:cfRule>
          <xm:sqref>G166</xm:sqref>
        </x14:conditionalFormatting>
        <x14:conditionalFormatting xmlns:xm="http://schemas.microsoft.com/office/excel/2006/main">
          <x14:cfRule type="expression" priority="251" id="{0557097A-8725-4132-8B7E-2A02D747FD68}">
            <xm:f>RULES!$B$73=0</xm:f>
            <x14:dxf>
              <font>
                <color theme="0"/>
              </font>
              <fill>
                <patternFill patternType="none">
                  <bgColor auto="1"/>
                </patternFill>
              </fill>
            </x14:dxf>
          </x14:cfRule>
          <xm:sqref>B170:G170</xm:sqref>
        </x14:conditionalFormatting>
        <x14:conditionalFormatting xmlns:xm="http://schemas.microsoft.com/office/excel/2006/main">
          <x14:cfRule type="expression" priority="250" id="{49DD96FC-9FF0-41B5-99FC-D0882035F7C4}">
            <xm:f>RULES!$K$14&lt;4</xm:f>
            <x14:dxf>
              <font>
                <color theme="0"/>
              </font>
              <fill>
                <patternFill patternType="none">
                  <bgColor auto="1"/>
                </patternFill>
              </fill>
            </x14:dxf>
          </x14:cfRule>
          <xm:sqref>B171:G172</xm:sqref>
        </x14:conditionalFormatting>
        <x14:conditionalFormatting xmlns:xm="http://schemas.microsoft.com/office/excel/2006/main">
          <x14:cfRule type="expression" priority="126" id="{D86303B8-E69A-4C0D-A5EC-1B34AD488BDE}">
            <xm:f>$C$4&lt;&gt;VAR_1!$E$4</xm:f>
            <x14:dxf>
              <font>
                <color theme="0"/>
              </font>
              <fill>
                <patternFill patternType="none">
                  <bgColor auto="1"/>
                </patternFill>
              </fill>
            </x14:dxf>
          </x14:cfRule>
          <xm:sqref>D154 F154:G154</xm:sqref>
        </x14:conditionalFormatting>
        <x14:conditionalFormatting xmlns:xm="http://schemas.microsoft.com/office/excel/2006/main">
          <x14:cfRule type="expression" priority="245" id="{0D446F4E-0035-4578-B955-4C2D29F9464C}">
            <xm:f>RULES_TERMINI!$B$58&lt;&gt;1</xm:f>
            <x14:dxf>
              <font>
                <color theme="0"/>
              </font>
              <fill>
                <patternFill patternType="none">
                  <bgColor auto="1"/>
                </patternFill>
              </fill>
            </x14:dxf>
          </x14:cfRule>
          <xm:sqref>D154</xm:sqref>
        </x14:conditionalFormatting>
        <x14:conditionalFormatting xmlns:xm="http://schemas.microsoft.com/office/excel/2006/main">
          <x14:cfRule type="expression" priority="247" id="{A02DC7A5-62F2-4699-B978-59C8C8DE185B}">
            <xm:f>RULES_TERMINI!$M$48=0</xm:f>
            <x14:dxf>
              <font>
                <color theme="0"/>
              </font>
              <fill>
                <patternFill patternType="none">
                  <bgColor auto="1"/>
                </patternFill>
              </fill>
            </x14:dxf>
          </x14:cfRule>
          <xm:sqref>E154</xm:sqref>
        </x14:conditionalFormatting>
        <x14:conditionalFormatting xmlns:xm="http://schemas.microsoft.com/office/excel/2006/main">
          <x14:cfRule type="expression" priority="248" id="{10AAB146-63E4-4435-BE43-1AD44AEDB157}">
            <xm:f>RULES_TERMINI!$B$58&lt;&gt;2</xm:f>
            <x14:dxf>
              <font>
                <color theme="0"/>
              </font>
              <fill>
                <patternFill patternType="none">
                  <bgColor auto="1"/>
                </patternFill>
              </fill>
            </x14:dxf>
          </x14:cfRule>
          <xm:sqref>F154</xm:sqref>
        </x14:conditionalFormatting>
        <x14:conditionalFormatting xmlns:xm="http://schemas.microsoft.com/office/excel/2006/main">
          <x14:cfRule type="expression" priority="246" id="{91148AEF-1EF5-4188-B70D-CDAA2967DD9C}">
            <xm:f>RULES_TERMINI!$B$58&lt;&gt;3</xm:f>
            <x14:dxf>
              <font>
                <color theme="0"/>
              </font>
              <fill>
                <patternFill patternType="none">
                  <bgColor auto="1"/>
                </patternFill>
              </fill>
            </x14:dxf>
          </x14:cfRule>
          <xm:sqref>G154</xm:sqref>
        </x14:conditionalFormatting>
        <x14:conditionalFormatting xmlns:xm="http://schemas.microsoft.com/office/excel/2006/main">
          <x14:cfRule type="expression" priority="116" id="{66F36A3C-4B0D-467B-873E-17923F7EF256}">
            <xm:f>RULES!$E$33&lt;&gt;"E"</xm:f>
            <x14:dxf>
              <font>
                <color theme="0"/>
              </font>
              <fill>
                <patternFill patternType="none">
                  <bgColor auto="1"/>
                </patternFill>
              </fill>
            </x14:dxf>
          </x14:cfRule>
          <xm:sqref>G115</xm:sqref>
        </x14:conditionalFormatting>
        <x14:conditionalFormatting xmlns:xm="http://schemas.microsoft.com/office/excel/2006/main">
          <x14:cfRule type="expression" priority="296" id="{B1BD71E9-0569-457E-8E4A-98D71ECBAEA5}">
            <xm:f>RULES!$N$10&lt;2</xm:f>
            <x14:dxf>
              <font>
                <color theme="0"/>
              </font>
              <fill>
                <patternFill patternType="none">
                  <bgColor auto="1"/>
                </patternFill>
              </fill>
            </x14:dxf>
          </x14:cfRule>
          <xm:sqref>E104 D102:E102 F103:G103</xm:sqref>
        </x14:conditionalFormatting>
        <x14:conditionalFormatting xmlns:xm="http://schemas.microsoft.com/office/excel/2006/main">
          <x14:cfRule type="expression" priority="265" id="{2801AD15-5972-4531-80D0-DD397063CC35}">
            <xm:f>RULES!$N$25=0</xm:f>
            <x14:dxf>
              <font>
                <color theme="0"/>
              </font>
              <fill>
                <patternFill patternType="none">
                  <bgColor auto="1"/>
                </patternFill>
              </fill>
            </x14:dxf>
          </x14:cfRule>
          <xm:sqref>E124</xm:sqref>
        </x14:conditionalFormatting>
        <x14:conditionalFormatting xmlns:xm="http://schemas.microsoft.com/office/excel/2006/main">
          <x14:cfRule type="expression" priority="118" id="{78C1B456-5A8E-4D0C-BD13-1D1323AE70E0}">
            <xm:f>RULES!$P$13=0</xm:f>
            <x14:dxf>
              <font>
                <color theme="0"/>
              </font>
              <fill>
                <patternFill patternType="none">
                  <bgColor auto="1"/>
                </patternFill>
              </fill>
            </x14:dxf>
          </x14:cfRule>
          <xm:sqref>B30:G30</xm:sqref>
        </x14:conditionalFormatting>
        <x14:conditionalFormatting xmlns:xm="http://schemas.microsoft.com/office/excel/2006/main">
          <x14:cfRule type="expression" priority="223" id="{4B22D33C-55E7-44A0-8DCE-19FE82FC1D13}">
            <xm:f>RULES!$N$33=0</xm:f>
            <x14:dxf>
              <font>
                <color theme="0"/>
              </font>
              <fill>
                <patternFill patternType="none">
                  <bgColor auto="1"/>
                </patternFill>
              </fill>
            </x14:dxf>
          </x14:cfRule>
          <xm:sqref>B125</xm:sqref>
        </x14:conditionalFormatting>
        <x14:conditionalFormatting xmlns:xm="http://schemas.microsoft.com/office/excel/2006/main">
          <x14:cfRule type="expression" priority="229" id="{6F62F39E-809C-4C70-A25F-8554C87E3113}">
            <xm:f>RULES!$N$63=1</xm:f>
            <x14:dxf>
              <font>
                <color theme="0"/>
              </font>
              <fill>
                <patternFill patternType="none">
                  <bgColor auto="1"/>
                </patternFill>
              </fill>
              <border>
                <vertical/>
                <horizontal/>
              </border>
            </x14:dxf>
          </x14:cfRule>
          <xm:sqref>B159:G172</xm:sqref>
        </x14:conditionalFormatting>
        <x14:conditionalFormatting xmlns:xm="http://schemas.microsoft.com/office/excel/2006/main">
          <x14:cfRule type="expression" priority="106" id="{6FDBC297-A17A-4CA8-9042-4B361A3FADDD}">
            <xm:f>RULES!$S$15=1</xm:f>
            <x14:dxf>
              <font>
                <color theme="0"/>
              </font>
              <fill>
                <patternFill patternType="none">
                  <bgColor auto="1"/>
                </patternFill>
              </fill>
              <border>
                <vertical/>
                <horizontal/>
              </border>
            </x14:dxf>
          </x14:cfRule>
          <xm:sqref>B47:G51</xm:sqref>
        </x14:conditionalFormatting>
        <x14:conditionalFormatting xmlns:xm="http://schemas.microsoft.com/office/excel/2006/main">
          <x14:cfRule type="expression" priority="103" id="{55EDEAFF-2131-431D-8AB9-D1CC70A7153B}">
            <xm:f>RULES_TERMINI!$C$90=0</xm:f>
            <x14:dxf>
              <font>
                <color theme="0"/>
              </font>
              <fill>
                <patternFill patternType="none">
                  <bgColor auto="1"/>
                </patternFill>
              </fill>
              <border>
                <vertical/>
                <horizontal/>
              </border>
            </x14:dxf>
          </x14:cfRule>
          <xm:sqref>B61:G61 E226:E227 B222:G223 B225:G225 B224:F224</xm:sqref>
        </x14:conditionalFormatting>
        <x14:conditionalFormatting xmlns:xm="http://schemas.microsoft.com/office/excel/2006/main">
          <x14:cfRule type="expression" priority="104" id="{9DC10F3E-09E9-409D-9010-9330CB2D71ED}">
            <xm:f>RULES_TERMINI!$C$90=0</xm:f>
            <x14:dxf>
              <font>
                <color theme="0"/>
              </font>
              <fill>
                <patternFill patternType="none">
                  <bgColor auto="1"/>
                </patternFill>
              </fill>
              <border>
                <vertical/>
                <horizontal/>
              </border>
            </x14:dxf>
          </x14:cfRule>
          <xm:sqref>B229:G229 B228:D228 B226:B227</xm:sqref>
        </x14:conditionalFormatting>
        <x14:conditionalFormatting xmlns:xm="http://schemas.microsoft.com/office/excel/2006/main">
          <x14:cfRule type="expression" priority="24" id="{4988034C-33ED-448E-8EBE-7000FE6B742E}">
            <xm:f>RULES!$P$59=0</xm:f>
            <x14:dxf>
              <font>
                <color theme="0"/>
              </font>
              <fill>
                <patternFill patternType="none">
                  <bgColor auto="1"/>
                </patternFill>
              </fill>
              <border>
                <vertical/>
                <horizontal/>
              </border>
            </x14:dxf>
          </x14:cfRule>
          <xm:sqref>F223:G223 F224</xm:sqref>
        </x14:conditionalFormatting>
        <x14:conditionalFormatting xmlns:xm="http://schemas.microsoft.com/office/excel/2006/main">
          <x14:cfRule type="expression" priority="97" id="{D22E42F9-667F-42BD-866B-1630076C38B5}">
            <xm:f>RULES_TERMINI!$C$90=0</xm:f>
            <x14:dxf>
              <font>
                <color theme="0"/>
              </font>
              <fill>
                <patternFill patternType="none">
                  <bgColor auto="1"/>
                </patternFill>
              </fill>
              <border>
                <vertical/>
                <horizontal/>
              </border>
            </x14:dxf>
          </x14:cfRule>
          <xm:sqref>G225</xm:sqref>
        </x14:conditionalFormatting>
        <x14:conditionalFormatting xmlns:xm="http://schemas.microsoft.com/office/excel/2006/main">
          <x14:cfRule type="expression" priority="95" id="{C441185D-E97B-4972-AFA7-83C32DFB6860}">
            <xm:f>RULES!$N$49=0</xm:f>
            <x14:dxf>
              <font>
                <color theme="0"/>
              </font>
              <fill>
                <patternFill patternType="none">
                  <bgColor auto="1"/>
                </patternFill>
              </fill>
              <border>
                <vertical/>
                <horizontal/>
              </border>
            </x14:dxf>
          </x14:cfRule>
          <xm:sqref>A188:G196</xm:sqref>
        </x14:conditionalFormatting>
        <x14:conditionalFormatting xmlns:xm="http://schemas.microsoft.com/office/excel/2006/main">
          <x14:cfRule type="expression" priority="84" id="{9B0FCA52-6F51-409B-B9D1-5FB244DD5B47}">
            <xm:f>RULES!$Q$34=1</xm:f>
            <x14:dxf>
              <font>
                <color theme="0"/>
              </font>
              <fill>
                <patternFill patternType="solid">
                  <bgColor theme="0"/>
                </patternFill>
              </fill>
              <border>
                <vertical/>
                <horizontal/>
              </border>
            </x14:dxf>
          </x14:cfRule>
          <xm:sqref>B76:D76 D75:G75</xm:sqref>
        </x14:conditionalFormatting>
        <x14:conditionalFormatting xmlns:xm="http://schemas.microsoft.com/office/excel/2006/main">
          <x14:cfRule type="expression" priority="9" id="{C4182364-A50A-46D4-A88A-60E86BA89778}">
            <xm:f>RULES!$Q$27=0</xm:f>
            <x14:dxf>
              <font>
                <color theme="0"/>
              </font>
              <fill>
                <patternFill>
                  <bgColor theme="0"/>
                </patternFill>
              </fill>
              <border>
                <vertical/>
                <horizontal/>
              </border>
            </x14:dxf>
          </x14:cfRule>
          <xm:sqref>B78:G78 B77:E77 B74:G74 E75:G75 B75:D76</xm:sqref>
        </x14:conditionalFormatting>
        <x14:conditionalFormatting xmlns:xm="http://schemas.microsoft.com/office/excel/2006/main">
          <x14:cfRule type="expression" priority="85" id="{4772EC9E-7C83-4153-8C33-E72FD025B3F9}">
            <xm:f>RULES!$U$34=""</xm:f>
            <x14:dxf>
              <font>
                <color theme="0"/>
              </font>
              <fill>
                <patternFill patternType="none">
                  <bgColor auto="1"/>
                </patternFill>
              </fill>
              <border>
                <vertical/>
                <horizontal/>
              </border>
            </x14:dxf>
          </x14:cfRule>
          <xm:sqref>D77:G77 B78:F78</xm:sqref>
        </x14:conditionalFormatting>
        <x14:conditionalFormatting xmlns:xm="http://schemas.microsoft.com/office/excel/2006/main">
          <x14:cfRule type="expression" priority="86" id="{7AB67877-E558-477D-9FBF-1D7944354B19}">
            <xm:f>RULES!$U$34="SOLO CR"</xm:f>
            <x14:dxf>
              <font>
                <color theme="0"/>
              </font>
              <fill>
                <patternFill patternType="none">
                  <bgColor auto="1"/>
                </patternFill>
              </fill>
              <border>
                <vertical/>
                <horizontal/>
              </border>
            </x14:dxf>
          </x14:cfRule>
          <xm:sqref>B78:F78</xm:sqref>
        </x14:conditionalFormatting>
        <x14:conditionalFormatting xmlns:xm="http://schemas.microsoft.com/office/excel/2006/main">
          <x14:cfRule type="expression" priority="55" id="{E9366A28-1227-4598-8F5D-0342AD691179}">
            <xm:f>RULES!$Q$20=0</xm:f>
            <x14:dxf>
              <font>
                <color theme="0"/>
              </font>
              <fill>
                <patternFill patternType="none">
                  <bgColor auto="1"/>
                </patternFill>
              </fill>
              <border>
                <vertical/>
                <horizontal/>
              </border>
            </x14:dxf>
          </x14:cfRule>
          <xm:sqref>B199:G215 B217:G220 B216:F216</xm:sqref>
        </x14:conditionalFormatting>
        <x14:conditionalFormatting xmlns:xm="http://schemas.microsoft.com/office/excel/2006/main">
          <x14:cfRule type="expression" priority="78" id="{2E501E28-FF1F-4F4C-B6EB-E1E2F75D6EB3}">
            <xm:f>$C$28&lt;RULES_TERMINI!$D$67</xm:f>
            <x14:dxf>
              <font>
                <color theme="0"/>
              </font>
              <fill>
                <patternFill patternType="none">
                  <bgColor auto="1"/>
                </patternFill>
              </fill>
              <border>
                <vertical/>
                <horizontal/>
              </border>
            </x14:dxf>
          </x14:cfRule>
          <xm:sqref>B205:G207</xm:sqref>
        </x14:conditionalFormatting>
        <x14:conditionalFormatting xmlns:xm="http://schemas.microsoft.com/office/excel/2006/main">
          <x14:cfRule type="expression" priority="79" id="{3D443529-FBD5-4460-89D5-0448DC2A5B48}">
            <xm:f>$G$20&lt;&gt;VAR_1!$U$10</xm:f>
            <x14:dxf>
              <font>
                <color theme="0"/>
              </font>
              <fill>
                <patternFill patternType="none">
                  <bgColor auto="1"/>
                </patternFill>
              </fill>
            </x14:dxf>
          </x14:cfRule>
          <xm:sqref>B209:G209 B212:G215 B217:G220 B216:F216</xm:sqref>
        </x14:conditionalFormatting>
        <x14:conditionalFormatting xmlns:xm="http://schemas.microsoft.com/office/excel/2006/main">
          <x14:cfRule type="expression" priority="81" id="{E33129C7-17E2-4AB8-B2E9-1BDF8929BEA0}">
            <xm:f>RULES!$X$11=1</xm:f>
            <x14:dxf>
              <font>
                <color theme="0"/>
              </font>
              <fill>
                <patternFill>
                  <bgColor theme="0"/>
                </patternFill>
              </fill>
              <border>
                <vertical/>
                <horizontal/>
              </border>
            </x14:dxf>
          </x14:cfRule>
          <xm:sqref>B209:G209 B212:G215 B217:G219 B216:F216</xm:sqref>
        </x14:conditionalFormatting>
        <x14:conditionalFormatting xmlns:xm="http://schemas.microsoft.com/office/excel/2006/main">
          <x14:cfRule type="expression" priority="80" id="{5F1BAC18-DD7A-4BDF-B8F5-7623E7AC1CC4}">
            <xm:f>RULES!$X$10=1</xm:f>
            <x14:dxf>
              <font>
                <color theme="0"/>
              </font>
              <fill>
                <patternFill patternType="none">
                  <bgColor auto="1"/>
                </patternFill>
              </fill>
            </x14:dxf>
          </x14:cfRule>
          <xm:sqref>B213:G215</xm:sqref>
        </x14:conditionalFormatting>
        <x14:conditionalFormatting xmlns:xm="http://schemas.microsoft.com/office/excel/2006/main">
          <x14:cfRule type="expression" priority="56" id="{E6982DBE-B6E4-4A66-A550-FF8F8A6A7357}">
            <xm:f>$C$20&lt;&gt;VAR_1!$Q$18</xm:f>
            <x14:dxf>
              <font>
                <color theme="0"/>
              </font>
              <fill>
                <patternFill patternType="none">
                  <bgColor auto="1"/>
                </patternFill>
              </fill>
              <border>
                <vertical/>
                <horizontal/>
              </border>
            </x14:dxf>
          </x14:cfRule>
          <xm:sqref>B85:G85 B87:F87 B86:D86 F86:G86</xm:sqref>
        </x14:conditionalFormatting>
        <x14:conditionalFormatting xmlns:xm="http://schemas.microsoft.com/office/excel/2006/main">
          <x14:cfRule type="expression" priority="57" id="{C9261643-B3D9-4C91-B65E-E844477DCA6A}">
            <xm:f>RULES!$U$36="SOLO CR"</xm:f>
            <x14:dxf>
              <font>
                <color theme="0"/>
              </font>
              <fill>
                <patternFill patternType="none">
                  <bgColor auto="1"/>
                </patternFill>
              </fill>
              <border>
                <vertical/>
                <horizontal/>
              </border>
            </x14:dxf>
          </x14:cfRule>
          <xm:sqref>B87:F87</xm:sqref>
        </x14:conditionalFormatting>
        <x14:conditionalFormatting xmlns:xm="http://schemas.microsoft.com/office/excel/2006/main">
          <x14:cfRule type="expression" priority="82" id="{6E4F0B69-7627-46E9-A9CB-8D221D90F1F4}">
            <xm:f>RULES_TERMINI!$J$90=0</xm:f>
            <x14:dxf>
              <font>
                <color theme="0"/>
              </font>
              <fill>
                <patternFill patternType="none">
                  <bgColor auto="1"/>
                </patternFill>
              </fill>
              <border>
                <vertical/>
                <horizontal/>
              </border>
            </x14:dxf>
          </x14:cfRule>
          <xm:sqref>B205:G206 B207:F207</xm:sqref>
        </x14:conditionalFormatting>
        <x14:conditionalFormatting xmlns:xm="http://schemas.microsoft.com/office/excel/2006/main">
          <x14:cfRule type="expression" priority="53" id="{FEB98A6F-C503-4605-863D-1E23EDD7ECF6}">
            <xm:f>RULES!$W$31=1</xm:f>
            <x14:dxf>
              <font>
                <color theme="0"/>
              </font>
              <fill>
                <patternFill patternType="none">
                  <bgColor auto="1"/>
                </patternFill>
              </fill>
              <border>
                <vertical/>
                <horizontal/>
              </border>
            </x14:dxf>
          </x14:cfRule>
          <x14:cfRule type="expression" priority="54" id="{31097209-F2E3-4EA5-B22C-47899493BBC8}">
            <xm:f>RULES!$W$31=1</xm:f>
            <x14:dxf>
              <font>
                <color theme="0"/>
              </font>
              <fill>
                <patternFill patternType="none">
                  <bgColor auto="1"/>
                </patternFill>
              </fill>
            </x14:dxf>
          </x14:cfRule>
          <xm:sqref>C66:D71</xm:sqref>
        </x14:conditionalFormatting>
        <x14:conditionalFormatting xmlns:xm="http://schemas.microsoft.com/office/excel/2006/main">
          <x14:cfRule type="expression" priority="52" id="{8532BAD1-C3BA-4276-9740-2BFCEA2345F5}">
            <xm:f>RULES!$W$31=2</xm:f>
            <x14:dxf>
              <font>
                <color theme="0"/>
              </font>
              <fill>
                <patternFill patternType="none">
                  <bgColor auto="1"/>
                </patternFill>
              </fill>
            </x14:dxf>
          </x14:cfRule>
          <xm:sqref>E66:E71</xm:sqref>
        </x14:conditionalFormatting>
        <x14:conditionalFormatting xmlns:xm="http://schemas.microsoft.com/office/excel/2006/main">
          <x14:cfRule type="expression" priority="51" id="{E79F4581-A608-46BA-B06B-A13E704A5968}">
            <xm:f>RULES!$X$58=0</xm:f>
            <x14:dxf>
              <font>
                <color theme="0"/>
              </font>
              <fill>
                <patternFill patternType="none">
                  <bgColor auto="1"/>
                </patternFill>
              </fill>
              <border>
                <vertical/>
                <horizontal/>
              </border>
            </x14:dxf>
          </x14:cfRule>
          <xm:sqref>B64:G71</xm:sqref>
        </x14:conditionalFormatting>
        <x14:conditionalFormatting xmlns:xm="http://schemas.microsoft.com/office/excel/2006/main">
          <x14:cfRule type="expression" priority="43" id="{29BB1FF6-150A-4498-BB0B-7CD1F8315A35}">
            <xm:f>$C$140&lt;&gt;VAR_1!$BC$8</xm:f>
            <x14:dxf>
              <font>
                <color theme="0"/>
              </font>
              <fill>
                <patternFill patternType="none">
                  <bgColor auto="1"/>
                </patternFill>
              </fill>
              <border>
                <vertical/>
                <horizontal/>
              </border>
            </x14:dxf>
          </x14:cfRule>
          <xm:sqref>B148:G149</xm:sqref>
        </x14:conditionalFormatting>
        <x14:conditionalFormatting xmlns:xm="http://schemas.microsoft.com/office/excel/2006/main">
          <x14:cfRule type="expression" priority="42" id="{07AB239D-F59E-4F30-A979-5311266DB34F}">
            <xm:f>RULES_TERMINI!$C$90=0</xm:f>
            <x14:dxf>
              <font>
                <color theme="0"/>
              </font>
              <fill>
                <patternFill patternType="none">
                  <bgColor auto="1"/>
                </patternFill>
              </fill>
              <border>
                <vertical/>
                <horizontal/>
              </border>
            </x14:dxf>
          </x14:cfRule>
          <xm:sqref>C228</xm:sqref>
        </x14:conditionalFormatting>
        <x14:conditionalFormatting xmlns:xm="http://schemas.microsoft.com/office/excel/2006/main">
          <x14:cfRule type="expression" priority="40" id="{A951E2BE-B676-4324-8001-91BD7A3493F1}">
            <xm:f>$C$4&lt;&gt;VAR_1!$E$8</xm:f>
            <x14:dxf>
              <font>
                <color theme="0"/>
              </font>
              <fill>
                <patternFill patternType="none">
                  <bgColor auto="1"/>
                </patternFill>
              </fill>
              <border>
                <vertical/>
                <horizontal/>
              </border>
            </x14:dxf>
          </x14:cfRule>
          <xm:sqref>B44:G44</xm:sqref>
        </x14:conditionalFormatting>
        <x14:conditionalFormatting xmlns:xm="http://schemas.microsoft.com/office/excel/2006/main">
          <x14:cfRule type="expression" priority="34" id="{3281B9CC-B59B-4E94-8B02-4AD729742B47}">
            <xm:f>RULES_TERMINI!$C$90=0</xm:f>
            <x14:dxf>
              <font>
                <color theme="0"/>
              </font>
              <fill>
                <patternFill patternType="none">
                  <bgColor auto="1"/>
                </patternFill>
              </fill>
              <border>
                <vertical/>
                <horizontal/>
              </border>
            </x14:dxf>
          </x14:cfRule>
          <xm:sqref>B103</xm:sqref>
        </x14:conditionalFormatting>
        <x14:conditionalFormatting xmlns:xm="http://schemas.microsoft.com/office/excel/2006/main">
          <x14:cfRule type="expression" priority="33" id="{A011D881-A9F7-4981-B005-7B23013CC741}">
            <xm:f>RULES_TERMINI!$C$90=0</xm:f>
            <x14:dxf>
              <font>
                <color theme="0"/>
              </font>
              <fill>
                <patternFill patternType="none">
                  <bgColor auto="1"/>
                </patternFill>
              </fill>
              <border>
                <vertical/>
                <horizontal/>
              </border>
            </x14:dxf>
          </x14:cfRule>
          <xm:sqref>C103</xm:sqref>
        </x14:conditionalFormatting>
        <x14:conditionalFormatting xmlns:xm="http://schemas.microsoft.com/office/excel/2006/main">
          <x14:cfRule type="expression" priority="32" id="{B23CC6E6-5618-4827-87A2-2A032C93EA1A}">
            <xm:f>RULES_TERMINI!$C$90=0</xm:f>
            <x14:dxf>
              <font>
                <color theme="0"/>
              </font>
              <fill>
                <patternFill patternType="none">
                  <bgColor auto="1"/>
                </patternFill>
              </fill>
              <border>
                <vertical/>
                <horizontal/>
              </border>
            </x14:dxf>
          </x14:cfRule>
          <xm:sqref>F103</xm:sqref>
        </x14:conditionalFormatting>
        <x14:conditionalFormatting xmlns:xm="http://schemas.microsoft.com/office/excel/2006/main">
          <x14:cfRule type="expression" priority="31" id="{18748458-F0BF-4F1E-9605-64FF0C941486}">
            <xm:f>RULES_TERMINI!$C$90=0</xm:f>
            <x14:dxf>
              <font>
                <color theme="0"/>
              </font>
              <fill>
                <patternFill patternType="none">
                  <bgColor auto="1"/>
                </patternFill>
              </fill>
              <border>
                <vertical/>
                <horizontal/>
              </border>
            </x14:dxf>
          </x14:cfRule>
          <xm:sqref>G103</xm:sqref>
        </x14:conditionalFormatting>
        <x14:conditionalFormatting xmlns:xm="http://schemas.microsoft.com/office/excel/2006/main">
          <x14:cfRule type="expression" priority="29" id="{4BF411DE-6C03-4FAC-84A4-0CC9EB67064F}">
            <xm:f>RULES_TERMINI!$C$90=0</xm:f>
            <x14:dxf>
              <font>
                <color theme="0"/>
              </font>
              <fill>
                <patternFill patternType="none">
                  <bgColor auto="1"/>
                </patternFill>
              </fill>
              <border>
                <vertical/>
                <horizontal/>
              </border>
            </x14:dxf>
          </x14:cfRule>
          <xm:sqref>D227</xm:sqref>
        </x14:conditionalFormatting>
        <x14:conditionalFormatting xmlns:xm="http://schemas.microsoft.com/office/excel/2006/main">
          <x14:cfRule type="expression" priority="28" id="{46B9350A-D2BD-4F06-A55A-963713AAAAF9}">
            <xm:f>RULES_TERMINI!$C$90=0</xm:f>
            <x14:dxf>
              <font>
                <color theme="0"/>
              </font>
              <fill>
                <patternFill patternType="none">
                  <bgColor auto="1"/>
                </patternFill>
              </fill>
              <border>
                <vertical/>
                <horizontal/>
              </border>
            </x14:dxf>
          </x14:cfRule>
          <xm:sqref>C227</xm:sqref>
        </x14:conditionalFormatting>
        <x14:conditionalFormatting xmlns:xm="http://schemas.microsoft.com/office/excel/2006/main">
          <x14:cfRule type="expression" priority="27" id="{78950C4C-77D7-4828-9ED6-E41619509958}">
            <xm:f>RULES_TERMINI!$C$90=0</xm:f>
            <x14:dxf>
              <font>
                <color theme="0"/>
              </font>
              <fill>
                <patternFill patternType="none">
                  <bgColor auto="1"/>
                </patternFill>
              </fill>
              <border>
                <vertical/>
                <horizontal/>
              </border>
            </x14:dxf>
          </x14:cfRule>
          <xm:sqref>D227</xm:sqref>
        </x14:conditionalFormatting>
        <x14:conditionalFormatting xmlns:xm="http://schemas.microsoft.com/office/excel/2006/main">
          <x14:cfRule type="expression" priority="25" id="{8F0D6C4E-29D2-4147-A192-FA2A7E41D7AD}">
            <xm:f>RULES_TERMINI!$C$90=0</xm:f>
            <x14:dxf>
              <font>
                <color theme="0"/>
              </font>
              <fill>
                <patternFill patternType="none">
                  <bgColor auto="1"/>
                </patternFill>
              </fill>
              <border>
                <vertical/>
                <horizontal/>
              </border>
            </x14:dxf>
          </x14:cfRule>
          <xm:sqref>F227</xm:sqref>
        </x14:conditionalFormatting>
        <x14:conditionalFormatting xmlns:xm="http://schemas.microsoft.com/office/excel/2006/main">
          <x14:cfRule type="expression" priority="7" id="{9CA096E5-2481-4B41-B898-1ABE82C40B9A}">
            <xm:f>RULES!$T$73=0</xm:f>
            <x14:dxf>
              <font>
                <color theme="0"/>
              </font>
              <fill>
                <patternFill patternType="none">
                  <bgColor auto="1"/>
                </patternFill>
              </fill>
              <border>
                <vertical/>
                <horizontal/>
              </border>
            </x14:dxf>
          </x14:cfRule>
          <xm:sqref>B223:G223 B225:G227 B224:F224</xm:sqref>
        </x14:conditionalFormatting>
        <x14:conditionalFormatting xmlns:xm="http://schemas.microsoft.com/office/excel/2006/main">
          <x14:cfRule type="expression" priority="23" id="{E865205F-9618-4187-9758-2DE938B2DBEF}">
            <xm:f>RULES!$S$69=0</xm:f>
            <x14:dxf>
              <font>
                <color theme="0"/>
              </font>
              <fill>
                <patternFill patternType="none">
                  <bgColor auto="1"/>
                </patternFill>
              </fill>
              <border>
                <vertical/>
                <horizontal/>
              </border>
            </x14:dxf>
          </x14:cfRule>
          <xm:sqref>E226:G226 B227:G227</xm:sqref>
        </x14:conditionalFormatting>
        <x14:conditionalFormatting xmlns:xm="http://schemas.microsoft.com/office/excel/2006/main">
          <x14:cfRule type="expression" priority="22" id="{5D0484AA-3555-4476-AF5D-B2F49065D945}">
            <xm:f>RULES!$S$76=0</xm:f>
            <x14:dxf>
              <font>
                <color theme="0"/>
              </font>
              <fill>
                <patternFill patternType="none">
                  <bgColor auto="1"/>
                </patternFill>
              </fill>
              <border>
                <vertical/>
                <horizontal/>
              </border>
            </x14:dxf>
          </x14:cfRule>
          <xm:sqref>B104:G104 B103:C103 F103:G103</xm:sqref>
        </x14:conditionalFormatting>
        <x14:conditionalFormatting xmlns:xm="http://schemas.microsoft.com/office/excel/2006/main">
          <x14:cfRule type="expression" priority="21" id="{6065553A-5CE0-4B17-B65A-78ED8540B815}">
            <xm:f>RULES!$S$76=1</xm:f>
            <x14:dxf>
              <font>
                <color theme="0"/>
              </font>
              <fill>
                <patternFill patternType="none">
                  <bgColor auto="1"/>
                </patternFill>
              </fill>
              <border>
                <vertical/>
                <horizontal/>
              </border>
            </x14:dxf>
          </x14:cfRule>
          <xm:sqref>B102:C102</xm:sqref>
        </x14:conditionalFormatting>
        <x14:conditionalFormatting xmlns:xm="http://schemas.microsoft.com/office/excel/2006/main">
          <x14:cfRule type="expression" priority="18" id="{B10ECE6F-A054-415D-AA58-B888E446CC8B}">
            <xm:f>RULES_TERMINI!$C$90=0</xm:f>
            <x14:dxf>
              <font>
                <color theme="0"/>
              </font>
              <fill>
                <patternFill patternType="none">
                  <bgColor auto="1"/>
                </patternFill>
              </fill>
              <border>
                <vertical/>
                <horizontal/>
              </border>
            </x14:dxf>
          </x14:cfRule>
          <xm:sqref>D103</xm:sqref>
        </x14:conditionalFormatting>
        <x14:conditionalFormatting xmlns:xm="http://schemas.microsoft.com/office/excel/2006/main">
          <x14:cfRule type="expression" priority="17" id="{587A2793-1548-4D90-BB97-FC887D1F1694}">
            <xm:f>RULES!$S$76=0</xm:f>
            <x14:dxf>
              <font>
                <color theme="0"/>
              </font>
              <fill>
                <patternFill patternType="none">
                  <bgColor auto="1"/>
                </patternFill>
              </fill>
              <border>
                <vertical/>
                <horizontal/>
              </border>
            </x14:dxf>
          </x14:cfRule>
          <xm:sqref>D103</xm:sqref>
        </x14:conditionalFormatting>
        <x14:conditionalFormatting xmlns:xm="http://schemas.microsoft.com/office/excel/2006/main">
          <x14:cfRule type="expression" priority="14" id="{E6D9B49F-FE91-4786-9477-60543765FEB0}">
            <xm:f>RULES_TERMINI!$C$90=0</xm:f>
            <x14:dxf>
              <font>
                <color theme="0"/>
              </font>
              <fill>
                <patternFill patternType="none">
                  <bgColor auto="1"/>
                </patternFill>
              </fill>
              <border>
                <vertical/>
                <horizontal/>
              </border>
            </x14:dxf>
          </x14:cfRule>
          <xm:sqref>E103</xm:sqref>
        </x14:conditionalFormatting>
        <x14:conditionalFormatting xmlns:xm="http://schemas.microsoft.com/office/excel/2006/main">
          <x14:cfRule type="expression" priority="13" id="{F087C352-0051-46AF-A9BB-CB783E8854C0}">
            <xm:f>RULES!$S$76=0</xm:f>
            <x14:dxf>
              <font>
                <color theme="0"/>
              </font>
              <fill>
                <patternFill patternType="none">
                  <bgColor auto="1"/>
                </patternFill>
              </fill>
              <border>
                <vertical/>
                <horizontal/>
              </border>
            </x14:dxf>
          </x14:cfRule>
          <xm:sqref>E103</xm:sqref>
        </x14:conditionalFormatting>
        <x14:conditionalFormatting xmlns:xm="http://schemas.microsoft.com/office/excel/2006/main">
          <x14:cfRule type="expression" priority="10" id="{2AD2906B-8725-411D-A600-FFA0E7777E5C}">
            <xm:f>$G$20&lt;&gt;VAR_1!$U$16</xm:f>
            <x14:dxf>
              <font>
                <color theme="0"/>
              </font>
              <fill>
                <patternFill patternType="none">
                  <bgColor auto="1"/>
                </patternFill>
              </fill>
              <border>
                <vertical/>
                <horizontal/>
              </border>
            </x14:dxf>
          </x14:cfRule>
          <xm:sqref>B103:G104 H103:J111</xm:sqref>
        </x14:conditionalFormatting>
        <x14:conditionalFormatting xmlns:xm="http://schemas.microsoft.com/office/excel/2006/main">
          <x14:cfRule type="expression" priority="11" id="{963A21BF-8F0C-4C5F-87EF-75C92CA9F237}">
            <xm:f>$C$99=VAR_1!$AP$10</xm:f>
            <x14:dxf>
              <font>
                <color theme="0"/>
              </font>
              <fill>
                <patternFill patternType="none">
                  <bgColor auto="1"/>
                </patternFill>
              </fill>
              <border>
                <vertical/>
                <horizontal/>
              </border>
            </x14:dxf>
          </x14:cfRule>
          <xm:sqref>F103:G103</xm:sqref>
        </x14:conditionalFormatting>
        <x14:conditionalFormatting xmlns:xm="http://schemas.microsoft.com/office/excel/2006/main">
          <x14:cfRule type="expression" priority="12" id="{079B4E8E-D8E0-435A-AE5E-88FF63768CAB}">
            <xm:f>RULES!$S$76=0</xm:f>
            <x14:dxf>
              <font>
                <color theme="0"/>
              </font>
              <fill>
                <patternFill patternType="none">
                  <bgColor auto="1"/>
                </patternFill>
              </fill>
              <border>
                <vertical/>
                <horizontal/>
              </border>
            </x14:dxf>
          </x14:cfRule>
          <xm:sqref>H103:J111</xm:sqref>
        </x14:conditionalFormatting>
        <x14:conditionalFormatting xmlns:xm="http://schemas.microsoft.com/office/excel/2006/main">
          <x14:cfRule type="expression" priority="8" id="{AB8EAE79-6F7D-46E2-8CD1-F0B96BBF0F2B}">
            <xm:f>RULES_TERMINI!$C$90=0</xm:f>
            <x14:dxf>
              <font>
                <color theme="0"/>
              </font>
              <fill>
                <patternFill patternType="none">
                  <bgColor auto="1"/>
                </patternFill>
              </fill>
              <border>
                <vertical/>
                <horizontal/>
              </border>
            </x14:dxf>
          </x14:cfRule>
          <xm:sqref>C224</xm:sqref>
        </x14:conditionalFormatting>
        <x14:conditionalFormatting xmlns:xm="http://schemas.microsoft.com/office/excel/2006/main">
          <x14:cfRule type="expression" priority="6" id="{96EA6454-C81E-44B8-B619-5EB515D74130}">
            <xm:f>RULES!$X$16=0</xm:f>
            <x14:dxf>
              <font>
                <color theme="0"/>
              </font>
              <fill>
                <patternFill patternType="none">
                  <bgColor auto="1"/>
                </patternFill>
              </fill>
            </x14:dxf>
          </x14:cfRule>
          <xm:sqref>B92:G92</xm:sqref>
        </x14:conditionalFormatting>
        <x14:conditionalFormatting xmlns:xm="http://schemas.microsoft.com/office/excel/2006/main">
          <x14:cfRule type="expression" priority="2" id="{3F1A49B8-4FA4-447C-8732-46FA62AEB3C9}">
            <xm:f>RULES!$X$21=1</xm:f>
            <x14:dxf>
              <font>
                <color theme="0"/>
              </font>
              <fill>
                <patternFill patternType="none">
                  <bgColor auto="1"/>
                </patternFill>
              </fill>
              <border>
                <vertical/>
                <horizontal/>
              </border>
            </x14:dxf>
          </x14:cfRule>
          <xm:sqref>B82:C82 D83:E83</xm:sqref>
        </x14:conditionalFormatting>
        <x14:conditionalFormatting xmlns:xm="http://schemas.microsoft.com/office/excel/2006/main">
          <x14:cfRule type="expression" priority="500" id="{3F1A49B8-4FA4-447C-8732-46FA62AEB3C9}">
            <xm:f>RULES!$X$22=1</xm:f>
            <x14:dxf>
              <font>
                <color theme="0"/>
              </font>
              <fill>
                <patternFill patternType="none">
                  <bgColor auto="1"/>
                </patternFill>
              </fill>
              <border>
                <vertical/>
                <horizontal/>
              </border>
            </x14:dxf>
          </x14:cfRule>
          <xm:sqref>D81:G81 F83:G83</xm:sqref>
        </x14:conditionalFormatting>
        <x14:conditionalFormatting xmlns:xm="http://schemas.microsoft.com/office/excel/2006/main">
          <x14:cfRule type="expression" priority="503" id="{341FCCE1-237E-4B20-8591-91C3B3BA2B68}">
            <xm:f>RULES!$X$20=0</xm:f>
            <x14:dxf>
              <font>
                <color theme="0"/>
              </font>
              <fill>
                <patternFill patternType="none">
                  <bgColor auto="1"/>
                </patternFill>
              </fill>
              <border>
                <vertical/>
                <horizontal/>
              </border>
            </x14:dxf>
          </x14:cfRule>
          <xm:sqref>D81:G81 B82:G83</xm:sqref>
        </x14:conditionalFormatting>
        <x14:conditionalFormatting xmlns:xm="http://schemas.microsoft.com/office/excel/2006/main">
          <x14:cfRule type="expression" priority="1" id="{C662D66F-C19C-49EE-A653-D57FF08341CC}">
            <xm:f>RULES!$X$19=0</xm:f>
            <x14:dxf>
              <font>
                <color theme="0"/>
              </font>
              <fill>
                <patternFill patternType="none">
                  <bgColor auto="1"/>
                </patternFill>
              </fill>
              <border>
                <vertical/>
                <horizontal/>
              </border>
            </x14:dxf>
          </x14:cfRule>
          <xm:sqref>B80:G83</xm:sqref>
        </x14:conditionalFormatting>
      </x14:conditionalFormattings>
    </ext>
    <ext xmlns:x14="http://schemas.microsoft.com/office/spreadsheetml/2009/9/main" uri="{CCE6A557-97BC-4b89-ADB6-D9C93CAAB3DF}">
      <x14:dataValidations xmlns:xm="http://schemas.microsoft.com/office/excel/2006/main" count="61">
        <x14:dataValidation type="list" allowBlank="1" showInputMessage="1" showErrorMessage="1" xr:uid="{00000000-0002-0000-0000-000000000000}">
          <x14:formula1>
            <xm:f>VAR_1!$A$3:$A$13</xm:f>
          </x14:formula1>
          <xm:sqref>E2</xm:sqref>
        </x14:dataValidation>
        <x14:dataValidation type="list" allowBlank="1" showInputMessage="1" showErrorMessage="1" xr:uid="{00000000-0002-0000-0000-000001000000}">
          <x14:formula1>
            <xm:f>VAR_1!$C$3:$C$9</xm:f>
          </x14:formula1>
          <xm:sqref>G2</xm:sqref>
        </x14:dataValidation>
        <x14:dataValidation type="list" allowBlank="1" showInputMessage="1" showErrorMessage="1" xr:uid="{00000000-0002-0000-0000-000002000000}">
          <x14:formula1>
            <xm:f>VAR_1!$E$3:$E$8</xm:f>
          </x14:formula1>
          <xm:sqref>C4</xm:sqref>
        </x14:dataValidation>
        <x14:dataValidation type="list" allowBlank="1" showInputMessage="1" showErrorMessage="1" xr:uid="{00000000-0002-0000-0000-000003000000}">
          <x14:formula1>
            <xm:f>VAR_1!$G$3:$G$5</xm:f>
          </x14:formula1>
          <xm:sqref>D4</xm:sqref>
        </x14:dataValidation>
        <x14:dataValidation type="list" allowBlank="1" showInputMessage="1" showErrorMessage="1" xr:uid="{00000000-0002-0000-0000-000004000000}">
          <x14:formula1>
            <xm:f>VAR_1!$X$3:$X$4</xm:f>
          </x14:formula1>
          <xm:sqref>F4 C224 F207 G225 C228 D184:D185</xm:sqref>
        </x14:dataValidation>
        <x14:dataValidation type="list" allowBlank="1" showInputMessage="1" showErrorMessage="1" xr:uid="{00000000-0002-0000-0000-000005000000}">
          <x14:formula1>
            <xm:f>VAR_1!$AB$3:$AB$9</xm:f>
          </x14:formula1>
          <xm:sqref>C9:G9</xm:sqref>
        </x14:dataValidation>
        <x14:dataValidation type="list" allowBlank="1" showInputMessage="1" showErrorMessage="1" xr:uid="{00000000-0002-0000-0000-000006000000}">
          <x14:formula1>
            <xm:f>'ATECO 2007_ammissibilità'!$A$2:$A$1724</xm:f>
          </x14:formula1>
          <xm:sqref>C10</xm:sqref>
        </x14:dataValidation>
        <x14:dataValidation type="list" allowBlank="1" showInputMessage="1" showErrorMessage="1" xr:uid="{00000000-0002-0000-0000-000007000000}">
          <x14:formula1>
            <xm:f>VAR_1!$S$3:$S$9</xm:f>
          </x14:formula1>
          <xm:sqref>F10</xm:sqref>
        </x14:dataValidation>
        <x14:dataValidation type="list" allowBlank="1" showInputMessage="1" showErrorMessage="1" xr:uid="{00000000-0002-0000-0000-000009000000}">
          <x14:formula1>
            <xm:f>VAR_1!$Z$3:$Z$4</xm:f>
          </x14:formula1>
          <xm:sqref>E190 C106 C108 C110 G179 C139 G140</xm:sqref>
        </x14:dataValidation>
        <x14:dataValidation type="list" allowBlank="1" showInputMessage="1" showErrorMessage="1" xr:uid="{00000000-0002-0000-0000-00000A000000}">
          <x14:formula1>
            <xm:f>VAR_1!$Q$3:$Q$18</xm:f>
          </x14:formula1>
          <xm:sqref>C20:E20</xm:sqref>
        </x14:dataValidation>
        <x14:dataValidation type="list" allowBlank="1" showInputMessage="1" showErrorMessage="1" xr:uid="{00000000-0002-0000-0000-00000B000000}">
          <x14:formula1>
            <xm:f>VAR_1!$U$3:$U$16</xm:f>
          </x14:formula1>
          <xm:sqref>G20</xm:sqref>
        </x14:dataValidation>
        <x14:dataValidation type="list" allowBlank="1" showInputMessage="1" showErrorMessage="1" xr:uid="{00000000-0002-0000-0000-00000C000000}">
          <x14:formula1>
            <xm:f>VAR_1!$O$3:$O$4</xm:f>
          </x14:formula1>
          <xm:sqref>C34 C55</xm:sqref>
        </x14:dataValidation>
        <x14:dataValidation type="list" allowBlank="1" showInputMessage="1" showErrorMessage="1" xr:uid="{00000000-0002-0000-0000-00000D000000}">
          <x14:formula1>
            <xm:f>VAR_1!$I$3:$I$4</xm:f>
          </x14:formula1>
          <xm:sqref>E34 E55</xm:sqref>
        </x14:dataValidation>
        <x14:dataValidation type="list" allowBlank="1" showInputMessage="1" showErrorMessage="1" xr:uid="{00000000-0002-0000-0000-00000E000000}">
          <x14:formula1>
            <xm:f>VAR_1!$K$3:$K$7</xm:f>
          </x14:formula1>
          <xm:sqref>C48 E48</xm:sqref>
        </x14:dataValidation>
        <x14:dataValidation type="list" allowBlank="1" showInputMessage="1" showErrorMessage="1" xr:uid="{00000000-0002-0000-0000-00000F000000}">
          <x14:formula1>
            <xm:f>VAR_1!$AF$3:$AF$4</xm:f>
          </x14:formula1>
          <xm:sqref>C49</xm:sqref>
        </x14:dataValidation>
        <x14:dataValidation type="list" allowBlank="1" showInputMessage="1" showErrorMessage="1" xr:uid="{00000000-0002-0000-0000-000010000000}">
          <x14:formula1>
            <xm:f>VAR_1!$AF$9:$AF$14</xm:f>
          </x14:formula1>
          <xm:sqref>D49</xm:sqref>
        </x14:dataValidation>
        <x14:dataValidation type="list" allowBlank="1" showInputMessage="1" showErrorMessage="1" promptTitle="motivazione esenzione pagamento" prompt="specificare motivazione esenzione pagamento" xr:uid="{00000000-0002-0000-0000-000011000000}">
          <x14:formula1>
            <xm:f>VAR_1!$AH$3:$AH$15</xm:f>
          </x14:formula1>
          <xm:sqref>F49:G49</xm:sqref>
        </x14:dataValidation>
        <x14:dataValidation type="list" allowBlank="1" showInputMessage="1" showErrorMessage="1" xr:uid="{00000000-0002-0000-0000-000013000000}">
          <x14:formula1>
            <xm:f>VAR_1!$I$7:$I$9</xm:f>
          </x14:formula1>
          <xm:sqref>C115:D115</xm:sqref>
        </x14:dataValidation>
        <x14:dataValidation type="list" allowBlank="1" showInputMessage="1" showErrorMessage="1" xr:uid="{00000000-0002-0000-0000-000014000000}">
          <x14:formula1>
            <xm:f>VAR_1!$AV$3:$AV$12</xm:f>
          </x14:formula1>
          <xm:sqref>F115</xm:sqref>
        </x14:dataValidation>
        <x14:dataValidation type="list" allowBlank="1" showInputMessage="1" showErrorMessage="1" xr:uid="{00000000-0002-0000-0000-000015000000}">
          <x14:formula1>
            <xm:f>VAR_1!$AY$3:$AY$4</xm:f>
          </x14:formula1>
          <xm:sqref>C117</xm:sqref>
        </x14:dataValidation>
        <x14:dataValidation type="list" allowBlank="1" showInputMessage="1" showErrorMessage="1" xr:uid="{00000000-0002-0000-0000-000016000000}">
          <x14:formula1>
            <xm:f>VAR_1!$BC$3:$BC$8</xm:f>
          </x14:formula1>
          <xm:sqref>C140</xm:sqref>
        </x14:dataValidation>
        <x14:dataValidation type="list" allowBlank="1" showInputMessage="1" showErrorMessage="1" xr:uid="{00000000-0002-0000-0000-000017000000}">
          <x14:formula1>
            <xm:f>VAR_1!$BE$3:$BE$4</xm:f>
          </x14:formula1>
          <xm:sqref>G159 G200</xm:sqref>
        </x14:dataValidation>
        <x14:dataValidation type="list" allowBlank="1" showInputMessage="1" showErrorMessage="1" xr:uid="{00000000-0002-0000-0000-000018000000}">
          <x14:formula1>
            <xm:f>VAR_1!$BG$4:$BG$12</xm:f>
          </x14:formula1>
          <xm:sqref>C161</xm:sqref>
        </x14:dataValidation>
        <x14:dataValidation type="list" allowBlank="1" showInputMessage="1" showErrorMessage="1" xr:uid="{00000000-0002-0000-0000-000019000000}">
          <x14:formula1>
            <xm:f>VAR_1!$BL$3:$BL$5</xm:f>
          </x14:formula1>
          <xm:sqref>C171 F171</xm:sqref>
        </x14:dataValidation>
        <x14:dataValidation type="list" allowBlank="1" showInputMessage="1" showErrorMessage="1" xr:uid="{00000000-0002-0000-0000-00001A000000}">
          <x14:formula1>
            <xm:f>VAR_1!$BN$3:$BN$7</xm:f>
          </x14:formula1>
          <xm:sqref>C173</xm:sqref>
        </x14:dataValidation>
        <x14:dataValidation type="list" allowBlank="1" showInputMessage="1" showErrorMessage="1" xr:uid="{00000000-0002-0000-0000-00001B000000}">
          <x14:formula1>
            <xm:f>VAR_1!$BP$3:$BP$5</xm:f>
          </x14:formula1>
          <xm:sqref>E173</xm:sqref>
        </x14:dataValidation>
        <x14:dataValidation type="list" allowBlank="1" showInputMessage="1" showErrorMessage="1" xr:uid="{00000000-0002-0000-0000-00001C000000}">
          <x14:formula1>
            <xm:f>VAR_1!$BR$3:$BR$6</xm:f>
          </x14:formula1>
          <xm:sqref>D183</xm:sqref>
        </x14:dataValidation>
        <x14:dataValidation type="list" allowBlank="1" showInputMessage="1" showErrorMessage="1" xr:uid="{00000000-0002-0000-0000-00001D000000}">
          <x14:formula1>
            <xm:f>VAR_1!$BT$3:$BT$9</xm:f>
          </x14:formula1>
          <xm:sqref>C189</xm:sqref>
        </x14:dataValidation>
        <x14:dataValidation type="list" allowBlank="1" showInputMessage="1" showErrorMessage="1" xr:uid="{00000000-0002-0000-0000-00001E000000}">
          <x14:formula1>
            <xm:f>VAR_1!$BX$3:$BX$7</xm:f>
          </x14:formula1>
          <xm:sqref>E191</xm:sqref>
        </x14:dataValidation>
        <x14:dataValidation type="list" allowBlank="1" showInputMessage="1" showErrorMessage="1" xr:uid="{00000000-0002-0000-0000-00001F000000}">
          <x14:formula1>
            <xm:f>VAR_1!$CA$3:$CA$5</xm:f>
          </x14:formula1>
          <xm:sqref>G191</xm:sqref>
        </x14:dataValidation>
        <x14:dataValidation type="list" allowBlank="1" showInputMessage="1" showErrorMessage="1" xr:uid="{00000000-0002-0000-0000-000020000000}">
          <x14:formula1>
            <xm:f>VAR_1!$Z$6:$Z$8</xm:f>
          </x14:formula1>
          <xm:sqref>C15</xm:sqref>
        </x14:dataValidation>
        <x14:dataValidation type="list" allowBlank="1" showInputMessage="1" showErrorMessage="1" xr:uid="{00000000-0002-0000-0000-000021000000}">
          <x14:formula1>
            <xm:f>VAR_1!$CB$3:$CB$9</xm:f>
          </x14:formula1>
          <xm:sqref>C192:D192 F192:G192</xm:sqref>
        </x14:dataValidation>
        <x14:dataValidation type="list" allowBlank="1" showInputMessage="1" showErrorMessage="1" xr:uid="{00000000-0002-0000-0000-000022000000}">
          <x14:formula1>
            <xm:f>VAR_1!$AD$7:$AD$9</xm:f>
          </x14:formula1>
          <xm:sqref>C24</xm:sqref>
        </x14:dataValidation>
        <x14:dataValidation type="list" allowBlank="1" showInputMessage="1" showErrorMessage="1" xr:uid="{00000000-0002-0000-0000-000023000000}">
          <x14:formula1>
            <xm:f>VAR_1!$CD$3:$CD$8</xm:f>
          </x14:formula1>
          <xm:sqref>I2:J2 I8:J11 I99:J102 I13:J16 I18:J18 I20:J22 I24:J25 I27:J28 I30:J31 I34:J34 I36:J36 I38:J38 I40:J40 I42:J46 I124:J136 I4:J4 I6:J6 I112:J112 I115:J115 I117:J118 I120:J120 I139:J140 I142:J142 I144:J146 I152:J152 I154:J156 I159:J159 I161:J161 I163:J168 I178:J181 I189:J195 I55:J78</xm:sqref>
        </x14:dataValidation>
        <x14:dataValidation type="list" allowBlank="1" showInputMessage="1" showErrorMessage="1" xr:uid="{00000000-0002-0000-0000-000024000000}">
          <x14:formula1>
            <xm:f>'Check_Doc(db)'!$B$38:$B$83</xm:f>
          </x14:formula1>
          <xm:sqref>H2 H4 H6 H13:H16 H18 H20:H22 H24:H25 H27:H28 H30:H31 H8:H11</xm:sqref>
        </x14:dataValidation>
        <x14:dataValidation type="list" allowBlank="1" showInputMessage="1" showErrorMessage="1" xr:uid="{00000000-0002-0000-0000-000025000000}">
          <x14:formula1>
            <xm:f>'Check_Doc(db)'!$B$3:$B$12</xm:f>
          </x14:formula1>
          <xm:sqref>H34 H36 H38 H40 H42:H46 H55:H78</xm:sqref>
        </x14:dataValidation>
        <x14:dataValidation type="list" allowBlank="1" showInputMessage="1" showErrorMessage="1" xr:uid="{00000000-0002-0000-0000-000026000000}">
          <x14:formula1>
            <xm:f>'Check_Doc(db)'!$B$97:$B$114</xm:f>
          </x14:formula1>
          <xm:sqref>H112 H99:H102</xm:sqref>
        </x14:dataValidation>
        <x14:dataValidation type="list" allowBlank="1" showInputMessage="1" showErrorMessage="1" xr:uid="{00000000-0002-0000-0000-000027000000}">
          <x14:formula1>
            <xm:f>'Check_Doc(db)'!$B$13:$B$17</xm:f>
          </x14:formula1>
          <xm:sqref>H115 H117:H118 H120 H122</xm:sqref>
        </x14:dataValidation>
        <x14:dataValidation type="list" allowBlank="1" showInputMessage="1" showErrorMessage="1" xr:uid="{00000000-0002-0000-0000-000028000000}">
          <x14:formula1>
            <xm:f>'Check_Doc(db)'!$B$18:$B$37</xm:f>
          </x14:formula1>
          <xm:sqref>H139:H140 H142 H144:H146 H152 H154:H156</xm:sqref>
        </x14:dataValidation>
        <x14:dataValidation type="list" allowBlank="1" showInputMessage="1" showErrorMessage="1" xr:uid="{00000000-0002-0000-0000-000029000000}">
          <x14:formula1>
            <xm:f>'Check_Doc(db)'!$B$38:$B$45</xm:f>
          </x14:formula1>
          <xm:sqref>H159 H161 H163:H168</xm:sqref>
        </x14:dataValidation>
        <x14:dataValidation type="list" allowBlank="1" showInputMessage="1" showErrorMessage="1" xr:uid="{00000000-0002-0000-0000-00002A000000}">
          <x14:formula1>
            <xm:f>'Check_Doc(db)'!$B$45:$B$46</xm:f>
          </x14:formula1>
          <xm:sqref>H178 H180</xm:sqref>
        </x14:dataValidation>
        <x14:dataValidation type="list" allowBlank="1" showInputMessage="1" showErrorMessage="1" xr:uid="{00000000-0002-0000-0000-00002B000000}">
          <x14:formula1>
            <xm:f>'Check_Doc(db)'!$B$54:$B$61</xm:f>
          </x14:formula1>
          <xm:sqref>H189:H195</xm:sqref>
        </x14:dataValidation>
        <x14:dataValidation type="list" allowBlank="1" showInputMessage="1" showErrorMessage="1" xr:uid="{00000000-0002-0000-0000-00002C000000}">
          <x14:formula1>
            <xm:f>'Check_Doc(db)'!$B$38:$B$39</xm:f>
          </x14:formula1>
          <xm:sqref>H179 H181</xm:sqref>
        </x14:dataValidation>
        <x14:dataValidation type="list" allowBlank="1" showInputMessage="1" showErrorMessage="1" xr:uid="{00000000-0002-0000-0000-00002D000000}">
          <x14:formula1>
            <xm:f>'Check_Doc(db)'!$B$84:$B$96</xm:f>
          </x14:formula1>
          <xm:sqref>H124:H136</xm:sqref>
        </x14:dataValidation>
        <x14:dataValidation type="list" allowBlank="1" showInputMessage="1" showErrorMessage="1" xr:uid="{00000000-0002-0000-0000-00002F000000}">
          <x14:formula1>
            <xm:f>VAR_1!$BA$3:$BA$11</xm:f>
          </x14:formula1>
          <xm:sqref>C118</xm:sqref>
        </x14:dataValidation>
        <x14:dataValidation type="list" allowBlank="1" showInputMessage="1" showErrorMessage="1" xr:uid="{00000000-0002-0000-0000-000030000000}">
          <x14:formula1>
            <xm:f>VAR_1!$CH$3:$CH$4</xm:f>
          </x14:formula1>
          <xm:sqref>G203 D208 D203:D204 G210</xm:sqref>
        </x14:dataValidation>
        <x14:dataValidation type="list" allowBlank="1" showInputMessage="1" showErrorMessage="1" xr:uid="{00000000-0002-0000-0000-000031000000}">
          <x14:formula1>
            <xm:f>VAR_1!$CJ$3:$CJ$6</xm:f>
          </x14:formula1>
          <xm:sqref>D209 F209</xm:sqref>
        </x14:dataValidation>
        <x14:dataValidation type="list" allowBlank="1" showInputMessage="1" showErrorMessage="1" xr:uid="{00000000-0002-0000-0000-000032000000}">
          <x14:formula1>
            <xm:f>VAR_1!$CL$3:$CL$5</xm:f>
          </x14:formula1>
          <xm:sqref>C211:C212</xm:sqref>
        </x14:dataValidation>
        <x14:dataValidation type="list" allowBlank="1" showInputMessage="1" showErrorMessage="1" xr:uid="{00000000-0002-0000-0000-000033000000}">
          <x14:formula1>
            <xm:f>VAR_1!$CN$3:$CN$5</xm:f>
          </x14:formula1>
          <xm:sqref>C213</xm:sqref>
        </x14:dataValidation>
        <x14:dataValidation type="list" allowBlank="1" showInputMessage="1" showErrorMessage="1" xr:uid="{00000000-0002-0000-0000-000034000000}">
          <x14:formula1>
            <xm:f>VAR_1!$CP$3:$CP$6</xm:f>
          </x14:formula1>
          <xm:sqref>C214</xm:sqref>
        </x14:dataValidation>
        <x14:dataValidation type="list" allowBlank="1" showInputMessage="1" showErrorMessage="1" xr:uid="{00000000-0002-0000-0000-000035000000}">
          <x14:formula1>
            <xm:f>VAR_1!$CQ$3:$CQ$6</xm:f>
          </x14:formula1>
          <xm:sqref>C215</xm:sqref>
        </x14:dataValidation>
        <x14:dataValidation type="list" allowBlank="1" showInputMessage="1" showErrorMessage="1" xr:uid="{845873C8-BACA-4582-B759-664A0C1C03FE}">
          <x14:formula1>
            <xm:f>VAR_1!$CS$3:$CS$7</xm:f>
          </x14:formula1>
          <xm:sqref>C18</xm:sqref>
        </x14:dataValidation>
        <x14:dataValidation type="list" allowBlank="1" showInputMessage="1" showErrorMessage="1" xr:uid="{00000000-0002-0000-0000-000012000000}">
          <x14:formula1>
            <xm:f>VAR_1!$AP$14:$AP$16</xm:f>
          </x14:formula1>
          <xm:sqref>C100</xm:sqref>
        </x14:dataValidation>
        <x14:dataValidation type="list" allowBlank="1" showInputMessage="1" showErrorMessage="1" xr:uid="{A3F4C560-757E-4A15-8DA7-838ADC105DE7}">
          <x14:formula1>
            <xm:f>VAR_1!$CY$3:$CY$6</xm:f>
          </x14:formula1>
          <xm:sqref>C75</xm:sqref>
        </x14:dataValidation>
        <x14:dataValidation type="list" allowBlank="1" showInputMessage="1" showErrorMessage="1" xr:uid="{00000000-0002-0000-0000-000008000000}">
          <x14:formula1>
            <xm:f>VAR_1!$AN$3:$AN$19</xm:f>
          </x14:formula1>
          <xm:sqref>C13:G13</xm:sqref>
        </x14:dataValidation>
        <x14:dataValidation type="list" allowBlank="1" showInputMessage="1" showErrorMessage="1" xr:uid="{20A0A029-17FC-42EE-9222-F50126B1D6B9}">
          <x14:formula1>
            <xm:f>VAR_1!$DC$3:$DC$5</xm:f>
          </x14:formula1>
          <xm:sqref>C29</xm:sqref>
        </x14:dataValidation>
        <x14:dataValidation type="list" allowBlank="1" showInputMessage="1" showErrorMessage="1" xr:uid="{0B315281-A2C4-4658-AD5C-A12973BD2771}">
          <x14:formula1>
            <xm:f>VAR_1!$Q$21:$Q$23</xm:f>
          </x14:formula1>
          <xm:sqref>D65:G65</xm:sqref>
        </x14:dataValidation>
        <x14:dataValidation type="list" allowBlank="1" showInputMessage="1" showErrorMessage="1" promptTitle="Valorizzare cella" prompt="Per richieste a valere su nuova normativa EDR inseire data evento come da Portale FdG, altrimenti inserire data inadempimento per richieste a valere su disciplina previgente" xr:uid="{00000000-0002-0000-0000-00002E000000}">
          <x14:formula1>
            <xm:f>VAR_1!$AP$14:$AP$16</xm:f>
          </x14:formula1>
          <xm:sqref>C100</xm:sqref>
        </x14:dataValidation>
        <x14:dataValidation type="list" allowBlank="1" showInputMessage="1" showErrorMessage="1" xr:uid="{06819883-5D91-4E1D-AE30-DE94A9D3455D}">
          <x14:formula1>
            <xm:f>VAR_1!$AP$3:$AP$12</xm:f>
          </x14:formula1>
          <xm:sqref>C99</xm:sqref>
        </x14:dataValidation>
        <x14:dataValidation type="list" allowBlank="1" showInputMessage="1" showErrorMessage="1" xr:uid="{63E93F41-004C-4798-B723-8C7D4A10BD51}">
          <x14:formula1>
            <xm:f>VAR_1!$DE$2:$DE$10</xm:f>
          </x14:formula1>
          <xm:sqref>C90:E90</xm:sqref>
        </x14:dataValidation>
        <x14:dataValidation type="list" allowBlank="1" showInputMessage="1" showErrorMessage="1" xr:uid="{24EEFB15-CE56-42B4-A8EE-F4B75D407B8F}">
          <x14:formula1>
            <xm:f>VAR_1!$DA$3:$DA$6</xm:f>
          </x14:formula1>
          <xm:sqref>C81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7"/>
  <dimension ref="A1:C157"/>
  <sheetViews>
    <sheetView workbookViewId="0">
      <selection activeCell="A156" sqref="A156"/>
    </sheetView>
  </sheetViews>
  <sheetFormatPr defaultRowHeight="15" x14ac:dyDescent="0.25"/>
  <cols>
    <col min="1" max="1" width="69.28515625" style="203" customWidth="1"/>
    <col min="2" max="3" width="14.7109375" style="203" customWidth="1"/>
  </cols>
  <sheetData>
    <row r="1" spans="1:3" x14ac:dyDescent="0.25">
      <c r="A1" s="204" t="str">
        <f>IF('CHECK_2.9'!H1="","",'CHECK_2.9'!H1)</f>
        <v>Op. n° 1437613 - cantelmi 19-11-25 Check Documentale: Descrizione breve</v>
      </c>
      <c r="B1" s="204" t="str">
        <f>IF('CHECK_2.9'!I1="","",'CHECK_2.9'!I1)</f>
        <v>Check 1</v>
      </c>
      <c r="C1" s="204" t="str">
        <f>IF('CHECK_2.9'!J1="","",'CHECK_2.9'!J1)</f>
        <v>Check 2</v>
      </c>
    </row>
    <row r="2" spans="1:3" x14ac:dyDescent="0.25">
      <c r="A2" s="205" t="str">
        <f>IF('CHECK_2.9'!H2="","",'CHECK_2.9'!H2)</f>
        <v/>
      </c>
      <c r="B2" s="205" t="str">
        <f>IF('CHECK_2.9'!I2="","",'CHECK_2.9'!I2)</f>
        <v/>
      </c>
      <c r="C2" s="205" t="str">
        <f>IF('CHECK_2.9'!J2="","",'CHECK_2.9'!J2)</f>
        <v/>
      </c>
    </row>
    <row r="3" spans="1:3" x14ac:dyDescent="0.25">
      <c r="A3" s="205" t="str">
        <f>IF('CHECK_2.9'!H3="","",'CHECK_2.9'!H3)</f>
        <v/>
      </c>
      <c r="B3" s="205" t="str">
        <f>IF('CHECK_2.9'!I3="","",'CHECK_2.9'!I3)</f>
        <v/>
      </c>
      <c r="C3" s="205" t="str">
        <f>IF('CHECK_2.9'!J3="","",'CHECK_2.9'!J3)</f>
        <v/>
      </c>
    </row>
    <row r="4" spans="1:3" x14ac:dyDescent="0.25">
      <c r="A4" s="205" t="str">
        <f>IF('CHECK_2.9'!H4="","",'CHECK_2.9'!H4)</f>
        <v/>
      </c>
      <c r="B4" s="205" t="str">
        <f>IF('CHECK_2.9'!I4="","",'CHECK_2.9'!I4)</f>
        <v/>
      </c>
      <c r="C4" s="205" t="str">
        <f>IF('CHECK_2.9'!J4="","",'CHECK_2.9'!J4)</f>
        <v/>
      </c>
    </row>
    <row r="5" spans="1:3" x14ac:dyDescent="0.25">
      <c r="A5" s="205" t="str">
        <f>IF('CHECK_2.9'!H5="","",'CHECK_2.9'!H5)</f>
        <v/>
      </c>
      <c r="B5" s="205" t="str">
        <f>IF('CHECK_2.9'!I5="","",'CHECK_2.9'!I5)</f>
        <v/>
      </c>
      <c r="C5" s="205" t="str">
        <f>IF('CHECK_2.9'!J5="","",'CHECK_2.9'!J5)</f>
        <v/>
      </c>
    </row>
    <row r="6" spans="1:3" x14ac:dyDescent="0.25">
      <c r="A6" s="205" t="str">
        <f>IF('CHECK_2.9'!H6="","",'CHECK_2.9'!H6)</f>
        <v/>
      </c>
      <c r="B6" s="205" t="str">
        <f>IF('CHECK_2.9'!I6="","",'CHECK_2.9'!I6)</f>
        <v/>
      </c>
      <c r="C6" s="205" t="str">
        <f>IF('CHECK_2.9'!J6="","",'CHECK_2.9'!J6)</f>
        <v/>
      </c>
    </row>
    <row r="7" spans="1:3" x14ac:dyDescent="0.25">
      <c r="A7" s="205" t="str">
        <f>IF('CHECK_2.9'!H7="","",'CHECK_2.9'!H7)</f>
        <v/>
      </c>
      <c r="B7" s="205" t="str">
        <f>IF('CHECK_2.9'!I7="","",'CHECK_2.9'!I7)</f>
        <v/>
      </c>
      <c r="C7" s="205" t="str">
        <f>IF('CHECK_2.9'!J7="","",'CHECK_2.9'!J7)</f>
        <v/>
      </c>
    </row>
    <row r="8" spans="1:3" x14ac:dyDescent="0.25">
      <c r="A8" s="205" t="str">
        <f>IF('CHECK_2.9'!H8="","",'CHECK_2.9'!H8)</f>
        <v/>
      </c>
      <c r="B8" s="205" t="str">
        <f>IF('CHECK_2.9'!I8="","",'CHECK_2.9'!I8)</f>
        <v/>
      </c>
      <c r="C8" s="205" t="str">
        <f>IF('CHECK_2.9'!J8="","",'CHECK_2.9'!J8)</f>
        <v/>
      </c>
    </row>
    <row r="9" spans="1:3" x14ac:dyDescent="0.25">
      <c r="A9" s="205" t="str">
        <f>IF('CHECK_2.9'!H9="","",'CHECK_2.9'!H9)</f>
        <v/>
      </c>
      <c r="B9" s="205" t="str">
        <f>IF('CHECK_2.9'!I9="","",'CHECK_2.9'!I9)</f>
        <v/>
      </c>
      <c r="C9" s="205" t="str">
        <f>IF('CHECK_2.9'!J9="","",'CHECK_2.9'!J9)</f>
        <v/>
      </c>
    </row>
    <row r="10" spans="1:3" x14ac:dyDescent="0.25">
      <c r="A10" s="205" t="str">
        <f>IF('CHECK_2.9'!H10="","",'CHECK_2.9'!H10)</f>
        <v/>
      </c>
      <c r="B10" s="205" t="str">
        <f>IF('CHECK_2.9'!I10="","",'CHECK_2.9'!I10)</f>
        <v/>
      </c>
      <c r="C10" s="205" t="str">
        <f>IF('CHECK_2.9'!J10="","",'CHECK_2.9'!J10)</f>
        <v/>
      </c>
    </row>
    <row r="11" spans="1:3" x14ac:dyDescent="0.25">
      <c r="A11" s="205" t="str">
        <f>IF('CHECK_2.9'!H11="","",'CHECK_2.9'!H11)</f>
        <v/>
      </c>
      <c r="B11" s="205" t="str">
        <f>IF('CHECK_2.9'!I11="","",'CHECK_2.9'!I11)</f>
        <v/>
      </c>
      <c r="C11" s="205" t="str">
        <f>IF('CHECK_2.9'!J11="","",'CHECK_2.9'!J11)</f>
        <v/>
      </c>
    </row>
    <row r="12" spans="1:3" x14ac:dyDescent="0.25">
      <c r="A12" s="205" t="str">
        <f>IF('CHECK_2.9'!H12="","",'CHECK_2.9'!H12)</f>
        <v/>
      </c>
      <c r="B12" s="205" t="str">
        <f>IF('CHECK_2.9'!I12="","",'CHECK_2.9'!I12)</f>
        <v/>
      </c>
      <c r="C12" s="205" t="str">
        <f>IF('CHECK_2.9'!J12="","",'CHECK_2.9'!J12)</f>
        <v/>
      </c>
    </row>
    <row r="13" spans="1:3" x14ac:dyDescent="0.25">
      <c r="A13" s="205" t="str">
        <f>IF('CHECK_2.9'!H13="","",'CHECK_2.9'!H13)</f>
        <v/>
      </c>
      <c r="B13" s="205" t="str">
        <f>IF('CHECK_2.9'!I13="","",'CHECK_2.9'!I13)</f>
        <v/>
      </c>
      <c r="C13" s="205" t="str">
        <f>IF('CHECK_2.9'!J13="","",'CHECK_2.9'!J13)</f>
        <v/>
      </c>
    </row>
    <row r="14" spans="1:3" x14ac:dyDescent="0.25">
      <c r="A14" s="205" t="str">
        <f>IF('CHECK_2.9'!H14="","",'CHECK_2.9'!H14)</f>
        <v/>
      </c>
      <c r="B14" s="205" t="str">
        <f>IF('CHECK_2.9'!I14="","",'CHECK_2.9'!I14)</f>
        <v/>
      </c>
      <c r="C14" s="205" t="str">
        <f>IF('CHECK_2.9'!J14="","",'CHECK_2.9'!J14)</f>
        <v/>
      </c>
    </row>
    <row r="15" spans="1:3" x14ac:dyDescent="0.25">
      <c r="A15" s="205" t="str">
        <f>IF('CHECK_2.9'!H15="","",'CHECK_2.9'!H15)</f>
        <v/>
      </c>
      <c r="B15" s="205" t="str">
        <f>IF('CHECK_2.9'!I15="","",'CHECK_2.9'!I15)</f>
        <v/>
      </c>
      <c r="C15" s="205" t="str">
        <f>IF('CHECK_2.9'!J15="","",'CHECK_2.9'!J15)</f>
        <v/>
      </c>
    </row>
    <row r="16" spans="1:3" x14ac:dyDescent="0.25">
      <c r="A16" s="205" t="str">
        <f>IF('CHECK_2.9'!H16="","",'CHECK_2.9'!H16)</f>
        <v/>
      </c>
      <c r="B16" s="205" t="str">
        <f>IF('CHECK_2.9'!I16="","",'CHECK_2.9'!I16)</f>
        <v/>
      </c>
      <c r="C16" s="205" t="str">
        <f>IF('CHECK_2.9'!J16="","",'CHECK_2.9'!J16)</f>
        <v/>
      </c>
    </row>
    <row r="17" spans="1:3" x14ac:dyDescent="0.25">
      <c r="A17" s="205" t="str">
        <f>IF('CHECK_2.9'!H17="","",'CHECK_2.9'!H17)</f>
        <v/>
      </c>
      <c r="B17" s="205" t="str">
        <f>IF('CHECK_2.9'!I17="","",'CHECK_2.9'!I17)</f>
        <v/>
      </c>
      <c r="C17" s="205" t="str">
        <f>IF('CHECK_2.9'!J17="","",'CHECK_2.9'!J17)</f>
        <v/>
      </c>
    </row>
    <row r="18" spans="1:3" x14ac:dyDescent="0.25">
      <c r="A18" s="205" t="str">
        <f>IF('CHECK_2.9'!H18="","",'CHECK_2.9'!H18)</f>
        <v/>
      </c>
      <c r="B18" s="205" t="str">
        <f>IF('CHECK_2.9'!I18="","",'CHECK_2.9'!I18)</f>
        <v/>
      </c>
      <c r="C18" s="205" t="str">
        <f>IF('CHECK_2.9'!J18="","",'CHECK_2.9'!J18)</f>
        <v/>
      </c>
    </row>
    <row r="19" spans="1:3" x14ac:dyDescent="0.25">
      <c r="A19" s="205" t="str">
        <f>IF('CHECK_2.9'!H19="","",'CHECK_2.9'!H19)</f>
        <v/>
      </c>
      <c r="B19" s="205" t="str">
        <f>IF('CHECK_2.9'!I19="","",'CHECK_2.9'!I19)</f>
        <v/>
      </c>
      <c r="C19" s="205" t="str">
        <f>IF('CHECK_2.9'!J19="","",'CHECK_2.9'!J19)</f>
        <v/>
      </c>
    </row>
    <row r="20" spans="1:3" x14ac:dyDescent="0.25">
      <c r="A20" s="205" t="str">
        <f>IF('CHECK_2.9'!H20="","",'CHECK_2.9'!H20)</f>
        <v/>
      </c>
      <c r="B20" s="205" t="str">
        <f>IF('CHECK_2.9'!I20="","",'CHECK_2.9'!I20)</f>
        <v/>
      </c>
      <c r="C20" s="205" t="str">
        <f>IF('CHECK_2.9'!J20="","",'CHECK_2.9'!J20)</f>
        <v/>
      </c>
    </row>
    <row r="21" spans="1:3" x14ac:dyDescent="0.25">
      <c r="A21" s="205" t="str">
        <f>IF('CHECK_2.9'!H21="","",'CHECK_2.9'!H21)</f>
        <v/>
      </c>
      <c r="B21" s="205" t="str">
        <f>IF('CHECK_2.9'!I21="","",'CHECK_2.9'!I21)</f>
        <v/>
      </c>
      <c r="C21" s="205" t="str">
        <f>IF('CHECK_2.9'!J21="","",'CHECK_2.9'!J21)</f>
        <v/>
      </c>
    </row>
    <row r="22" spans="1:3" x14ac:dyDescent="0.25">
      <c r="A22" s="205" t="str">
        <f>IF('CHECK_2.9'!H22="","",'CHECK_2.9'!H22)</f>
        <v/>
      </c>
      <c r="B22" s="205" t="str">
        <f>IF('CHECK_2.9'!I22="","",'CHECK_2.9'!I22)</f>
        <v/>
      </c>
      <c r="C22" s="205" t="str">
        <f>IF('CHECK_2.9'!J22="","",'CHECK_2.9'!J22)</f>
        <v/>
      </c>
    </row>
    <row r="23" spans="1:3" x14ac:dyDescent="0.25">
      <c r="A23" s="205" t="str">
        <f>IF('CHECK_2.9'!H23="","",'CHECK_2.9'!H23)</f>
        <v/>
      </c>
      <c r="B23" s="205" t="str">
        <f>IF('CHECK_2.9'!I23="","",'CHECK_2.9'!I23)</f>
        <v/>
      </c>
      <c r="C23" s="205" t="str">
        <f>IF('CHECK_2.9'!J23="","",'CHECK_2.9'!J23)</f>
        <v/>
      </c>
    </row>
    <row r="24" spans="1:3" x14ac:dyDescent="0.25">
      <c r="A24" s="205" t="str">
        <f>IF('CHECK_2.9'!H24="","",'CHECK_2.9'!H24)</f>
        <v/>
      </c>
      <c r="B24" s="205" t="str">
        <f>IF('CHECK_2.9'!I24="","",'CHECK_2.9'!I24)</f>
        <v/>
      </c>
      <c r="C24" s="205" t="str">
        <f>IF('CHECK_2.9'!J24="","",'CHECK_2.9'!J24)</f>
        <v/>
      </c>
    </row>
    <row r="25" spans="1:3" x14ac:dyDescent="0.25">
      <c r="A25" s="205" t="str">
        <f>IF('CHECK_2.9'!H25="","",'CHECK_2.9'!H25)</f>
        <v/>
      </c>
      <c r="B25" s="205" t="str">
        <f>IF('CHECK_2.9'!I25="","",'CHECK_2.9'!I25)</f>
        <v/>
      </c>
      <c r="C25" s="205" t="str">
        <f>IF('CHECK_2.9'!J25="","",'CHECK_2.9'!J25)</f>
        <v/>
      </c>
    </row>
    <row r="26" spans="1:3" x14ac:dyDescent="0.25">
      <c r="A26" s="205" t="str">
        <f>IF('CHECK_2.9'!H26="","",'CHECK_2.9'!H26)</f>
        <v/>
      </c>
      <c r="B26" s="205" t="str">
        <f>IF('CHECK_2.9'!I26="","",'CHECK_2.9'!I26)</f>
        <v/>
      </c>
      <c r="C26" s="205" t="str">
        <f>IF('CHECK_2.9'!J26="","",'CHECK_2.9'!J26)</f>
        <v/>
      </c>
    </row>
    <row r="27" spans="1:3" x14ac:dyDescent="0.25">
      <c r="A27" s="205" t="str">
        <f>IF('CHECK_2.9'!H27="","",'CHECK_2.9'!H27)</f>
        <v/>
      </c>
      <c r="B27" s="205" t="str">
        <f>IF('CHECK_2.9'!I27="","",'CHECK_2.9'!I27)</f>
        <v/>
      </c>
      <c r="C27" s="205" t="str">
        <f>IF('CHECK_2.9'!J27="","",'CHECK_2.9'!J27)</f>
        <v/>
      </c>
    </row>
    <row r="28" spans="1:3" x14ac:dyDescent="0.25">
      <c r="A28" s="205" t="str">
        <f>IF('CHECK_2.9'!H28="","",'CHECK_2.9'!H28)</f>
        <v/>
      </c>
      <c r="B28" s="205" t="str">
        <f>IF('CHECK_2.9'!I28="","",'CHECK_2.9'!I28)</f>
        <v/>
      </c>
      <c r="C28" s="205" t="str">
        <f>IF('CHECK_2.9'!J28="","",'CHECK_2.9'!J28)</f>
        <v/>
      </c>
    </row>
    <row r="29" spans="1:3" x14ac:dyDescent="0.25">
      <c r="A29" s="205" t="str">
        <f>IF('CHECK_2.9'!H29="","",'CHECK_2.9'!H29)</f>
        <v/>
      </c>
      <c r="B29" s="205" t="str">
        <f>IF('CHECK_2.9'!I29="","",'CHECK_2.9'!I29)</f>
        <v/>
      </c>
      <c r="C29" s="205" t="str">
        <f>IF('CHECK_2.9'!J29="","",'CHECK_2.9'!J29)</f>
        <v/>
      </c>
    </row>
    <row r="30" spans="1:3" x14ac:dyDescent="0.25">
      <c r="A30" s="205" t="str">
        <f>IF('CHECK_2.9'!H30="","",'CHECK_2.9'!H30)</f>
        <v/>
      </c>
      <c r="B30" s="205" t="str">
        <f>IF('CHECK_2.9'!I30="","",'CHECK_2.9'!I30)</f>
        <v/>
      </c>
      <c r="C30" s="205" t="str">
        <f>IF('CHECK_2.9'!J30="","",'CHECK_2.9'!J30)</f>
        <v/>
      </c>
    </row>
    <row r="31" spans="1:3" x14ac:dyDescent="0.25">
      <c r="A31" s="205" t="str">
        <f>IF('CHECK_2.9'!H31="","",'CHECK_2.9'!H31)</f>
        <v/>
      </c>
      <c r="B31" s="205" t="str">
        <f>IF('CHECK_2.9'!I31="","",'CHECK_2.9'!I31)</f>
        <v/>
      </c>
      <c r="C31" s="205" t="str">
        <f>IF('CHECK_2.9'!J31="","",'CHECK_2.9'!J31)</f>
        <v/>
      </c>
    </row>
    <row r="32" spans="1:3" x14ac:dyDescent="0.25">
      <c r="A32" s="205" t="str">
        <f>IF('CHECK_2.9'!H32="","",'CHECK_2.9'!H32)</f>
        <v/>
      </c>
      <c r="B32" s="205" t="str">
        <f>IF('CHECK_2.9'!I32="","",'CHECK_2.9'!I32)</f>
        <v/>
      </c>
      <c r="C32" s="205" t="str">
        <f>IF('CHECK_2.9'!J32="","",'CHECK_2.9'!J32)</f>
        <v/>
      </c>
    </row>
    <row r="33" spans="1:3" x14ac:dyDescent="0.25">
      <c r="A33" s="205" t="str">
        <f>IF('CHECK_2.9'!H33="","",'CHECK_2.9'!H33)</f>
        <v>Descrizione breve</v>
      </c>
      <c r="B33" s="205" t="str">
        <f>IF('CHECK_2.9'!I33="","",'CHECK_2.9'!I33)</f>
        <v>Check 1</v>
      </c>
      <c r="C33" s="205" t="str">
        <f>IF('CHECK_2.9'!J33="","",'CHECK_2.9'!J33)</f>
        <v>Check 2</v>
      </c>
    </row>
    <row r="34" spans="1:3" x14ac:dyDescent="0.25">
      <c r="A34" s="205" t="str">
        <f>IF('CHECK_2.9'!H34="","",'CHECK_2.9'!H34)</f>
        <v/>
      </c>
      <c r="B34" s="205" t="str">
        <f>IF('CHECK_2.9'!I34="","",'CHECK_2.9'!I34)</f>
        <v/>
      </c>
      <c r="C34" s="205" t="str">
        <f>IF('CHECK_2.9'!J34="","",'CHECK_2.9'!J34)</f>
        <v/>
      </c>
    </row>
    <row r="35" spans="1:3" x14ac:dyDescent="0.25">
      <c r="A35" s="205" t="str">
        <f>IF('CHECK_2.9'!H35="","",'CHECK_2.9'!H35)</f>
        <v/>
      </c>
      <c r="B35" s="205" t="str">
        <f>IF('CHECK_2.9'!I35="","",'CHECK_2.9'!I35)</f>
        <v/>
      </c>
      <c r="C35" s="205" t="str">
        <f>IF('CHECK_2.9'!J35="","",'CHECK_2.9'!J35)</f>
        <v/>
      </c>
    </row>
    <row r="36" spans="1:3" x14ac:dyDescent="0.25">
      <c r="A36" s="205" t="str">
        <f>IF('CHECK_2.9'!H36="","",'CHECK_2.9'!H36)</f>
        <v/>
      </c>
      <c r="B36" s="205" t="str">
        <f>IF('CHECK_2.9'!I36="","",'CHECK_2.9'!I36)</f>
        <v/>
      </c>
      <c r="C36" s="205" t="str">
        <f>IF('CHECK_2.9'!J36="","",'CHECK_2.9'!J36)</f>
        <v/>
      </c>
    </row>
    <row r="37" spans="1:3" x14ac:dyDescent="0.25">
      <c r="A37" s="205" t="str">
        <f>IF('CHECK_2.9'!H37="","",'CHECK_2.9'!H37)</f>
        <v/>
      </c>
      <c r="B37" s="205" t="str">
        <f>IF('CHECK_2.9'!I37="","",'CHECK_2.9'!I37)</f>
        <v/>
      </c>
      <c r="C37" s="205" t="str">
        <f>IF('CHECK_2.9'!J37="","",'CHECK_2.9'!J37)</f>
        <v/>
      </c>
    </row>
    <row r="38" spans="1:3" x14ac:dyDescent="0.25">
      <c r="A38" s="205" t="str">
        <f>IF('CHECK_2.9'!H38="","",'CHECK_2.9'!H38)</f>
        <v/>
      </c>
      <c r="B38" s="205" t="str">
        <f>IF('CHECK_2.9'!I38="","",'CHECK_2.9'!I38)</f>
        <v/>
      </c>
      <c r="C38" s="205" t="str">
        <f>IF('CHECK_2.9'!J38="","",'CHECK_2.9'!J38)</f>
        <v/>
      </c>
    </row>
    <row r="39" spans="1:3" x14ac:dyDescent="0.25">
      <c r="A39" s="205" t="str">
        <f>IF('CHECK_2.9'!H39="","",'CHECK_2.9'!H39)</f>
        <v/>
      </c>
      <c r="B39" s="205" t="str">
        <f>IF('CHECK_2.9'!I39="","",'CHECK_2.9'!I39)</f>
        <v/>
      </c>
      <c r="C39" s="205" t="str">
        <f>IF('CHECK_2.9'!J39="","",'CHECK_2.9'!J39)</f>
        <v/>
      </c>
    </row>
    <row r="40" spans="1:3" x14ac:dyDescent="0.25">
      <c r="A40" s="205" t="str">
        <f>IF('CHECK_2.9'!H40="","",'CHECK_2.9'!H40)</f>
        <v/>
      </c>
      <c r="B40" s="205" t="str">
        <f>IF('CHECK_2.9'!I40="","",'CHECK_2.9'!I40)</f>
        <v/>
      </c>
      <c r="C40" s="205" t="str">
        <f>IF('CHECK_2.9'!J40="","",'CHECK_2.9'!J40)</f>
        <v/>
      </c>
    </row>
    <row r="41" spans="1:3" x14ac:dyDescent="0.25">
      <c r="A41" s="205" t="str">
        <f>IF('CHECK_2.9'!H41="","",'CHECK_2.9'!H41)</f>
        <v/>
      </c>
      <c r="B41" s="205" t="str">
        <f>IF('CHECK_2.9'!I41="","",'CHECK_2.9'!I41)</f>
        <v/>
      </c>
      <c r="C41" s="205" t="str">
        <f>IF('CHECK_2.9'!J41="","",'CHECK_2.9'!J41)</f>
        <v/>
      </c>
    </row>
    <row r="42" spans="1:3" x14ac:dyDescent="0.25">
      <c r="A42" s="205" t="str">
        <f>IF('CHECK_2.9'!H42="","",'CHECK_2.9'!H42)</f>
        <v/>
      </c>
      <c r="B42" s="205" t="str">
        <f>IF('CHECK_2.9'!I42="","",'CHECK_2.9'!I42)</f>
        <v/>
      </c>
      <c r="C42" s="205" t="str">
        <f>IF('CHECK_2.9'!J42="","",'CHECK_2.9'!J42)</f>
        <v/>
      </c>
    </row>
    <row r="43" spans="1:3" x14ac:dyDescent="0.25">
      <c r="A43" s="205" t="str">
        <f>IF('CHECK_2.9'!H45="","",'CHECK_2.9'!H45)</f>
        <v/>
      </c>
      <c r="B43" s="205" t="str">
        <f>IF('CHECK_2.9'!I45="","",'CHECK_2.9'!I45)</f>
        <v/>
      </c>
      <c r="C43" s="205" t="str">
        <f>IF('CHECK_2.9'!J45="","",'CHECK_2.9'!J45)</f>
        <v/>
      </c>
    </row>
    <row r="44" spans="1:3" x14ac:dyDescent="0.25">
      <c r="A44" s="205" t="str">
        <f>IF('CHECK_2.9'!H47="","",'CHECK_2.9'!H47)</f>
        <v/>
      </c>
      <c r="B44" s="205" t="str">
        <f>IF('CHECK_2.9'!I47="","",'CHECK_2.9'!I47)</f>
        <v/>
      </c>
      <c r="C44" s="205" t="str">
        <f>IF('CHECK_2.9'!J47="","",'CHECK_2.9'!J47)</f>
        <v/>
      </c>
    </row>
    <row r="45" spans="1:3" x14ac:dyDescent="0.25">
      <c r="A45" s="205" t="str">
        <f>IF('CHECK_2.9'!H48="","",'CHECK_2.9'!H48)</f>
        <v/>
      </c>
      <c r="B45" s="205" t="str">
        <f>IF('CHECK_2.9'!I48="","",'CHECK_2.9'!I48)</f>
        <v/>
      </c>
      <c r="C45" s="205" t="str">
        <f>IF('CHECK_2.9'!J48="","",'CHECK_2.9'!J48)</f>
        <v/>
      </c>
    </row>
    <row r="46" spans="1:3" x14ac:dyDescent="0.25">
      <c r="A46" s="205" t="str">
        <f>IF('CHECK_2.9'!H49="","",'CHECK_2.9'!H49)</f>
        <v/>
      </c>
      <c r="B46" s="205" t="str">
        <f>IF('CHECK_2.9'!I49="","",'CHECK_2.9'!I49)</f>
        <v/>
      </c>
      <c r="C46" s="205" t="str">
        <f>IF('CHECK_2.9'!J49="","",'CHECK_2.9'!J49)</f>
        <v/>
      </c>
    </row>
    <row r="47" spans="1:3" x14ac:dyDescent="0.25">
      <c r="A47" s="205" t="str">
        <f>IF('CHECK_2.9'!H50="","",'CHECK_2.9'!H50)</f>
        <v/>
      </c>
      <c r="B47" s="205" t="str">
        <f>IF('CHECK_2.9'!I50="","",'CHECK_2.9'!I50)</f>
        <v/>
      </c>
      <c r="C47" s="205" t="str">
        <f>IF('CHECK_2.9'!J50="","",'CHECK_2.9'!J50)</f>
        <v/>
      </c>
    </row>
    <row r="48" spans="1:3" x14ac:dyDescent="0.25">
      <c r="A48" s="205" t="str">
        <f>IF('CHECK_2.9'!H51="","",'CHECK_2.9'!H51)</f>
        <v/>
      </c>
      <c r="B48" s="205" t="str">
        <f>IF('CHECK_2.9'!I51="","",'CHECK_2.9'!I51)</f>
        <v/>
      </c>
      <c r="C48" s="205" t="str">
        <f>IF('CHECK_2.9'!J51="","",'CHECK_2.9'!J51)</f>
        <v/>
      </c>
    </row>
    <row r="49" spans="1:3" x14ac:dyDescent="0.25">
      <c r="A49" s="205" t="str">
        <f>IF('CHECK_2.9'!H52="","",'CHECK_2.9'!H52)</f>
        <v/>
      </c>
      <c r="B49" s="205" t="str">
        <f>IF('CHECK_2.9'!I52="","",'CHECK_2.9'!I52)</f>
        <v/>
      </c>
      <c r="C49" s="205" t="str">
        <f>IF('CHECK_2.9'!J52="","",'CHECK_2.9'!J52)</f>
        <v/>
      </c>
    </row>
    <row r="50" spans="1:3" x14ac:dyDescent="0.25">
      <c r="A50" s="205" t="str">
        <f>IF('CHECK_2.9'!H53="","",'CHECK_2.9'!H53)</f>
        <v/>
      </c>
      <c r="B50" s="205" t="str">
        <f>IF('CHECK_2.9'!I53="","",'CHECK_2.9'!I53)</f>
        <v/>
      </c>
      <c r="C50" s="205" t="str">
        <f>IF('CHECK_2.9'!J53="","",'CHECK_2.9'!J53)</f>
        <v/>
      </c>
    </row>
    <row r="51" spans="1:3" x14ac:dyDescent="0.25">
      <c r="A51" s="205" t="str">
        <f>IF('CHECK_2.9'!H54="","",'CHECK_2.9'!H54)</f>
        <v>Descrizione breve</v>
      </c>
      <c r="B51" s="205" t="str">
        <f>IF('CHECK_2.9'!I54="","",'CHECK_2.9'!I54)</f>
        <v>Check 1</v>
      </c>
      <c r="C51" s="205" t="str">
        <f>IF('CHECK_2.9'!J54="","",'CHECK_2.9'!J54)</f>
        <v>Check 2</v>
      </c>
    </row>
    <row r="52" spans="1:3" x14ac:dyDescent="0.25">
      <c r="A52" s="205" t="str">
        <f>IF('CHECK_2.9'!H55="","",'CHECK_2.9'!H55)</f>
        <v/>
      </c>
      <c r="B52" s="205" t="str">
        <f>IF('CHECK_2.9'!I55="","",'CHECK_2.9'!I55)</f>
        <v/>
      </c>
      <c r="C52" s="205" t="str">
        <f>IF('CHECK_2.9'!J55="","",'CHECK_2.9'!J55)</f>
        <v/>
      </c>
    </row>
    <row r="53" spans="1:3" x14ac:dyDescent="0.25">
      <c r="A53" s="205" t="str">
        <f>IF('CHECK_2.9'!H56="","",'CHECK_2.9'!H56)</f>
        <v/>
      </c>
      <c r="B53" s="205" t="str">
        <f>IF('CHECK_2.9'!I56="","",'CHECK_2.9'!I56)</f>
        <v/>
      </c>
      <c r="C53" s="205" t="str">
        <f>IF('CHECK_2.9'!J56="","",'CHECK_2.9'!J56)</f>
        <v/>
      </c>
    </row>
    <row r="54" spans="1:3" x14ac:dyDescent="0.25">
      <c r="A54" s="205" t="str">
        <f>IF('CHECK_2.9'!H58="","",'CHECK_2.9'!H58)</f>
        <v/>
      </c>
      <c r="B54" s="205" t="str">
        <f>IF('CHECK_2.9'!I58="","",'CHECK_2.9'!I58)</f>
        <v/>
      </c>
      <c r="C54" s="205" t="str">
        <f>IF('CHECK_2.9'!J58="","",'CHECK_2.9'!J58)</f>
        <v/>
      </c>
    </row>
    <row r="55" spans="1:3" x14ac:dyDescent="0.25">
      <c r="A55" s="205" t="str">
        <f>IF('CHECK_2.9'!H59="","",'CHECK_2.9'!H59)</f>
        <v/>
      </c>
      <c r="B55" s="205" t="str">
        <f>IF('CHECK_2.9'!I59="","",'CHECK_2.9'!I59)</f>
        <v/>
      </c>
      <c r="C55" s="205" t="str">
        <f>IF('CHECK_2.9'!J59="","",'CHECK_2.9'!J59)</f>
        <v/>
      </c>
    </row>
    <row r="56" spans="1:3" x14ac:dyDescent="0.25">
      <c r="A56" s="205" t="str">
        <f>IF('CHECK_2.9'!H60="","",'CHECK_2.9'!H60)</f>
        <v/>
      </c>
      <c r="B56" s="205" t="str">
        <f>IF('CHECK_2.9'!I60="","",'CHECK_2.9'!I60)</f>
        <v/>
      </c>
      <c r="C56" s="205" t="str">
        <f>IF('CHECK_2.9'!J60="","",'CHECK_2.9'!J60)</f>
        <v/>
      </c>
    </row>
    <row r="57" spans="1:3" x14ac:dyDescent="0.25">
      <c r="A57" s="205" t="str">
        <f>IF('CHECK_2.9'!H62="","",'CHECK_2.9'!H62)</f>
        <v/>
      </c>
      <c r="B57" s="205" t="str">
        <f>IF('CHECK_2.9'!I62="","",'CHECK_2.9'!I62)</f>
        <v/>
      </c>
      <c r="C57" s="205" t="str">
        <f>IF('CHECK_2.9'!J62="","",'CHECK_2.9'!J62)</f>
        <v/>
      </c>
    </row>
    <row r="58" spans="1:3" x14ac:dyDescent="0.25">
      <c r="A58" s="205" t="e">
        <f>IF('CHECK_2.9'!#REF!="","",'CHECK_2.9'!#REF!)</f>
        <v>#REF!</v>
      </c>
      <c r="B58" s="205" t="e">
        <f>IF('CHECK_2.9'!#REF!="","",'CHECK_2.9'!#REF!)</f>
        <v>#REF!</v>
      </c>
      <c r="C58" s="205" t="e">
        <f>IF('CHECK_2.9'!#REF!="","",'CHECK_2.9'!#REF!)</f>
        <v>#REF!</v>
      </c>
    </row>
    <row r="59" spans="1:3" x14ac:dyDescent="0.25">
      <c r="A59" s="205" t="str">
        <f>IF('CHECK_2.9'!H98="","",'CHECK_2.9'!H98)</f>
        <v>Descrizione breve</v>
      </c>
      <c r="B59" s="205" t="str">
        <f>IF('CHECK_2.9'!I98="","",'CHECK_2.9'!I98)</f>
        <v>Check 1</v>
      </c>
      <c r="C59" s="205" t="str">
        <f>IF('CHECK_2.9'!J98="","",'CHECK_2.9'!J98)</f>
        <v>Check 2</v>
      </c>
    </row>
    <row r="60" spans="1:3" x14ac:dyDescent="0.25">
      <c r="A60" s="205" t="str">
        <f>IF('CHECK_2.9'!H99="","",'CHECK_2.9'!H99)</f>
        <v/>
      </c>
      <c r="B60" s="205" t="str">
        <f>IF('CHECK_2.9'!I99="","",'CHECK_2.9'!I99)</f>
        <v/>
      </c>
      <c r="C60" s="205" t="str">
        <f>IF('CHECK_2.9'!J99="","",'CHECK_2.9'!J99)</f>
        <v/>
      </c>
    </row>
    <row r="61" spans="1:3" x14ac:dyDescent="0.25">
      <c r="A61" s="205" t="str">
        <f>IF('CHECK_2.9'!H101="","",'CHECK_2.9'!H101)</f>
        <v/>
      </c>
      <c r="B61" s="205" t="str">
        <f>IF('CHECK_2.9'!I101="","",'CHECK_2.9'!I101)</f>
        <v/>
      </c>
      <c r="C61" s="205" t="str">
        <f>IF('CHECK_2.9'!J101="","",'CHECK_2.9'!J101)</f>
        <v/>
      </c>
    </row>
    <row r="62" spans="1:3" x14ac:dyDescent="0.25">
      <c r="A62" s="205" t="str">
        <f>IF('CHECK_2.9'!H102="","",'CHECK_2.9'!H102)</f>
        <v/>
      </c>
      <c r="B62" s="205" t="str">
        <f>IF('CHECK_2.9'!I102="","",'CHECK_2.9'!I102)</f>
        <v/>
      </c>
      <c r="C62" s="205" t="str">
        <f>IF('CHECK_2.9'!J102="","",'CHECK_2.9'!J102)</f>
        <v/>
      </c>
    </row>
    <row r="63" spans="1:3" x14ac:dyDescent="0.25">
      <c r="A63" s="205" t="str">
        <f>IF('CHECK_2.9'!H105="","",'CHECK_2.9'!H105)</f>
        <v/>
      </c>
      <c r="B63" s="205" t="str">
        <f>IF('CHECK_2.9'!I105="","",'CHECK_2.9'!I105)</f>
        <v/>
      </c>
      <c r="C63" s="205" t="str">
        <f>IF('CHECK_2.9'!J105="","",'CHECK_2.9'!J105)</f>
        <v/>
      </c>
    </row>
    <row r="64" spans="1:3" x14ac:dyDescent="0.25">
      <c r="A64" s="205" t="str">
        <f>IF('CHECK_2.9'!H106="","",'CHECK_2.9'!H106)</f>
        <v/>
      </c>
      <c r="B64" s="205" t="str">
        <f>IF('CHECK_2.9'!I106="","",'CHECK_2.9'!I106)</f>
        <v/>
      </c>
      <c r="C64" s="205" t="str">
        <f>IF('CHECK_2.9'!J106="","",'CHECK_2.9'!J106)</f>
        <v/>
      </c>
    </row>
    <row r="65" spans="1:3" x14ac:dyDescent="0.25">
      <c r="A65" s="205" t="str">
        <f>IF('CHECK_2.9'!H107="","",'CHECK_2.9'!H107)</f>
        <v/>
      </c>
      <c r="B65" s="205" t="str">
        <f>IF('CHECK_2.9'!I107="","",'CHECK_2.9'!I107)</f>
        <v/>
      </c>
      <c r="C65" s="205" t="str">
        <f>IF('CHECK_2.9'!J107="","",'CHECK_2.9'!J107)</f>
        <v/>
      </c>
    </row>
    <row r="66" spans="1:3" x14ac:dyDescent="0.25">
      <c r="A66" s="205" t="str">
        <f>IF('CHECK_2.9'!H108="","",'CHECK_2.9'!H108)</f>
        <v/>
      </c>
      <c r="B66" s="205" t="str">
        <f>IF('CHECK_2.9'!I108="","",'CHECK_2.9'!I108)</f>
        <v/>
      </c>
      <c r="C66" s="205" t="str">
        <f>IF('CHECK_2.9'!J108="","",'CHECK_2.9'!J108)</f>
        <v/>
      </c>
    </row>
    <row r="67" spans="1:3" x14ac:dyDescent="0.25">
      <c r="A67" s="205" t="str">
        <f>IF('CHECK_2.9'!H109="","",'CHECK_2.9'!H109)</f>
        <v/>
      </c>
      <c r="B67" s="205" t="str">
        <f>IF('CHECK_2.9'!I109="","",'CHECK_2.9'!I109)</f>
        <v/>
      </c>
      <c r="C67" s="205" t="str">
        <f>IF('CHECK_2.9'!J109="","",'CHECK_2.9'!J109)</f>
        <v/>
      </c>
    </row>
    <row r="68" spans="1:3" x14ac:dyDescent="0.25">
      <c r="A68" s="205" t="str">
        <f>IF('CHECK_2.9'!H110="","",'CHECK_2.9'!H110)</f>
        <v/>
      </c>
      <c r="B68" s="205" t="str">
        <f>IF('CHECK_2.9'!I110="","",'CHECK_2.9'!I110)</f>
        <v/>
      </c>
      <c r="C68" s="205" t="str">
        <f>IF('CHECK_2.9'!J110="","",'CHECK_2.9'!J110)</f>
        <v/>
      </c>
    </row>
    <row r="69" spans="1:3" x14ac:dyDescent="0.25">
      <c r="A69" s="205" t="str">
        <f>IF('CHECK_2.9'!H111="","",'CHECK_2.9'!H111)</f>
        <v/>
      </c>
      <c r="B69" s="205" t="str">
        <f>IF('CHECK_2.9'!I111="","",'CHECK_2.9'!I111)</f>
        <v/>
      </c>
      <c r="C69" s="205" t="str">
        <f>IF('CHECK_2.9'!J111="","",'CHECK_2.9'!J111)</f>
        <v/>
      </c>
    </row>
    <row r="70" spans="1:3" x14ac:dyDescent="0.25">
      <c r="A70" s="205" t="str">
        <f>IF('CHECK_2.9'!H112="","",'CHECK_2.9'!H112)</f>
        <v/>
      </c>
      <c r="B70" s="205" t="str">
        <f>IF('CHECK_2.9'!I112="","",'CHECK_2.9'!I112)</f>
        <v/>
      </c>
      <c r="C70" s="205" t="str">
        <f>IF('CHECK_2.9'!J112="","",'CHECK_2.9'!J112)</f>
        <v/>
      </c>
    </row>
    <row r="71" spans="1:3" x14ac:dyDescent="0.25">
      <c r="A71" s="205" t="str">
        <f>IF('CHECK_2.9'!H113="","",'CHECK_2.9'!H113)</f>
        <v/>
      </c>
      <c r="B71" s="205" t="str">
        <f>IF('CHECK_2.9'!I113="","",'CHECK_2.9'!I113)</f>
        <v/>
      </c>
      <c r="C71" s="205" t="str">
        <f>IF('CHECK_2.9'!J113="","",'CHECK_2.9'!J113)</f>
        <v/>
      </c>
    </row>
    <row r="72" spans="1:3" x14ac:dyDescent="0.25">
      <c r="A72" s="205" t="str">
        <f>IF('CHECK_2.9'!H114="","",'CHECK_2.9'!H114)</f>
        <v>Descrizione breve</v>
      </c>
      <c r="B72" s="205" t="str">
        <f>IF('CHECK_2.9'!I114="","",'CHECK_2.9'!I114)</f>
        <v>Check 1</v>
      </c>
      <c r="C72" s="205" t="str">
        <f>IF('CHECK_2.9'!J114="","",'CHECK_2.9'!J114)</f>
        <v>Check 2</v>
      </c>
    </row>
    <row r="73" spans="1:3" x14ac:dyDescent="0.25">
      <c r="A73" s="205" t="str">
        <f>IF('CHECK_2.9'!H115="","",'CHECK_2.9'!H115)</f>
        <v/>
      </c>
      <c r="B73" s="205" t="str">
        <f>IF('CHECK_2.9'!I115="","",'CHECK_2.9'!I115)</f>
        <v/>
      </c>
      <c r="C73" s="205" t="str">
        <f>IF('CHECK_2.9'!J115="","",'CHECK_2.9'!J115)</f>
        <v/>
      </c>
    </row>
    <row r="74" spans="1:3" x14ac:dyDescent="0.25">
      <c r="A74" s="205" t="str">
        <f>IF('CHECK_2.9'!H116="","",'CHECK_2.9'!H116)</f>
        <v/>
      </c>
      <c r="B74" s="205" t="str">
        <f>IF('CHECK_2.9'!I116="","",'CHECK_2.9'!I116)</f>
        <v/>
      </c>
      <c r="C74" s="205" t="str">
        <f>IF('CHECK_2.9'!J116="","",'CHECK_2.9'!J116)</f>
        <v/>
      </c>
    </row>
    <row r="75" spans="1:3" x14ac:dyDescent="0.25">
      <c r="A75" s="205" t="str">
        <f>IF('CHECK_2.9'!H117="","",'CHECK_2.9'!H117)</f>
        <v/>
      </c>
      <c r="B75" s="205" t="str">
        <f>IF('CHECK_2.9'!I117="","",'CHECK_2.9'!I117)</f>
        <v/>
      </c>
      <c r="C75" s="205" t="str">
        <f>IF('CHECK_2.9'!J117="","",'CHECK_2.9'!J117)</f>
        <v/>
      </c>
    </row>
    <row r="76" spans="1:3" x14ac:dyDescent="0.25">
      <c r="A76" s="205" t="str">
        <f>IF('CHECK_2.9'!H118="","",'CHECK_2.9'!H118)</f>
        <v/>
      </c>
      <c r="B76" s="205" t="str">
        <f>IF('CHECK_2.9'!I118="","",'CHECK_2.9'!I118)</f>
        <v/>
      </c>
      <c r="C76" s="205" t="str">
        <f>IF('CHECK_2.9'!J118="","",'CHECK_2.9'!J118)</f>
        <v/>
      </c>
    </row>
    <row r="77" spans="1:3" x14ac:dyDescent="0.25">
      <c r="A77" s="205" t="str">
        <f>IF('CHECK_2.9'!H119="","",'CHECK_2.9'!H119)</f>
        <v/>
      </c>
      <c r="B77" s="205" t="str">
        <f>IF('CHECK_2.9'!I119="","",'CHECK_2.9'!I119)</f>
        <v/>
      </c>
      <c r="C77" s="205" t="str">
        <f>IF('CHECK_2.9'!J119="","",'CHECK_2.9'!J119)</f>
        <v/>
      </c>
    </row>
    <row r="78" spans="1:3" x14ac:dyDescent="0.25">
      <c r="A78" s="205" t="str">
        <f>IF('CHECK_2.9'!H120="","",'CHECK_2.9'!H120)</f>
        <v/>
      </c>
      <c r="B78" s="205" t="str">
        <f>IF('CHECK_2.9'!I120="","",'CHECK_2.9'!I120)</f>
        <v/>
      </c>
      <c r="C78" s="205" t="str">
        <f>IF('CHECK_2.9'!J120="","",'CHECK_2.9'!J120)</f>
        <v/>
      </c>
    </row>
    <row r="79" spans="1:3" x14ac:dyDescent="0.25">
      <c r="A79" s="205" t="str">
        <f>IF('CHECK_2.9'!H121="","",'CHECK_2.9'!H121)</f>
        <v/>
      </c>
      <c r="B79" s="205" t="str">
        <f>IF('CHECK_2.9'!I121="","",'CHECK_2.9'!I121)</f>
        <v/>
      </c>
      <c r="C79" s="205" t="str">
        <f>IF('CHECK_2.9'!J121="","",'CHECK_2.9'!J121)</f>
        <v/>
      </c>
    </row>
    <row r="80" spans="1:3" x14ac:dyDescent="0.25">
      <c r="A80" s="205" t="str">
        <f>IF('CHECK_2.9'!H122="","",'CHECK_2.9'!H122)</f>
        <v/>
      </c>
      <c r="B80" s="205" t="str">
        <f>IF('CHECK_2.9'!I122="","",'CHECK_2.9'!I122)</f>
        <v/>
      </c>
      <c r="C80" s="205" t="str">
        <f>IF('CHECK_2.9'!J122="","",'CHECK_2.9'!J122)</f>
        <v/>
      </c>
    </row>
    <row r="81" spans="1:3" x14ac:dyDescent="0.25">
      <c r="A81" s="205" t="str">
        <f>IF('CHECK_2.9'!H123="","",'CHECK_2.9'!H123)</f>
        <v>Descrizione breve</v>
      </c>
      <c r="B81" s="205" t="str">
        <f>IF('CHECK_2.9'!I123="","",'CHECK_2.9'!I123)</f>
        <v>Check 1 - TRANSATTIVE</v>
      </c>
      <c r="C81" s="205" t="str">
        <f>IF('CHECK_2.9'!J123="","",'CHECK_2.9'!J123)</f>
        <v>Check 2 - TRANSATTIVE</v>
      </c>
    </row>
    <row r="82" spans="1:3" x14ac:dyDescent="0.25">
      <c r="A82" s="205" t="str">
        <f>IF('CHECK_2.9'!H124="","",'CHECK_2.9'!H124)</f>
        <v/>
      </c>
      <c r="B82" s="205" t="str">
        <f>IF('CHECK_2.9'!I124="","",'CHECK_2.9'!I124)</f>
        <v/>
      </c>
      <c r="C82" s="205" t="str">
        <f>IF('CHECK_2.9'!J124="","",'CHECK_2.9'!J124)</f>
        <v/>
      </c>
    </row>
    <row r="83" spans="1:3" x14ac:dyDescent="0.25">
      <c r="A83" s="205" t="str">
        <f>IF('CHECK_2.9'!H125="","",'CHECK_2.9'!H125)</f>
        <v/>
      </c>
      <c r="B83" s="205" t="str">
        <f>IF('CHECK_2.9'!I125="","",'CHECK_2.9'!I125)</f>
        <v/>
      </c>
      <c r="C83" s="205" t="str">
        <f>IF('CHECK_2.9'!J125="","",'CHECK_2.9'!J125)</f>
        <v/>
      </c>
    </row>
    <row r="84" spans="1:3" x14ac:dyDescent="0.25">
      <c r="A84" s="205" t="str">
        <f>IF('CHECK_2.9'!H127="","",'CHECK_2.9'!H127)</f>
        <v/>
      </c>
      <c r="B84" s="205" t="str">
        <f>IF('CHECK_2.9'!I127="","",'CHECK_2.9'!I127)</f>
        <v/>
      </c>
      <c r="C84" s="205" t="str">
        <f>IF('CHECK_2.9'!J127="","",'CHECK_2.9'!J127)</f>
        <v/>
      </c>
    </row>
    <row r="85" spans="1:3" x14ac:dyDescent="0.25">
      <c r="A85" s="205" t="str">
        <f>IF('CHECK_2.9'!H128="","",'CHECK_2.9'!H128)</f>
        <v/>
      </c>
      <c r="B85" s="205" t="str">
        <f>IF('CHECK_2.9'!I128="","",'CHECK_2.9'!I128)</f>
        <v/>
      </c>
      <c r="C85" s="205" t="str">
        <f>IF('CHECK_2.9'!J128="","",'CHECK_2.9'!J128)</f>
        <v/>
      </c>
    </row>
    <row r="86" spans="1:3" x14ac:dyDescent="0.25">
      <c r="A86" s="205" t="str">
        <f>IF('CHECK_2.9'!H129="","",'CHECK_2.9'!H129)</f>
        <v/>
      </c>
      <c r="B86" s="205" t="str">
        <f>IF('CHECK_2.9'!I129="","",'CHECK_2.9'!I129)</f>
        <v/>
      </c>
      <c r="C86" s="205" t="str">
        <f>IF('CHECK_2.9'!J129="","",'CHECK_2.9'!J129)</f>
        <v/>
      </c>
    </row>
    <row r="87" spans="1:3" x14ac:dyDescent="0.25">
      <c r="A87" s="205" t="str">
        <f>IF('CHECK_2.9'!H130="","",'CHECK_2.9'!H130)</f>
        <v/>
      </c>
      <c r="B87" s="205" t="str">
        <f>IF('CHECK_2.9'!I130="","",'CHECK_2.9'!I130)</f>
        <v/>
      </c>
      <c r="C87" s="205" t="str">
        <f>IF('CHECK_2.9'!J130="","",'CHECK_2.9'!J130)</f>
        <v/>
      </c>
    </row>
    <row r="88" spans="1:3" x14ac:dyDescent="0.25">
      <c r="A88" s="205" t="str">
        <f>IF('CHECK_2.9'!H131="","",'CHECK_2.9'!H131)</f>
        <v/>
      </c>
      <c r="B88" s="205" t="str">
        <f>IF('CHECK_2.9'!I131="","",'CHECK_2.9'!I131)</f>
        <v/>
      </c>
      <c r="C88" s="205" t="str">
        <f>IF('CHECK_2.9'!J131="","",'CHECK_2.9'!J131)</f>
        <v/>
      </c>
    </row>
    <row r="89" spans="1:3" x14ac:dyDescent="0.25">
      <c r="A89" s="205" t="str">
        <f>IF('CHECK_2.9'!H132="","",'CHECK_2.9'!H132)</f>
        <v/>
      </c>
      <c r="B89" s="205" t="str">
        <f>IF('CHECK_2.9'!I132="","",'CHECK_2.9'!I132)</f>
        <v/>
      </c>
      <c r="C89" s="205" t="str">
        <f>IF('CHECK_2.9'!J132="","",'CHECK_2.9'!J132)</f>
        <v/>
      </c>
    </row>
    <row r="90" spans="1:3" x14ac:dyDescent="0.25">
      <c r="A90" s="205" t="str">
        <f>IF('CHECK_2.9'!H133="","",'CHECK_2.9'!H133)</f>
        <v/>
      </c>
      <c r="B90" s="205" t="str">
        <f>IF('CHECK_2.9'!I133="","",'CHECK_2.9'!I133)</f>
        <v/>
      </c>
      <c r="C90" s="205" t="str">
        <f>IF('CHECK_2.9'!J133="","",'CHECK_2.9'!J133)</f>
        <v/>
      </c>
    </row>
    <row r="91" spans="1:3" x14ac:dyDescent="0.25">
      <c r="A91" s="205" t="str">
        <f>IF('CHECK_2.9'!H134="","",'CHECK_2.9'!H134)</f>
        <v/>
      </c>
      <c r="B91" s="205" t="str">
        <f>IF('CHECK_2.9'!I134="","",'CHECK_2.9'!I134)</f>
        <v/>
      </c>
      <c r="C91" s="205" t="str">
        <f>IF('CHECK_2.9'!J134="","",'CHECK_2.9'!J134)</f>
        <v/>
      </c>
    </row>
    <row r="92" spans="1:3" x14ac:dyDescent="0.25">
      <c r="A92" s="205" t="str">
        <f>IF('CHECK_2.9'!H136="","",'CHECK_2.9'!H136)</f>
        <v/>
      </c>
      <c r="B92" s="205" t="str">
        <f>IF('CHECK_2.9'!I136="","",'CHECK_2.9'!I136)</f>
        <v/>
      </c>
      <c r="C92" s="205" t="str">
        <f>IF('CHECK_2.9'!J136="","",'CHECK_2.9'!J136)</f>
        <v/>
      </c>
    </row>
    <row r="93" spans="1:3" x14ac:dyDescent="0.25">
      <c r="A93" s="205" t="str">
        <f>IF('CHECK_2.9'!H137="","",'CHECK_2.9'!H137)</f>
        <v/>
      </c>
      <c r="B93" s="205" t="str">
        <f>IF('CHECK_2.9'!I137="","",'CHECK_2.9'!I137)</f>
        <v/>
      </c>
      <c r="C93" s="205" t="str">
        <f>IF('CHECK_2.9'!J137="","",'CHECK_2.9'!J137)</f>
        <v/>
      </c>
    </row>
    <row r="94" spans="1:3" x14ac:dyDescent="0.25">
      <c r="A94" s="205" t="str">
        <f>IF('CHECK_2.9'!H138="","",'CHECK_2.9'!H138)</f>
        <v>Descrizione breve</v>
      </c>
      <c r="B94" s="205" t="str">
        <f>IF('CHECK_2.9'!I138="","",'CHECK_2.9'!I138)</f>
        <v>Check 1</v>
      </c>
      <c r="C94" s="205" t="str">
        <f>IF('CHECK_2.9'!J138="","",'CHECK_2.9'!J138)</f>
        <v>Check 2</v>
      </c>
    </row>
    <row r="95" spans="1:3" x14ac:dyDescent="0.25">
      <c r="A95" s="205" t="str">
        <f>IF('CHECK_2.9'!H139="","",'CHECK_2.9'!H139)</f>
        <v/>
      </c>
      <c r="B95" s="205" t="str">
        <f>IF('CHECK_2.9'!I139="","",'CHECK_2.9'!I139)</f>
        <v/>
      </c>
      <c r="C95" s="205" t="str">
        <f>IF('CHECK_2.9'!J139="","",'CHECK_2.9'!J139)</f>
        <v/>
      </c>
    </row>
    <row r="96" spans="1:3" x14ac:dyDescent="0.25">
      <c r="A96" s="205" t="str">
        <f>IF('CHECK_2.9'!H140="","",'CHECK_2.9'!H140)</f>
        <v/>
      </c>
      <c r="B96" s="205" t="str">
        <f>IF('CHECK_2.9'!I140="","",'CHECK_2.9'!I140)</f>
        <v/>
      </c>
      <c r="C96" s="205" t="str">
        <f>IF('CHECK_2.9'!J140="","",'CHECK_2.9'!J140)</f>
        <v/>
      </c>
    </row>
    <row r="97" spans="1:3" x14ac:dyDescent="0.25">
      <c r="A97" s="205" t="str">
        <f>IF('CHECK_2.9'!H141="","",'CHECK_2.9'!H141)</f>
        <v/>
      </c>
      <c r="B97" s="205" t="str">
        <f>IF('CHECK_2.9'!I141="","",'CHECK_2.9'!I141)</f>
        <v/>
      </c>
      <c r="C97" s="205" t="str">
        <f>IF('CHECK_2.9'!J141="","",'CHECK_2.9'!J141)</f>
        <v/>
      </c>
    </row>
    <row r="98" spans="1:3" x14ac:dyDescent="0.25">
      <c r="A98" s="205" t="str">
        <f>IF('CHECK_2.9'!H142="","",'CHECK_2.9'!H142)</f>
        <v/>
      </c>
      <c r="B98" s="205" t="str">
        <f>IF('CHECK_2.9'!I142="","",'CHECK_2.9'!I142)</f>
        <v/>
      </c>
      <c r="C98" s="205" t="str">
        <f>IF('CHECK_2.9'!J142="","",'CHECK_2.9'!J142)</f>
        <v/>
      </c>
    </row>
    <row r="99" spans="1:3" x14ac:dyDescent="0.25">
      <c r="A99" s="205" t="str">
        <f>IF('CHECK_2.9'!H143="","",'CHECK_2.9'!H143)</f>
        <v/>
      </c>
      <c r="B99" s="205" t="str">
        <f>IF('CHECK_2.9'!I143="","",'CHECK_2.9'!I143)</f>
        <v/>
      </c>
      <c r="C99" s="205" t="str">
        <f>IF('CHECK_2.9'!J143="","",'CHECK_2.9'!J143)</f>
        <v/>
      </c>
    </row>
    <row r="100" spans="1:3" x14ac:dyDescent="0.25">
      <c r="A100" s="205" t="str">
        <f>IF('CHECK_2.9'!H144="","",'CHECK_2.9'!H144)</f>
        <v/>
      </c>
      <c r="B100" s="205" t="str">
        <f>IF('CHECK_2.9'!I144="","",'CHECK_2.9'!I144)</f>
        <v/>
      </c>
      <c r="C100" s="205" t="str">
        <f>IF('CHECK_2.9'!J144="","",'CHECK_2.9'!J144)</f>
        <v/>
      </c>
    </row>
    <row r="101" spans="1:3" x14ac:dyDescent="0.25">
      <c r="A101" s="205" t="str">
        <f>IF('CHECK_2.9'!H145="","",'CHECK_2.9'!H145)</f>
        <v/>
      </c>
      <c r="B101" s="205" t="str">
        <f>IF('CHECK_2.9'!I145="","",'CHECK_2.9'!I145)</f>
        <v/>
      </c>
      <c r="C101" s="205" t="str">
        <f>IF('CHECK_2.9'!J145="","",'CHECK_2.9'!J145)</f>
        <v/>
      </c>
    </row>
    <row r="102" spans="1:3" x14ac:dyDescent="0.25">
      <c r="A102" s="205" t="str">
        <f>IF('CHECK_2.9'!H146="","",'CHECK_2.9'!H146)</f>
        <v/>
      </c>
      <c r="B102" s="205" t="str">
        <f>IF('CHECK_2.9'!I146="","",'CHECK_2.9'!I146)</f>
        <v/>
      </c>
      <c r="C102" s="205" t="str">
        <f>IF('CHECK_2.9'!J146="","",'CHECK_2.9'!J146)</f>
        <v/>
      </c>
    </row>
    <row r="103" spans="1:3" x14ac:dyDescent="0.25">
      <c r="A103" s="205" t="str">
        <f>IF('CHECK_2.9'!H147="","",'CHECK_2.9'!H147)</f>
        <v/>
      </c>
      <c r="B103" s="205" t="str">
        <f>IF('CHECK_2.9'!I147="","",'CHECK_2.9'!I147)</f>
        <v/>
      </c>
      <c r="C103" s="205" t="str">
        <f>IF('CHECK_2.9'!J147="","",'CHECK_2.9'!J147)</f>
        <v/>
      </c>
    </row>
    <row r="104" spans="1:3" x14ac:dyDescent="0.25">
      <c r="A104" s="205" t="str">
        <f>IF('CHECK_2.9'!H152="","",'CHECK_2.9'!H152)</f>
        <v/>
      </c>
      <c r="B104" s="205" t="str">
        <f>IF('CHECK_2.9'!I152="","",'CHECK_2.9'!I152)</f>
        <v/>
      </c>
      <c r="C104" s="205" t="str">
        <f>IF('CHECK_2.9'!J152="","",'CHECK_2.9'!J152)</f>
        <v/>
      </c>
    </row>
    <row r="105" spans="1:3" x14ac:dyDescent="0.25">
      <c r="A105" s="205" t="str">
        <f>IF('CHECK_2.9'!H153="","",'CHECK_2.9'!H153)</f>
        <v/>
      </c>
      <c r="B105" s="205" t="str">
        <f>IF('CHECK_2.9'!I153="","",'CHECK_2.9'!I153)</f>
        <v/>
      </c>
      <c r="C105" s="205" t="str">
        <f>IF('CHECK_2.9'!J153="","",'CHECK_2.9'!J153)</f>
        <v/>
      </c>
    </row>
    <row r="106" spans="1:3" x14ac:dyDescent="0.25">
      <c r="A106" s="205" t="str">
        <f>IF('CHECK_2.9'!H154="","",'CHECK_2.9'!H154)</f>
        <v/>
      </c>
      <c r="B106" s="205" t="str">
        <f>IF('CHECK_2.9'!I154="","",'CHECK_2.9'!I154)</f>
        <v/>
      </c>
      <c r="C106" s="205" t="str">
        <f>IF('CHECK_2.9'!J154="","",'CHECK_2.9'!J154)</f>
        <v/>
      </c>
    </row>
    <row r="107" spans="1:3" x14ac:dyDescent="0.25">
      <c r="A107" s="205" t="str">
        <f>IF('CHECK_2.9'!H155="","",'CHECK_2.9'!H155)</f>
        <v/>
      </c>
      <c r="B107" s="205" t="str">
        <f>IF('CHECK_2.9'!I155="","",'CHECK_2.9'!I155)</f>
        <v/>
      </c>
      <c r="C107" s="205" t="str">
        <f>IF('CHECK_2.9'!J155="","",'CHECK_2.9'!J155)</f>
        <v/>
      </c>
    </row>
    <row r="108" spans="1:3" x14ac:dyDescent="0.25">
      <c r="A108" s="205" t="str">
        <f>IF('CHECK_2.9'!H156="","",'CHECK_2.9'!H156)</f>
        <v/>
      </c>
      <c r="B108" s="205" t="str">
        <f>IF('CHECK_2.9'!I156="","",'CHECK_2.9'!I156)</f>
        <v/>
      </c>
      <c r="C108" s="205" t="str">
        <f>IF('CHECK_2.9'!J156="","",'CHECK_2.9'!J156)</f>
        <v/>
      </c>
    </row>
    <row r="109" spans="1:3" x14ac:dyDescent="0.25">
      <c r="A109" s="205" t="str">
        <f>IF('CHECK_2.9'!H157="","",'CHECK_2.9'!H157)</f>
        <v/>
      </c>
      <c r="B109" s="205" t="str">
        <f>IF('CHECK_2.9'!I157="","",'CHECK_2.9'!I157)</f>
        <v/>
      </c>
      <c r="C109" s="205" t="str">
        <f>IF('CHECK_2.9'!J157="","",'CHECK_2.9'!J157)</f>
        <v/>
      </c>
    </row>
    <row r="110" spans="1:3" x14ac:dyDescent="0.25">
      <c r="A110" s="205" t="str">
        <f>IF('CHECK_2.9'!H158="","",'CHECK_2.9'!H158)</f>
        <v>Descrizione breve</v>
      </c>
      <c r="B110" s="205" t="str">
        <f>IF('CHECK_2.9'!I158="","",'CHECK_2.9'!I158)</f>
        <v>Check 1</v>
      </c>
      <c r="C110" s="205" t="str">
        <f>IF('CHECK_2.9'!J158="","",'CHECK_2.9'!J158)</f>
        <v>Check 2</v>
      </c>
    </row>
    <row r="111" spans="1:3" x14ac:dyDescent="0.25">
      <c r="A111" s="205" t="str">
        <f>IF('CHECK_2.9'!H159="","",'CHECK_2.9'!H159)</f>
        <v/>
      </c>
      <c r="B111" s="205" t="str">
        <f>IF('CHECK_2.9'!I159="","",'CHECK_2.9'!I159)</f>
        <v/>
      </c>
      <c r="C111" s="205" t="str">
        <f>IF('CHECK_2.9'!J159="","",'CHECK_2.9'!J159)</f>
        <v/>
      </c>
    </row>
    <row r="112" spans="1:3" x14ac:dyDescent="0.25">
      <c r="A112" s="205" t="str">
        <f>IF('CHECK_2.9'!H160="","",'CHECK_2.9'!H160)</f>
        <v/>
      </c>
      <c r="B112" s="205" t="str">
        <f>IF('CHECK_2.9'!I160="","",'CHECK_2.9'!I160)</f>
        <v/>
      </c>
      <c r="C112" s="205" t="str">
        <f>IF('CHECK_2.9'!J160="","",'CHECK_2.9'!J160)</f>
        <v/>
      </c>
    </row>
    <row r="113" spans="1:3" x14ac:dyDescent="0.25">
      <c r="A113" s="205" t="str">
        <f>IF('CHECK_2.9'!H161="","",'CHECK_2.9'!H161)</f>
        <v/>
      </c>
      <c r="B113" s="205" t="str">
        <f>IF('CHECK_2.9'!I161="","",'CHECK_2.9'!I161)</f>
        <v/>
      </c>
      <c r="C113" s="205" t="str">
        <f>IF('CHECK_2.9'!J161="","",'CHECK_2.9'!J161)</f>
        <v/>
      </c>
    </row>
    <row r="114" spans="1:3" x14ac:dyDescent="0.25">
      <c r="A114" s="205" t="str">
        <f>IF('CHECK_2.9'!H162="","",'CHECK_2.9'!H162)</f>
        <v/>
      </c>
      <c r="B114" s="205" t="str">
        <f>IF('CHECK_2.9'!I162="","",'CHECK_2.9'!I162)</f>
        <v/>
      </c>
      <c r="C114" s="205" t="str">
        <f>IF('CHECK_2.9'!J162="","",'CHECK_2.9'!J162)</f>
        <v/>
      </c>
    </row>
    <row r="115" spans="1:3" x14ac:dyDescent="0.25">
      <c r="A115" s="205" t="str">
        <f>IF('CHECK_2.9'!H163="","",'CHECK_2.9'!H163)</f>
        <v/>
      </c>
      <c r="B115" s="205" t="str">
        <f>IF('CHECK_2.9'!I163="","",'CHECK_2.9'!I163)</f>
        <v/>
      </c>
      <c r="C115" s="205" t="str">
        <f>IF('CHECK_2.9'!J163="","",'CHECK_2.9'!J163)</f>
        <v/>
      </c>
    </row>
    <row r="116" spans="1:3" x14ac:dyDescent="0.25">
      <c r="A116" s="205" t="str">
        <f>IF('CHECK_2.9'!H164="","",'CHECK_2.9'!H164)</f>
        <v/>
      </c>
      <c r="B116" s="205" t="str">
        <f>IF('CHECK_2.9'!I164="","",'CHECK_2.9'!I164)</f>
        <v/>
      </c>
      <c r="C116" s="205" t="str">
        <f>IF('CHECK_2.9'!J164="","",'CHECK_2.9'!J164)</f>
        <v/>
      </c>
    </row>
    <row r="117" spans="1:3" x14ac:dyDescent="0.25">
      <c r="A117" s="205" t="str">
        <f>IF('CHECK_2.9'!H165="","",'CHECK_2.9'!H165)</f>
        <v/>
      </c>
      <c r="B117" s="205" t="str">
        <f>IF('CHECK_2.9'!I165="","",'CHECK_2.9'!I165)</f>
        <v/>
      </c>
      <c r="C117" s="205" t="str">
        <f>IF('CHECK_2.9'!J165="","",'CHECK_2.9'!J165)</f>
        <v/>
      </c>
    </row>
    <row r="118" spans="1:3" x14ac:dyDescent="0.25">
      <c r="A118" s="205" t="str">
        <f>IF('CHECK_2.9'!H166="","",'CHECK_2.9'!H166)</f>
        <v/>
      </c>
      <c r="B118" s="205" t="str">
        <f>IF('CHECK_2.9'!I166="","",'CHECK_2.9'!I166)</f>
        <v/>
      </c>
      <c r="C118" s="205" t="str">
        <f>IF('CHECK_2.9'!J166="","",'CHECK_2.9'!J166)</f>
        <v/>
      </c>
    </row>
    <row r="119" spans="1:3" x14ac:dyDescent="0.25">
      <c r="A119" s="205" t="str">
        <f>IF('CHECK_2.9'!H167="","",'CHECK_2.9'!H167)</f>
        <v/>
      </c>
      <c r="B119" s="205" t="str">
        <f>IF('CHECK_2.9'!I167="","",'CHECK_2.9'!I167)</f>
        <v/>
      </c>
      <c r="C119" s="205" t="str">
        <f>IF('CHECK_2.9'!J167="","",'CHECK_2.9'!J167)</f>
        <v/>
      </c>
    </row>
    <row r="120" spans="1:3" x14ac:dyDescent="0.25">
      <c r="A120" s="205" t="str">
        <f>IF('CHECK_2.9'!H168="","",'CHECK_2.9'!H168)</f>
        <v/>
      </c>
      <c r="B120" s="205" t="str">
        <f>IF('CHECK_2.9'!I168="","",'CHECK_2.9'!I168)</f>
        <v/>
      </c>
      <c r="C120" s="205" t="str">
        <f>IF('CHECK_2.9'!J168="","",'CHECK_2.9'!J168)</f>
        <v/>
      </c>
    </row>
    <row r="121" spans="1:3" x14ac:dyDescent="0.25">
      <c r="A121" s="205" t="str">
        <f>IF('CHECK_2.9'!H169="","",'CHECK_2.9'!H169)</f>
        <v/>
      </c>
      <c r="B121" s="205" t="str">
        <f>IF('CHECK_2.9'!I169="","",'CHECK_2.9'!I169)</f>
        <v/>
      </c>
      <c r="C121" s="205" t="str">
        <f>IF('CHECK_2.9'!J169="","",'CHECK_2.9'!J169)</f>
        <v/>
      </c>
    </row>
    <row r="122" spans="1:3" x14ac:dyDescent="0.25">
      <c r="A122" s="205" t="str">
        <f>IF('CHECK_2.9'!H170="","",'CHECK_2.9'!H170)</f>
        <v/>
      </c>
      <c r="B122" s="205" t="str">
        <f>IF('CHECK_2.9'!I170="","",'CHECK_2.9'!I170)</f>
        <v/>
      </c>
      <c r="C122" s="205" t="str">
        <f>IF('CHECK_2.9'!J170="","",'CHECK_2.9'!J170)</f>
        <v/>
      </c>
    </row>
    <row r="123" spans="1:3" x14ac:dyDescent="0.25">
      <c r="A123" s="205" t="str">
        <f>IF('CHECK_2.9'!H171="","",'CHECK_2.9'!H171)</f>
        <v/>
      </c>
      <c r="B123" s="205" t="str">
        <f>IF('CHECK_2.9'!I171="","",'CHECK_2.9'!I171)</f>
        <v/>
      </c>
      <c r="C123" s="205" t="str">
        <f>IF('CHECK_2.9'!J171="","",'CHECK_2.9'!J171)</f>
        <v/>
      </c>
    </row>
    <row r="124" spans="1:3" x14ac:dyDescent="0.25">
      <c r="A124" s="205" t="str">
        <f>IF('CHECK_2.9'!H172="","",'CHECK_2.9'!H172)</f>
        <v/>
      </c>
      <c r="B124" s="205" t="str">
        <f>IF('CHECK_2.9'!I172="","",'CHECK_2.9'!I172)</f>
        <v/>
      </c>
      <c r="C124" s="205" t="str">
        <f>IF('CHECK_2.9'!J172="","",'CHECK_2.9'!J172)</f>
        <v/>
      </c>
    </row>
    <row r="125" spans="1:3" x14ac:dyDescent="0.25">
      <c r="A125" s="205" t="str">
        <f>IF('CHECK_2.9'!H173="","",'CHECK_2.9'!H173)</f>
        <v/>
      </c>
      <c r="B125" s="205" t="str">
        <f>IF('CHECK_2.9'!I173="","",'CHECK_2.9'!I173)</f>
        <v/>
      </c>
      <c r="C125" s="205" t="str">
        <f>IF('CHECK_2.9'!J173="","",'CHECK_2.9'!J173)</f>
        <v/>
      </c>
    </row>
    <row r="126" spans="1:3" x14ac:dyDescent="0.25">
      <c r="A126" s="205" t="str">
        <f>IF('CHECK_2.9'!H175="","",'CHECK_2.9'!H175)</f>
        <v/>
      </c>
      <c r="B126" s="205" t="str">
        <f>IF('CHECK_2.9'!I175="","",'CHECK_2.9'!I175)</f>
        <v/>
      </c>
      <c r="C126" s="205" t="str">
        <f>IF('CHECK_2.9'!J175="","",'CHECK_2.9'!J175)</f>
        <v/>
      </c>
    </row>
    <row r="127" spans="1:3" x14ac:dyDescent="0.25">
      <c r="A127" s="205" t="str">
        <f>IF('CHECK_2.9'!H176="","",'CHECK_2.9'!H176)</f>
        <v/>
      </c>
      <c r="B127" s="205" t="str">
        <f>IF('CHECK_2.9'!I176="","",'CHECK_2.9'!I176)</f>
        <v/>
      </c>
      <c r="C127" s="205" t="str">
        <f>IF('CHECK_2.9'!J176="","",'CHECK_2.9'!J176)</f>
        <v/>
      </c>
    </row>
    <row r="128" spans="1:3" x14ac:dyDescent="0.25">
      <c r="A128" s="205" t="str">
        <f>IF('CHECK_2.9'!H177="","",'CHECK_2.9'!H177)</f>
        <v>Descrizione breve</v>
      </c>
      <c r="B128" s="205" t="str">
        <f>IF('CHECK_2.9'!I177="","",'CHECK_2.9'!I177)</f>
        <v>Check 1</v>
      </c>
      <c r="C128" s="205" t="str">
        <f>IF('CHECK_2.9'!J177="","",'CHECK_2.9'!J177)</f>
        <v>Check 2</v>
      </c>
    </row>
    <row r="129" spans="1:3" x14ac:dyDescent="0.25">
      <c r="A129" s="205" t="str">
        <f>IF('CHECK_2.9'!H178="","",'CHECK_2.9'!H178)</f>
        <v/>
      </c>
      <c r="B129" s="205" t="str">
        <f>IF('CHECK_2.9'!I178="","",'CHECK_2.9'!I178)</f>
        <v/>
      </c>
      <c r="C129" s="205" t="str">
        <f>IF('CHECK_2.9'!J178="","",'CHECK_2.9'!J178)</f>
        <v/>
      </c>
    </row>
    <row r="130" spans="1:3" x14ac:dyDescent="0.25">
      <c r="A130" s="205" t="str">
        <f>IF('CHECK_2.9'!H179="","",'CHECK_2.9'!H179)</f>
        <v/>
      </c>
      <c r="B130" s="205" t="str">
        <f>IF('CHECK_2.9'!I179="","",'CHECK_2.9'!I179)</f>
        <v/>
      </c>
      <c r="C130" s="205" t="str">
        <f>IF('CHECK_2.9'!J179="","",'CHECK_2.9'!J179)</f>
        <v/>
      </c>
    </row>
    <row r="131" spans="1:3" x14ac:dyDescent="0.25">
      <c r="A131" s="205" t="str">
        <f>IF('CHECK_2.9'!H180="","",'CHECK_2.9'!H180)</f>
        <v/>
      </c>
      <c r="B131" s="205" t="str">
        <f>IF('CHECK_2.9'!I180="","",'CHECK_2.9'!I180)</f>
        <v/>
      </c>
      <c r="C131" s="205" t="str">
        <f>IF('CHECK_2.9'!J180="","",'CHECK_2.9'!J180)</f>
        <v/>
      </c>
    </row>
    <row r="132" spans="1:3" x14ac:dyDescent="0.25">
      <c r="A132" s="205" t="str">
        <f>IF('CHECK_2.9'!H181="","",'CHECK_2.9'!H181)</f>
        <v/>
      </c>
      <c r="B132" s="205" t="str">
        <f>IF('CHECK_2.9'!I181="","",'CHECK_2.9'!I181)</f>
        <v/>
      </c>
      <c r="C132" s="205" t="str">
        <f>IF('CHECK_2.9'!J181="","",'CHECK_2.9'!J181)</f>
        <v/>
      </c>
    </row>
    <row r="133" spans="1:3" x14ac:dyDescent="0.25">
      <c r="A133" s="205" t="str">
        <f>IF('CHECK_2.9'!H182="","",'CHECK_2.9'!H182)</f>
        <v/>
      </c>
      <c r="B133" s="205" t="str">
        <f>IF('CHECK_2.9'!I182="","",'CHECK_2.9'!I182)</f>
        <v/>
      </c>
      <c r="C133" s="205" t="str">
        <f>IF('CHECK_2.9'!J182="","",'CHECK_2.9'!J182)</f>
        <v/>
      </c>
    </row>
    <row r="134" spans="1:3" x14ac:dyDescent="0.25">
      <c r="A134" s="205" t="str">
        <f>IF('CHECK_2.9'!H183="","",'CHECK_2.9'!H183)</f>
        <v/>
      </c>
      <c r="B134" s="205" t="str">
        <f>IF('CHECK_2.9'!I183="","",'CHECK_2.9'!I183)</f>
        <v/>
      </c>
      <c r="C134" s="205" t="str">
        <f>IF('CHECK_2.9'!J183="","",'CHECK_2.9'!J183)</f>
        <v/>
      </c>
    </row>
    <row r="135" spans="1:3" x14ac:dyDescent="0.25">
      <c r="A135" s="205" t="str">
        <f>IF('CHECK_2.9'!H184="","",'CHECK_2.9'!H184)</f>
        <v/>
      </c>
      <c r="B135" s="205" t="str">
        <f>IF('CHECK_2.9'!I184="","",'CHECK_2.9'!I184)</f>
        <v/>
      </c>
      <c r="C135" s="205" t="str">
        <f>IF('CHECK_2.9'!J184="","",'CHECK_2.9'!J184)</f>
        <v/>
      </c>
    </row>
    <row r="136" spans="1:3" x14ac:dyDescent="0.25">
      <c r="A136" s="205" t="str">
        <f>IF('CHECK_2.9'!H185="","",'CHECK_2.9'!H185)</f>
        <v/>
      </c>
      <c r="B136" s="205" t="str">
        <f>IF('CHECK_2.9'!I185="","",'CHECK_2.9'!I185)</f>
        <v/>
      </c>
      <c r="C136" s="205" t="str">
        <f>IF('CHECK_2.9'!J185="","",'CHECK_2.9'!J185)</f>
        <v/>
      </c>
    </row>
    <row r="137" spans="1:3" x14ac:dyDescent="0.25">
      <c r="A137" s="205" t="str">
        <f>IF('CHECK_2.9'!H186="","",'CHECK_2.9'!H186)</f>
        <v/>
      </c>
      <c r="B137" s="205" t="str">
        <f>IF('CHECK_2.9'!I186="","",'CHECK_2.9'!I186)</f>
        <v/>
      </c>
      <c r="C137" s="205" t="str">
        <f>IF('CHECK_2.9'!J186="","",'CHECK_2.9'!J186)</f>
        <v/>
      </c>
    </row>
    <row r="138" spans="1:3" x14ac:dyDescent="0.25">
      <c r="A138" s="205" t="str">
        <f>IF('CHECK_2.9'!H187="","",'CHECK_2.9'!H187)</f>
        <v/>
      </c>
      <c r="B138" s="205" t="str">
        <f>IF('CHECK_2.9'!I187="","",'CHECK_2.9'!I187)</f>
        <v/>
      </c>
      <c r="C138" s="205" t="str">
        <f>IF('CHECK_2.9'!J187="","",'CHECK_2.9'!J187)</f>
        <v/>
      </c>
    </row>
    <row r="139" spans="1:3" x14ac:dyDescent="0.25">
      <c r="A139" s="205" t="str">
        <f>IF('CHECK_2.9'!H188="","",'CHECK_2.9'!H188)</f>
        <v>Descrizione breve</v>
      </c>
      <c r="B139" s="205" t="str">
        <f>IF('CHECK_2.9'!I188="","",'CHECK_2.9'!I188)</f>
        <v>Check 1</v>
      </c>
      <c r="C139" s="205" t="str">
        <f>IF('CHECK_2.9'!J188="","",'CHECK_2.9'!J188)</f>
        <v>Check 2</v>
      </c>
    </row>
    <row r="140" spans="1:3" x14ac:dyDescent="0.25">
      <c r="A140" s="205" t="str">
        <f>IF('CHECK_2.9'!H189="","",'CHECK_2.9'!H189)</f>
        <v/>
      </c>
      <c r="B140" s="205" t="str">
        <f>IF('CHECK_2.9'!I189="","",'CHECK_2.9'!I189)</f>
        <v/>
      </c>
      <c r="C140" s="205" t="str">
        <f>IF('CHECK_2.9'!J189="","",'CHECK_2.9'!J189)</f>
        <v/>
      </c>
    </row>
    <row r="141" spans="1:3" x14ac:dyDescent="0.25">
      <c r="A141" s="205" t="str">
        <f>IF('CHECK_2.9'!H190="","",'CHECK_2.9'!H190)</f>
        <v/>
      </c>
      <c r="B141" s="205" t="str">
        <f>IF('CHECK_2.9'!I190="","",'CHECK_2.9'!I190)</f>
        <v/>
      </c>
      <c r="C141" s="205" t="str">
        <f>IF('CHECK_2.9'!J190="","",'CHECK_2.9'!J190)</f>
        <v/>
      </c>
    </row>
    <row r="142" spans="1:3" x14ac:dyDescent="0.25">
      <c r="A142" s="205" t="str">
        <f>IF('CHECK_2.9'!H191="","",'CHECK_2.9'!H191)</f>
        <v/>
      </c>
      <c r="B142" s="205" t="str">
        <f>IF('CHECK_2.9'!I191="","",'CHECK_2.9'!I191)</f>
        <v/>
      </c>
      <c r="C142" s="205" t="str">
        <f>IF('CHECK_2.9'!J191="","",'CHECK_2.9'!J191)</f>
        <v/>
      </c>
    </row>
    <row r="143" spans="1:3" x14ac:dyDescent="0.25">
      <c r="A143" s="205" t="str">
        <f>IF('CHECK_2.9'!H192="","",'CHECK_2.9'!H192)</f>
        <v/>
      </c>
      <c r="B143" s="205" t="str">
        <f>IF('CHECK_2.9'!I192="","",'CHECK_2.9'!I192)</f>
        <v/>
      </c>
      <c r="C143" s="205" t="str">
        <f>IF('CHECK_2.9'!J192="","",'CHECK_2.9'!J192)</f>
        <v/>
      </c>
    </row>
    <row r="144" spans="1:3" x14ac:dyDescent="0.25">
      <c r="A144" s="205" t="str">
        <f>IF('CHECK_2.9'!H193="","",'CHECK_2.9'!H193)</f>
        <v/>
      </c>
      <c r="B144" s="205" t="str">
        <f>IF('CHECK_2.9'!I193="","",'CHECK_2.9'!I193)</f>
        <v/>
      </c>
      <c r="C144" s="205" t="str">
        <f>IF('CHECK_2.9'!J193="","",'CHECK_2.9'!J193)</f>
        <v/>
      </c>
    </row>
    <row r="145" spans="1:3" x14ac:dyDescent="0.25">
      <c r="A145" s="205" t="str">
        <f>IF('CHECK_2.9'!H194="","",'CHECK_2.9'!H194)</f>
        <v/>
      </c>
      <c r="B145" s="205" t="str">
        <f>IF('CHECK_2.9'!I194="","",'CHECK_2.9'!I194)</f>
        <v/>
      </c>
      <c r="C145" s="205" t="str">
        <f>IF('CHECK_2.9'!J194="","",'CHECK_2.9'!J194)</f>
        <v/>
      </c>
    </row>
    <row r="146" spans="1:3" x14ac:dyDescent="0.25">
      <c r="A146" s="205" t="str">
        <f>IF('CHECK_2.9'!H195="","",'CHECK_2.9'!H195)</f>
        <v/>
      </c>
      <c r="B146" s="205" t="str">
        <f>IF('CHECK_2.9'!I195="","",'CHECK_2.9'!I195)</f>
        <v/>
      </c>
      <c r="C146" s="205" t="str">
        <f>IF('CHECK_2.9'!J195="","",'CHECK_2.9'!J195)</f>
        <v/>
      </c>
    </row>
    <row r="147" spans="1:3" x14ac:dyDescent="0.25">
      <c r="A147" s="205" t="str">
        <f>IF('CHECK_2.9'!H196="","",'CHECK_2.9'!H196)</f>
        <v/>
      </c>
      <c r="B147" s="205" t="str">
        <f>IF('CHECK_2.9'!I196="","",'CHECK_2.9'!I196)</f>
        <v/>
      </c>
      <c r="C147" s="205" t="str">
        <f>IF('CHECK_2.9'!J196="","",'CHECK_2.9'!J196)</f>
        <v/>
      </c>
    </row>
    <row r="148" spans="1:3" x14ac:dyDescent="0.25">
      <c r="A148" s="205" t="str">
        <f>IF('CHECK_2.9'!H198="","",'CHECK_2.9'!H198)</f>
        <v/>
      </c>
      <c r="B148" s="205" t="str">
        <f>IF('CHECK_2.9'!I198="","",'CHECK_2.9'!I198)</f>
        <v/>
      </c>
      <c r="C148" s="205" t="str">
        <f>IF('CHECK_2.9'!J198="","",'CHECK_2.9'!J198)</f>
        <v/>
      </c>
    </row>
    <row r="149" spans="1:3" x14ac:dyDescent="0.25">
      <c r="A149" s="205" t="str">
        <f>IF('CHECK_2.9'!H199="","",'CHECK_2.9'!H199)</f>
        <v/>
      </c>
      <c r="B149" s="205" t="str">
        <f>IF('CHECK_2.9'!I199="","",'CHECK_2.9'!I199)</f>
        <v/>
      </c>
      <c r="C149" s="205" t="str">
        <f>IF('CHECK_2.9'!J199="","",'CHECK_2.9'!J199)</f>
        <v/>
      </c>
    </row>
    <row r="150" spans="1:3" x14ac:dyDescent="0.25">
      <c r="A150" s="205" t="e">
        <f>IF('CHECK_2.9'!#REF!="","",'CHECK_2.9'!#REF!)</f>
        <v>#REF!</v>
      </c>
      <c r="B150" s="205" t="e">
        <f>IF('CHECK_2.9'!#REF!="","",'CHECK_2.9'!#REF!)</f>
        <v>#REF!</v>
      </c>
      <c r="C150" s="205" t="e">
        <f>IF('CHECK_2.9'!#REF!="","",'CHECK_2.9'!#REF!)</f>
        <v>#REF!</v>
      </c>
    </row>
    <row r="151" spans="1:3" x14ac:dyDescent="0.25">
      <c r="A151" s="205" t="str">
        <f>IF('CHECK_2.9'!H203="","",'CHECK_2.9'!H203)</f>
        <v/>
      </c>
      <c r="B151" s="205" t="str">
        <f>IF('CHECK_2.9'!I203="","",'CHECK_2.9'!I203)</f>
        <v/>
      </c>
      <c r="C151" s="205" t="str">
        <f>IF('CHECK_2.9'!J203="","",'CHECK_2.9'!J203)</f>
        <v/>
      </c>
    </row>
    <row r="152" spans="1:3" x14ac:dyDescent="0.25">
      <c r="A152" s="205" t="str">
        <f>IF('CHECK_2.9'!H204="","",'CHECK_2.9'!H204)</f>
        <v/>
      </c>
      <c r="B152" s="205" t="str">
        <f>IF('CHECK_2.9'!I204="","",'CHECK_2.9'!I204)</f>
        <v/>
      </c>
      <c r="C152" s="205" t="str">
        <f>IF('CHECK_2.9'!J204="","",'CHECK_2.9'!J204)</f>
        <v/>
      </c>
    </row>
    <row r="153" spans="1:3" x14ac:dyDescent="0.25">
      <c r="A153" s="205" t="str">
        <f>IF('CHECK_2.9'!H209="","",'CHECK_2.9'!H209)</f>
        <v/>
      </c>
      <c r="B153" s="205" t="str">
        <f>IF('CHECK_2.9'!I209="","",'CHECK_2.9'!I209)</f>
        <v/>
      </c>
      <c r="C153" s="205" t="str">
        <f>IF('CHECK_2.9'!J209="","",'CHECK_2.9'!J209)</f>
        <v/>
      </c>
    </row>
    <row r="154" spans="1:3" x14ac:dyDescent="0.25">
      <c r="A154" s="205" t="str">
        <f>IF('CHECK_2.9'!H210="","",'CHECK_2.9'!H210)</f>
        <v/>
      </c>
      <c r="B154" s="205" t="str">
        <f>IF('CHECK_2.9'!I210="","",'CHECK_2.9'!I210)</f>
        <v/>
      </c>
      <c r="C154" s="205" t="str">
        <f>IF('CHECK_2.9'!J210="","",'CHECK_2.9'!J210)</f>
        <v/>
      </c>
    </row>
    <row r="155" spans="1:3" x14ac:dyDescent="0.25">
      <c r="A155" s="205" t="str">
        <f>IF('CHECK_2.9'!H211="","",'CHECK_2.9'!H211)</f>
        <v/>
      </c>
      <c r="B155" s="205" t="str">
        <f>IF('CHECK_2.9'!I211="","",'CHECK_2.9'!I211)</f>
        <v/>
      </c>
      <c r="C155" s="205" t="str">
        <f>IF('CHECK_2.9'!J211="","",'CHECK_2.9'!J211)</f>
        <v/>
      </c>
    </row>
    <row r="156" spans="1:3" x14ac:dyDescent="0.25">
      <c r="A156" s="205" t="str">
        <f>IF('CHECK_2.9'!H213="","",'CHECK_2.9'!H213)</f>
        <v/>
      </c>
      <c r="B156" s="205" t="str">
        <f>IF('CHECK_2.9'!I213="","",'CHECK_2.9'!I213)</f>
        <v/>
      </c>
      <c r="C156" s="205" t="str">
        <f>IF('CHECK_2.9'!J213="","",'CHECK_2.9'!J213)</f>
        <v/>
      </c>
    </row>
    <row r="157" spans="1:3" x14ac:dyDescent="0.25">
      <c r="A157" s="205" t="str">
        <f>IF('CHECK_2.9'!H214="","",'CHECK_2.9'!H214)</f>
        <v/>
      </c>
      <c r="B157" s="205" t="str">
        <f>IF('CHECK_2.9'!I214="","",'CHECK_2.9'!I214)</f>
        <v/>
      </c>
      <c r="C157" s="205" t="str">
        <f>IF('CHECK_2.9'!J214="","",'CHECK_2.9'!J214)</f>
        <v/>
      </c>
    </row>
  </sheetData>
  <pageMargins left="0.23622047244094488" right="0.23622047244094488" top="0.19685039370078741" bottom="0.19685039370078741" header="0.31496062992125984" footer="0.31496062992125984"/>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2"/>
  <dimension ref="A1:D114"/>
  <sheetViews>
    <sheetView topLeftCell="A3" workbookViewId="0">
      <selection sqref="A1:XFD1048576"/>
    </sheetView>
  </sheetViews>
  <sheetFormatPr defaultColWidth="9.140625" defaultRowHeight="11.25" x14ac:dyDescent="0.2"/>
  <cols>
    <col min="1" max="1" width="21.7109375" style="151" customWidth="1"/>
    <col min="2" max="2" width="52.5703125" style="151" customWidth="1"/>
    <col min="3" max="4" width="12.42578125" style="151" bestFit="1" customWidth="1"/>
    <col min="5" max="16384" width="9.140625" style="151"/>
  </cols>
  <sheetData>
    <row r="1" spans="1:4" ht="12" thickBot="1" x14ac:dyDescent="0.25">
      <c r="A1" s="150" t="str">
        <f>CONCATENATE("OP. ",'CHECK_2.9'!C2)</f>
        <v>OP. 1437613</v>
      </c>
      <c r="B1" s="156" t="e">
        <f>+'CHECK_2.9'!#REF!</f>
        <v>#REF!</v>
      </c>
      <c r="C1" s="781" t="e">
        <f>+'CHECK_2.9'!#REF!</f>
        <v>#REF!</v>
      </c>
      <c r="D1" s="783"/>
    </row>
    <row r="2" spans="1:4" ht="12" thickBot="1" x14ac:dyDescent="0.25">
      <c r="A2" s="152" t="s">
        <v>2366</v>
      </c>
      <c r="B2" s="152" t="s">
        <v>2367</v>
      </c>
      <c r="C2" s="152" t="s">
        <v>2368</v>
      </c>
      <c r="D2" s="152" t="s">
        <v>2369</v>
      </c>
    </row>
    <row r="3" spans="1:4" x14ac:dyDescent="0.2">
      <c r="A3" s="153" t="s">
        <v>2370</v>
      </c>
      <c r="B3" s="153" t="s">
        <v>2371</v>
      </c>
      <c r="C3" s="157" t="s">
        <v>2344</v>
      </c>
      <c r="D3" s="157" t="s">
        <v>2344</v>
      </c>
    </row>
    <row r="4" spans="1:4" x14ac:dyDescent="0.2">
      <c r="A4" s="154" t="s">
        <v>2370</v>
      </c>
      <c r="B4" s="154" t="s">
        <v>2372</v>
      </c>
      <c r="C4" s="157" t="s">
        <v>2344</v>
      </c>
      <c r="D4" s="157" t="s">
        <v>2344</v>
      </c>
    </row>
    <row r="5" spans="1:4" x14ac:dyDescent="0.2">
      <c r="A5" s="154" t="s">
        <v>2370</v>
      </c>
      <c r="B5" s="154" t="s">
        <v>2373</v>
      </c>
      <c r="C5" s="157" t="s">
        <v>2344</v>
      </c>
      <c r="D5" s="157" t="s">
        <v>2344</v>
      </c>
    </row>
    <row r="6" spans="1:4" x14ac:dyDescent="0.2">
      <c r="A6" s="154" t="s">
        <v>2370</v>
      </c>
      <c r="B6" s="154" t="s">
        <v>2374</v>
      </c>
      <c r="C6" s="157" t="s">
        <v>2344</v>
      </c>
      <c r="D6" s="157" t="s">
        <v>2344</v>
      </c>
    </row>
    <row r="7" spans="1:4" x14ac:dyDescent="0.2">
      <c r="A7" s="154" t="s">
        <v>2370</v>
      </c>
      <c r="B7" s="154" t="s">
        <v>2375</v>
      </c>
      <c r="C7" s="157" t="s">
        <v>2344</v>
      </c>
      <c r="D7" s="157" t="s">
        <v>2344</v>
      </c>
    </row>
    <row r="8" spans="1:4" x14ac:dyDescent="0.2">
      <c r="A8" s="154" t="s">
        <v>2370</v>
      </c>
      <c r="B8" s="154" t="s">
        <v>2376</v>
      </c>
      <c r="C8" s="157" t="s">
        <v>2344</v>
      </c>
      <c r="D8" s="157" t="s">
        <v>2344</v>
      </c>
    </row>
    <row r="9" spans="1:4" x14ac:dyDescent="0.2">
      <c r="A9" s="154" t="s">
        <v>2370</v>
      </c>
      <c r="B9" s="154" t="s">
        <v>2377</v>
      </c>
      <c r="C9" s="157" t="s">
        <v>2344</v>
      </c>
      <c r="D9" s="157" t="s">
        <v>2344</v>
      </c>
    </row>
    <row r="10" spans="1:4" x14ac:dyDescent="0.2">
      <c r="A10" s="154" t="s">
        <v>2370</v>
      </c>
      <c r="B10" s="154" t="s">
        <v>2378</v>
      </c>
      <c r="C10" s="157" t="s">
        <v>2344</v>
      </c>
      <c r="D10" s="157" t="s">
        <v>2344</v>
      </c>
    </row>
    <row r="11" spans="1:4" x14ac:dyDescent="0.2">
      <c r="A11" s="154" t="s">
        <v>2370</v>
      </c>
      <c r="B11" s="154" t="s">
        <v>2379</v>
      </c>
      <c r="C11" s="157" t="s">
        <v>2344</v>
      </c>
      <c r="D11" s="157" t="s">
        <v>2344</v>
      </c>
    </row>
    <row r="12" spans="1:4" x14ac:dyDescent="0.2">
      <c r="A12" s="154" t="s">
        <v>2370</v>
      </c>
      <c r="B12" s="154" t="s">
        <v>2380</v>
      </c>
      <c r="C12" s="157" t="s">
        <v>2344</v>
      </c>
      <c r="D12" s="157" t="s">
        <v>2344</v>
      </c>
    </row>
    <row r="13" spans="1:4" ht="22.5" x14ac:dyDescent="0.2">
      <c r="A13" s="154" t="s">
        <v>2381</v>
      </c>
      <c r="B13" s="154" t="s">
        <v>2382</v>
      </c>
      <c r="C13" s="157" t="s">
        <v>2344</v>
      </c>
      <c r="D13" s="157" t="s">
        <v>2344</v>
      </c>
    </row>
    <row r="14" spans="1:4" ht="22.5" x14ac:dyDescent="0.2">
      <c r="A14" s="154" t="s">
        <v>2381</v>
      </c>
      <c r="B14" s="154" t="s">
        <v>2383</v>
      </c>
      <c r="C14" s="157" t="s">
        <v>2344</v>
      </c>
      <c r="D14" s="157" t="s">
        <v>2344</v>
      </c>
    </row>
    <row r="15" spans="1:4" ht="22.5" x14ac:dyDescent="0.2">
      <c r="A15" s="154" t="s">
        <v>2381</v>
      </c>
      <c r="B15" s="154" t="s">
        <v>2384</v>
      </c>
      <c r="C15" s="157" t="s">
        <v>2344</v>
      </c>
      <c r="D15" s="157" t="s">
        <v>2344</v>
      </c>
    </row>
    <row r="16" spans="1:4" ht="22.5" x14ac:dyDescent="0.2">
      <c r="A16" s="154" t="s">
        <v>2381</v>
      </c>
      <c r="B16" s="154" t="s">
        <v>2385</v>
      </c>
      <c r="C16" s="157" t="s">
        <v>2344</v>
      </c>
      <c r="D16" s="157" t="s">
        <v>2344</v>
      </c>
    </row>
    <row r="17" spans="1:4" ht="22.5" x14ac:dyDescent="0.2">
      <c r="A17" s="154" t="s">
        <v>2381</v>
      </c>
      <c r="B17" s="154" t="s">
        <v>2386</v>
      </c>
      <c r="C17" s="157" t="s">
        <v>2344</v>
      </c>
      <c r="D17" s="157" t="s">
        <v>2344</v>
      </c>
    </row>
    <row r="18" spans="1:4" x14ac:dyDescent="0.2">
      <c r="A18" s="154" t="s">
        <v>2387</v>
      </c>
      <c r="B18" s="154" t="s">
        <v>2388</v>
      </c>
      <c r="C18" s="157" t="s">
        <v>2344</v>
      </c>
      <c r="D18" s="157" t="s">
        <v>2344</v>
      </c>
    </row>
    <row r="19" spans="1:4" x14ac:dyDescent="0.2">
      <c r="A19" s="154" t="s">
        <v>2387</v>
      </c>
      <c r="B19" s="154" t="s">
        <v>2389</v>
      </c>
      <c r="C19" s="157" t="s">
        <v>2344</v>
      </c>
      <c r="D19" s="157" t="s">
        <v>2344</v>
      </c>
    </row>
    <row r="20" spans="1:4" x14ac:dyDescent="0.2">
      <c r="A20" s="154" t="s">
        <v>2387</v>
      </c>
      <c r="B20" s="154" t="s">
        <v>2390</v>
      </c>
      <c r="C20" s="157" t="s">
        <v>2344</v>
      </c>
      <c r="D20" s="157" t="s">
        <v>2344</v>
      </c>
    </row>
    <row r="21" spans="1:4" x14ac:dyDescent="0.2">
      <c r="A21" s="154" t="s">
        <v>2387</v>
      </c>
      <c r="B21" s="154" t="s">
        <v>2391</v>
      </c>
      <c r="C21" s="157" t="s">
        <v>2344</v>
      </c>
      <c r="D21" s="157" t="s">
        <v>2344</v>
      </c>
    </row>
    <row r="22" spans="1:4" x14ac:dyDescent="0.2">
      <c r="A22" s="154" t="s">
        <v>2387</v>
      </c>
      <c r="B22" s="154" t="s">
        <v>2392</v>
      </c>
      <c r="C22" s="157" t="s">
        <v>2344</v>
      </c>
      <c r="D22" s="157" t="s">
        <v>2344</v>
      </c>
    </row>
    <row r="23" spans="1:4" x14ac:dyDescent="0.2">
      <c r="A23" s="154" t="s">
        <v>2387</v>
      </c>
      <c r="B23" s="154" t="s">
        <v>2393</v>
      </c>
      <c r="C23" s="157" t="s">
        <v>2344</v>
      </c>
      <c r="D23" s="157" t="s">
        <v>2344</v>
      </c>
    </row>
    <row r="24" spans="1:4" x14ac:dyDescent="0.2">
      <c r="A24" s="154" t="s">
        <v>2387</v>
      </c>
      <c r="B24" s="154" t="s">
        <v>2394</v>
      </c>
      <c r="C24" s="157" t="s">
        <v>2344</v>
      </c>
      <c r="D24" s="157" t="s">
        <v>2344</v>
      </c>
    </row>
    <row r="25" spans="1:4" x14ac:dyDescent="0.2">
      <c r="A25" s="154" t="s">
        <v>2387</v>
      </c>
      <c r="B25" s="154" t="s">
        <v>2395</v>
      </c>
      <c r="C25" s="157" t="s">
        <v>2344</v>
      </c>
      <c r="D25" s="157" t="s">
        <v>2344</v>
      </c>
    </row>
    <row r="26" spans="1:4" x14ac:dyDescent="0.2">
      <c r="A26" s="154" t="s">
        <v>2387</v>
      </c>
      <c r="B26" s="154" t="s">
        <v>2396</v>
      </c>
      <c r="C26" s="157" t="s">
        <v>2344</v>
      </c>
      <c r="D26" s="157" t="s">
        <v>2344</v>
      </c>
    </row>
    <row r="27" spans="1:4" x14ac:dyDescent="0.2">
      <c r="A27" s="154" t="s">
        <v>2387</v>
      </c>
      <c r="B27" s="154" t="s">
        <v>2397</v>
      </c>
      <c r="C27" s="157" t="s">
        <v>2344</v>
      </c>
      <c r="D27" s="157" t="s">
        <v>2344</v>
      </c>
    </row>
    <row r="28" spans="1:4" x14ac:dyDescent="0.2">
      <c r="A28" s="154" t="s">
        <v>2387</v>
      </c>
      <c r="B28" s="154" t="s">
        <v>2398</v>
      </c>
      <c r="C28" s="157" t="s">
        <v>2344</v>
      </c>
      <c r="D28" s="157" t="s">
        <v>2344</v>
      </c>
    </row>
    <row r="29" spans="1:4" ht="22.5" x14ac:dyDescent="0.2">
      <c r="A29" s="154" t="s">
        <v>2387</v>
      </c>
      <c r="B29" s="154" t="s">
        <v>2399</v>
      </c>
      <c r="C29" s="157" t="s">
        <v>2344</v>
      </c>
      <c r="D29" s="157" t="s">
        <v>2344</v>
      </c>
    </row>
    <row r="30" spans="1:4" x14ac:dyDescent="0.2">
      <c r="A30" s="154" t="s">
        <v>2387</v>
      </c>
      <c r="B30" s="154" t="s">
        <v>2400</v>
      </c>
      <c r="C30" s="157" t="s">
        <v>2344</v>
      </c>
      <c r="D30" s="157" t="s">
        <v>2344</v>
      </c>
    </row>
    <row r="31" spans="1:4" x14ac:dyDescent="0.2">
      <c r="A31" s="154" t="s">
        <v>2387</v>
      </c>
      <c r="B31" s="154" t="s">
        <v>2401</v>
      </c>
      <c r="C31" s="157" t="s">
        <v>2344</v>
      </c>
      <c r="D31" s="157" t="s">
        <v>2344</v>
      </c>
    </row>
    <row r="32" spans="1:4" x14ac:dyDescent="0.2">
      <c r="A32" s="154" t="s">
        <v>2387</v>
      </c>
      <c r="B32" s="154" t="s">
        <v>2402</v>
      </c>
      <c r="C32" s="157" t="s">
        <v>2344</v>
      </c>
      <c r="D32" s="157" t="s">
        <v>2344</v>
      </c>
    </row>
    <row r="33" spans="1:4" x14ac:dyDescent="0.2">
      <c r="A33" s="154" t="s">
        <v>2387</v>
      </c>
      <c r="B33" s="154" t="s">
        <v>2403</v>
      </c>
      <c r="C33" s="157" t="s">
        <v>2344</v>
      </c>
      <c r="D33" s="157" t="s">
        <v>2344</v>
      </c>
    </row>
    <row r="34" spans="1:4" x14ac:dyDescent="0.2">
      <c r="A34" s="154" t="s">
        <v>2387</v>
      </c>
      <c r="B34" s="154" t="s">
        <v>2404</v>
      </c>
      <c r="C34" s="157" t="s">
        <v>2344</v>
      </c>
      <c r="D34" s="157" t="s">
        <v>2344</v>
      </c>
    </row>
    <row r="35" spans="1:4" x14ac:dyDescent="0.2">
      <c r="A35" s="154" t="s">
        <v>2387</v>
      </c>
      <c r="B35" s="154" t="s">
        <v>2405</v>
      </c>
      <c r="C35" s="157" t="s">
        <v>2344</v>
      </c>
      <c r="D35" s="157" t="s">
        <v>2344</v>
      </c>
    </row>
    <row r="36" spans="1:4" x14ac:dyDescent="0.2">
      <c r="A36" s="154" t="s">
        <v>2387</v>
      </c>
      <c r="B36" s="154" t="s">
        <v>2406</v>
      </c>
      <c r="C36" s="157" t="s">
        <v>2344</v>
      </c>
      <c r="D36" s="157" t="s">
        <v>2344</v>
      </c>
    </row>
    <row r="37" spans="1:4" x14ac:dyDescent="0.2">
      <c r="A37" s="154" t="s">
        <v>2387</v>
      </c>
      <c r="B37" s="154" t="s">
        <v>2407</v>
      </c>
      <c r="C37" s="157" t="s">
        <v>2344</v>
      </c>
      <c r="D37" s="157" t="s">
        <v>2344</v>
      </c>
    </row>
    <row r="38" spans="1:4" x14ac:dyDescent="0.2">
      <c r="A38" s="154" t="s">
        <v>2408</v>
      </c>
      <c r="B38" s="154" t="s">
        <v>2409</v>
      </c>
      <c r="C38" s="157" t="s">
        <v>2344</v>
      </c>
      <c r="D38" s="157" t="s">
        <v>2344</v>
      </c>
    </row>
    <row r="39" spans="1:4" x14ac:dyDescent="0.2">
      <c r="A39" s="154" t="s">
        <v>2408</v>
      </c>
      <c r="B39" s="154" t="s">
        <v>2410</v>
      </c>
      <c r="C39" s="157" t="s">
        <v>2344</v>
      </c>
      <c r="D39" s="157" t="s">
        <v>2344</v>
      </c>
    </row>
    <row r="40" spans="1:4" x14ac:dyDescent="0.2">
      <c r="A40" s="154" t="s">
        <v>2408</v>
      </c>
      <c r="B40" s="154" t="s">
        <v>2411</v>
      </c>
      <c r="C40" s="157" t="s">
        <v>2344</v>
      </c>
      <c r="D40" s="157" t="s">
        <v>2344</v>
      </c>
    </row>
    <row r="41" spans="1:4" ht="22.5" x14ac:dyDescent="0.2">
      <c r="A41" s="154" t="s">
        <v>2408</v>
      </c>
      <c r="B41" s="154" t="s">
        <v>2412</v>
      </c>
      <c r="C41" s="157" t="s">
        <v>2344</v>
      </c>
      <c r="D41" s="157" t="s">
        <v>2344</v>
      </c>
    </row>
    <row r="42" spans="1:4" ht="22.5" x14ac:dyDescent="0.2">
      <c r="A42" s="154" t="s">
        <v>2408</v>
      </c>
      <c r="B42" s="154" t="s">
        <v>2413</v>
      </c>
      <c r="C42" s="157" t="s">
        <v>2344</v>
      </c>
      <c r="D42" s="157" t="s">
        <v>2344</v>
      </c>
    </row>
    <row r="43" spans="1:4" x14ac:dyDescent="0.2">
      <c r="A43" s="154" t="s">
        <v>2408</v>
      </c>
      <c r="B43" s="154" t="s">
        <v>2414</v>
      </c>
      <c r="C43" s="157" t="s">
        <v>2344</v>
      </c>
      <c r="D43" s="157" t="s">
        <v>2344</v>
      </c>
    </row>
    <row r="44" spans="1:4" x14ac:dyDescent="0.2">
      <c r="A44" s="154" t="s">
        <v>2408</v>
      </c>
      <c r="B44" s="154" t="s">
        <v>2415</v>
      </c>
      <c r="C44" s="157" t="s">
        <v>2344</v>
      </c>
      <c r="D44" s="157" t="s">
        <v>2344</v>
      </c>
    </row>
    <row r="45" spans="1:4" x14ac:dyDescent="0.2">
      <c r="A45" s="154" t="s">
        <v>2408</v>
      </c>
      <c r="B45" s="154" t="s">
        <v>2416</v>
      </c>
      <c r="C45" s="157" t="s">
        <v>2344</v>
      </c>
      <c r="D45" s="157" t="s">
        <v>2344</v>
      </c>
    </row>
    <row r="46" spans="1:4" x14ac:dyDescent="0.2">
      <c r="A46" s="154" t="s">
        <v>2408</v>
      </c>
      <c r="B46" s="154" t="s">
        <v>2417</v>
      </c>
      <c r="C46" s="157" t="s">
        <v>2344</v>
      </c>
      <c r="D46" s="157" t="s">
        <v>2344</v>
      </c>
    </row>
    <row r="47" spans="1:4" x14ac:dyDescent="0.2">
      <c r="A47" s="154" t="s">
        <v>2408</v>
      </c>
      <c r="B47" s="154" t="s">
        <v>2418</v>
      </c>
      <c r="C47" s="157" t="s">
        <v>2344</v>
      </c>
      <c r="D47" s="157" t="s">
        <v>2344</v>
      </c>
    </row>
    <row r="48" spans="1:4" ht="22.5" x14ac:dyDescent="0.2">
      <c r="A48" s="154" t="s">
        <v>2408</v>
      </c>
      <c r="B48" s="154" t="s">
        <v>2419</v>
      </c>
      <c r="C48" s="157" t="s">
        <v>2344</v>
      </c>
      <c r="D48" s="157" t="s">
        <v>2344</v>
      </c>
    </row>
    <row r="49" spans="1:4" x14ac:dyDescent="0.2">
      <c r="A49" s="154" t="s">
        <v>2408</v>
      </c>
      <c r="B49" s="154" t="s">
        <v>2420</v>
      </c>
      <c r="C49" s="157" t="s">
        <v>2344</v>
      </c>
      <c r="D49" s="157" t="s">
        <v>2344</v>
      </c>
    </row>
    <row r="50" spans="1:4" x14ac:dyDescent="0.2">
      <c r="A50" s="154" t="s">
        <v>2408</v>
      </c>
      <c r="B50" s="154" t="s">
        <v>2421</v>
      </c>
      <c r="C50" s="157" t="s">
        <v>2344</v>
      </c>
      <c r="D50" s="157" t="s">
        <v>2344</v>
      </c>
    </row>
    <row r="51" spans="1:4" x14ac:dyDescent="0.2">
      <c r="A51" s="154" t="s">
        <v>2408</v>
      </c>
      <c r="B51" s="154" t="s">
        <v>2422</v>
      </c>
      <c r="C51" s="157" t="s">
        <v>2344</v>
      </c>
      <c r="D51" s="157" t="s">
        <v>2344</v>
      </c>
    </row>
    <row r="52" spans="1:4" x14ac:dyDescent="0.2">
      <c r="A52" s="154" t="s">
        <v>2408</v>
      </c>
      <c r="B52" s="154" t="s">
        <v>2423</v>
      </c>
      <c r="C52" s="157" t="s">
        <v>2344</v>
      </c>
      <c r="D52" s="157" t="s">
        <v>2344</v>
      </c>
    </row>
    <row r="53" spans="1:4" x14ac:dyDescent="0.2">
      <c r="A53" s="154" t="s">
        <v>2408</v>
      </c>
      <c r="B53" s="154" t="s">
        <v>2424</v>
      </c>
      <c r="C53" s="157" t="s">
        <v>2344</v>
      </c>
      <c r="D53" s="157" t="s">
        <v>2344</v>
      </c>
    </row>
    <row r="54" spans="1:4" x14ac:dyDescent="0.2">
      <c r="A54" s="154" t="s">
        <v>2408</v>
      </c>
      <c r="B54" s="154" t="s">
        <v>2425</v>
      </c>
      <c r="C54" s="157" t="s">
        <v>2344</v>
      </c>
      <c r="D54" s="157" t="s">
        <v>2344</v>
      </c>
    </row>
    <row r="55" spans="1:4" x14ac:dyDescent="0.2">
      <c r="A55" s="154" t="s">
        <v>2408</v>
      </c>
      <c r="B55" s="154" t="s">
        <v>2426</v>
      </c>
      <c r="C55" s="157" t="s">
        <v>2344</v>
      </c>
      <c r="D55" s="157" t="s">
        <v>2344</v>
      </c>
    </row>
    <row r="56" spans="1:4" x14ac:dyDescent="0.2">
      <c r="A56" s="154" t="s">
        <v>2408</v>
      </c>
      <c r="B56" s="154" t="s">
        <v>2427</v>
      </c>
      <c r="C56" s="157" t="s">
        <v>2344</v>
      </c>
      <c r="D56" s="157" t="s">
        <v>2344</v>
      </c>
    </row>
    <row r="57" spans="1:4" x14ac:dyDescent="0.2">
      <c r="A57" s="154" t="s">
        <v>2408</v>
      </c>
      <c r="B57" s="154" t="s">
        <v>2428</v>
      </c>
      <c r="C57" s="157" t="s">
        <v>2344</v>
      </c>
      <c r="D57" s="157" t="s">
        <v>2344</v>
      </c>
    </row>
    <row r="58" spans="1:4" x14ac:dyDescent="0.2">
      <c r="A58" s="154" t="s">
        <v>2408</v>
      </c>
      <c r="B58" s="154" t="s">
        <v>2429</v>
      </c>
      <c r="C58" s="157" t="s">
        <v>2344</v>
      </c>
      <c r="D58" s="157" t="s">
        <v>2344</v>
      </c>
    </row>
    <row r="59" spans="1:4" x14ac:dyDescent="0.2">
      <c r="A59" s="154" t="s">
        <v>2408</v>
      </c>
      <c r="B59" s="154" t="s">
        <v>2430</v>
      </c>
      <c r="C59" s="157" t="s">
        <v>2344</v>
      </c>
      <c r="D59" s="157" t="s">
        <v>2344</v>
      </c>
    </row>
    <row r="60" spans="1:4" x14ac:dyDescent="0.2">
      <c r="A60" s="154" t="s">
        <v>2408</v>
      </c>
      <c r="B60" s="154" t="s">
        <v>2431</v>
      </c>
      <c r="C60" s="157" t="s">
        <v>2344</v>
      </c>
      <c r="D60" s="157" t="s">
        <v>2344</v>
      </c>
    </row>
    <row r="61" spans="1:4" x14ac:dyDescent="0.2">
      <c r="A61" s="154" t="s">
        <v>2408</v>
      </c>
      <c r="B61" s="154" t="s">
        <v>2432</v>
      </c>
      <c r="C61" s="157" t="s">
        <v>2344</v>
      </c>
      <c r="D61" s="157" t="s">
        <v>2344</v>
      </c>
    </row>
    <row r="62" spans="1:4" x14ac:dyDescent="0.2">
      <c r="A62" s="154" t="s">
        <v>2408</v>
      </c>
      <c r="B62" s="154" t="s">
        <v>2433</v>
      </c>
      <c r="C62" s="157" t="s">
        <v>2344</v>
      </c>
      <c r="D62" s="157" t="s">
        <v>2344</v>
      </c>
    </row>
    <row r="63" spans="1:4" x14ac:dyDescent="0.2">
      <c r="A63" s="154" t="s">
        <v>2408</v>
      </c>
      <c r="B63" s="154" t="s">
        <v>2434</v>
      </c>
      <c r="C63" s="157" t="s">
        <v>2344</v>
      </c>
      <c r="D63" s="157" t="s">
        <v>2344</v>
      </c>
    </row>
    <row r="64" spans="1:4" x14ac:dyDescent="0.2">
      <c r="A64" s="154" t="s">
        <v>2408</v>
      </c>
      <c r="B64" s="154" t="s">
        <v>2435</v>
      </c>
      <c r="C64" s="157" t="s">
        <v>2344</v>
      </c>
      <c r="D64" s="157" t="s">
        <v>2344</v>
      </c>
    </row>
    <row r="65" spans="1:4" x14ac:dyDescent="0.2">
      <c r="A65" s="154" t="s">
        <v>2408</v>
      </c>
      <c r="B65" s="154" t="s">
        <v>2436</v>
      </c>
      <c r="C65" s="157" t="s">
        <v>2344</v>
      </c>
      <c r="D65" s="157" t="s">
        <v>2344</v>
      </c>
    </row>
    <row r="66" spans="1:4" x14ac:dyDescent="0.2">
      <c r="A66" s="154" t="s">
        <v>2408</v>
      </c>
      <c r="B66" s="154" t="s">
        <v>2437</v>
      </c>
      <c r="C66" s="157" t="s">
        <v>2344</v>
      </c>
      <c r="D66" s="157" t="s">
        <v>2344</v>
      </c>
    </row>
    <row r="67" spans="1:4" x14ac:dyDescent="0.2">
      <c r="A67" s="154" t="s">
        <v>2408</v>
      </c>
      <c r="B67" s="154" t="s">
        <v>2438</v>
      </c>
      <c r="C67" s="157" t="s">
        <v>2344</v>
      </c>
      <c r="D67" s="157" t="s">
        <v>2344</v>
      </c>
    </row>
    <row r="68" spans="1:4" x14ac:dyDescent="0.2">
      <c r="A68" s="154" t="s">
        <v>2408</v>
      </c>
      <c r="B68" s="154" t="s">
        <v>2439</v>
      </c>
      <c r="C68" s="157" t="s">
        <v>2344</v>
      </c>
      <c r="D68" s="157" t="s">
        <v>2344</v>
      </c>
    </row>
    <row r="69" spans="1:4" x14ac:dyDescent="0.2">
      <c r="A69" s="154" t="s">
        <v>2408</v>
      </c>
      <c r="B69" s="154" t="s">
        <v>2440</v>
      </c>
      <c r="C69" s="157" t="s">
        <v>2344</v>
      </c>
      <c r="D69" s="157" t="s">
        <v>2344</v>
      </c>
    </row>
    <row r="70" spans="1:4" x14ac:dyDescent="0.2">
      <c r="A70" s="154" t="s">
        <v>2408</v>
      </c>
      <c r="B70" s="154" t="s">
        <v>2441</v>
      </c>
      <c r="C70" s="157" t="s">
        <v>2344</v>
      </c>
      <c r="D70" s="157" t="s">
        <v>2344</v>
      </c>
    </row>
    <row r="71" spans="1:4" x14ac:dyDescent="0.2">
      <c r="A71" s="154" t="s">
        <v>2408</v>
      </c>
      <c r="B71" s="154" t="s">
        <v>2442</v>
      </c>
      <c r="C71" s="157" t="s">
        <v>2344</v>
      </c>
      <c r="D71" s="157" t="s">
        <v>2344</v>
      </c>
    </row>
    <row r="72" spans="1:4" x14ac:dyDescent="0.2">
      <c r="A72" s="154" t="s">
        <v>2408</v>
      </c>
      <c r="B72" s="154" t="s">
        <v>2443</v>
      </c>
      <c r="C72" s="157" t="s">
        <v>2344</v>
      </c>
      <c r="D72" s="157" t="s">
        <v>2344</v>
      </c>
    </row>
    <row r="73" spans="1:4" x14ac:dyDescent="0.2">
      <c r="A73" s="154" t="s">
        <v>2408</v>
      </c>
      <c r="B73" s="154" t="s">
        <v>2444</v>
      </c>
      <c r="C73" s="157" t="s">
        <v>2344</v>
      </c>
      <c r="D73" s="157" t="s">
        <v>2344</v>
      </c>
    </row>
    <row r="74" spans="1:4" x14ac:dyDescent="0.2">
      <c r="A74" s="154" t="s">
        <v>2408</v>
      </c>
      <c r="B74" s="154" t="s">
        <v>2445</v>
      </c>
      <c r="C74" s="157" t="s">
        <v>2344</v>
      </c>
      <c r="D74" s="157" t="s">
        <v>2344</v>
      </c>
    </row>
    <row r="75" spans="1:4" x14ac:dyDescent="0.2">
      <c r="A75" s="154" t="s">
        <v>2408</v>
      </c>
      <c r="B75" s="154" t="s">
        <v>2446</v>
      </c>
      <c r="C75" s="157" t="s">
        <v>2344</v>
      </c>
      <c r="D75" s="157" t="s">
        <v>2344</v>
      </c>
    </row>
    <row r="76" spans="1:4" x14ac:dyDescent="0.2">
      <c r="A76" s="154" t="s">
        <v>2408</v>
      </c>
      <c r="B76" s="154" t="s">
        <v>2447</v>
      </c>
      <c r="C76" s="157" t="s">
        <v>2344</v>
      </c>
      <c r="D76" s="157" t="s">
        <v>2344</v>
      </c>
    </row>
    <row r="77" spans="1:4" x14ac:dyDescent="0.2">
      <c r="A77" s="154" t="s">
        <v>2408</v>
      </c>
      <c r="B77" s="154" t="s">
        <v>2448</v>
      </c>
      <c r="C77" s="157" t="s">
        <v>2344</v>
      </c>
      <c r="D77" s="157" t="s">
        <v>2344</v>
      </c>
    </row>
    <row r="78" spans="1:4" x14ac:dyDescent="0.2">
      <c r="A78" s="154" t="s">
        <v>2408</v>
      </c>
      <c r="B78" s="154" t="s">
        <v>2449</v>
      </c>
      <c r="C78" s="157" t="s">
        <v>2344</v>
      </c>
      <c r="D78" s="157" t="s">
        <v>2344</v>
      </c>
    </row>
    <row r="79" spans="1:4" x14ac:dyDescent="0.2">
      <c r="A79" s="154" t="s">
        <v>2408</v>
      </c>
      <c r="B79" s="154" t="s">
        <v>2450</v>
      </c>
      <c r="C79" s="157" t="s">
        <v>2344</v>
      </c>
      <c r="D79" s="157" t="s">
        <v>2344</v>
      </c>
    </row>
    <row r="80" spans="1:4" x14ac:dyDescent="0.2">
      <c r="A80" s="154" t="s">
        <v>2408</v>
      </c>
      <c r="B80" s="154" t="s">
        <v>2451</v>
      </c>
      <c r="C80" s="157" t="s">
        <v>2344</v>
      </c>
      <c r="D80" s="157" t="s">
        <v>2344</v>
      </c>
    </row>
    <row r="81" spans="1:4" ht="22.5" x14ac:dyDescent="0.2">
      <c r="A81" s="154" t="s">
        <v>2408</v>
      </c>
      <c r="B81" s="154" t="s">
        <v>2452</v>
      </c>
      <c r="C81" s="157" t="s">
        <v>2344</v>
      </c>
      <c r="D81" s="157" t="s">
        <v>2344</v>
      </c>
    </row>
    <row r="82" spans="1:4" ht="22.5" x14ac:dyDescent="0.2">
      <c r="A82" s="154" t="s">
        <v>2408</v>
      </c>
      <c r="B82" s="154" t="s">
        <v>2453</v>
      </c>
      <c r="C82" s="157" t="s">
        <v>2344</v>
      </c>
      <c r="D82" s="157" t="s">
        <v>2344</v>
      </c>
    </row>
    <row r="83" spans="1:4" x14ac:dyDescent="0.2">
      <c r="A83" s="154" t="s">
        <v>2408</v>
      </c>
      <c r="B83" s="154" t="s">
        <v>2454</v>
      </c>
      <c r="C83" s="157" t="s">
        <v>2344</v>
      </c>
      <c r="D83" s="157" t="s">
        <v>2344</v>
      </c>
    </row>
    <row r="84" spans="1:4" x14ac:dyDescent="0.2">
      <c r="A84" s="154" t="s">
        <v>2455</v>
      </c>
      <c r="B84" s="154" t="s">
        <v>2456</v>
      </c>
      <c r="C84" s="157" t="s">
        <v>2344</v>
      </c>
      <c r="D84" s="157" t="s">
        <v>2344</v>
      </c>
    </row>
    <row r="85" spans="1:4" x14ac:dyDescent="0.2">
      <c r="A85" s="154" t="s">
        <v>2455</v>
      </c>
      <c r="B85" s="154" t="s">
        <v>2457</v>
      </c>
      <c r="C85" s="157" t="s">
        <v>2344</v>
      </c>
      <c r="D85" s="157" t="s">
        <v>2344</v>
      </c>
    </row>
    <row r="86" spans="1:4" x14ac:dyDescent="0.2">
      <c r="A86" s="154" t="s">
        <v>2455</v>
      </c>
      <c r="B86" s="155" t="s">
        <v>2458</v>
      </c>
      <c r="C86" s="157" t="s">
        <v>2344</v>
      </c>
      <c r="D86" s="157" t="s">
        <v>2344</v>
      </c>
    </row>
    <row r="87" spans="1:4" x14ac:dyDescent="0.2">
      <c r="A87" s="154" t="s">
        <v>2455</v>
      </c>
      <c r="B87" s="154" t="s">
        <v>2459</v>
      </c>
      <c r="C87" s="157" t="s">
        <v>2344</v>
      </c>
      <c r="D87" s="157" t="s">
        <v>2344</v>
      </c>
    </row>
    <row r="88" spans="1:4" x14ac:dyDescent="0.2">
      <c r="A88" s="154" t="s">
        <v>2455</v>
      </c>
      <c r="B88" s="155" t="s">
        <v>2460</v>
      </c>
      <c r="C88" s="157" t="s">
        <v>2344</v>
      </c>
      <c r="D88" s="157" t="s">
        <v>2344</v>
      </c>
    </row>
    <row r="89" spans="1:4" x14ac:dyDescent="0.2">
      <c r="A89" s="154" t="s">
        <v>2455</v>
      </c>
      <c r="B89" s="155" t="s">
        <v>2461</v>
      </c>
      <c r="C89" s="157" t="s">
        <v>2344</v>
      </c>
      <c r="D89" s="157" t="s">
        <v>2344</v>
      </c>
    </row>
    <row r="90" spans="1:4" x14ac:dyDescent="0.2">
      <c r="A90" s="154" t="s">
        <v>2455</v>
      </c>
      <c r="B90" s="155" t="s">
        <v>2462</v>
      </c>
      <c r="C90" s="157" t="s">
        <v>2344</v>
      </c>
      <c r="D90" s="157" t="s">
        <v>2344</v>
      </c>
    </row>
    <row r="91" spans="1:4" x14ac:dyDescent="0.2">
      <c r="A91" s="154" t="s">
        <v>2455</v>
      </c>
      <c r="B91" s="155" t="s">
        <v>2463</v>
      </c>
      <c r="C91" s="157" t="s">
        <v>2344</v>
      </c>
      <c r="D91" s="157" t="s">
        <v>2344</v>
      </c>
    </row>
    <row r="92" spans="1:4" x14ac:dyDescent="0.2">
      <c r="A92" s="154" t="s">
        <v>2455</v>
      </c>
      <c r="B92" s="155" t="s">
        <v>2464</v>
      </c>
      <c r="C92" s="157" t="s">
        <v>2344</v>
      </c>
      <c r="D92" s="157" t="s">
        <v>2344</v>
      </c>
    </row>
    <row r="93" spans="1:4" x14ac:dyDescent="0.2">
      <c r="A93" s="154" t="s">
        <v>2455</v>
      </c>
      <c r="B93" s="155" t="s">
        <v>2465</v>
      </c>
      <c r="C93" s="157" t="s">
        <v>2344</v>
      </c>
      <c r="D93" s="157" t="s">
        <v>2344</v>
      </c>
    </row>
    <row r="94" spans="1:4" x14ac:dyDescent="0.2">
      <c r="A94" s="154" t="s">
        <v>2455</v>
      </c>
      <c r="B94" s="155" t="s">
        <v>2466</v>
      </c>
      <c r="C94" s="157" t="s">
        <v>2344</v>
      </c>
      <c r="D94" s="157" t="s">
        <v>2344</v>
      </c>
    </row>
    <row r="95" spans="1:4" x14ac:dyDescent="0.2">
      <c r="A95" s="154" t="s">
        <v>2455</v>
      </c>
      <c r="B95" s="155" t="s">
        <v>2467</v>
      </c>
      <c r="C95" s="157" t="s">
        <v>2344</v>
      </c>
      <c r="D95" s="157" t="s">
        <v>2344</v>
      </c>
    </row>
    <row r="96" spans="1:4" x14ac:dyDescent="0.2">
      <c r="A96" s="154" t="s">
        <v>2455</v>
      </c>
      <c r="B96" s="154" t="s">
        <v>2468</v>
      </c>
      <c r="C96" s="157" t="s">
        <v>2344</v>
      </c>
      <c r="D96" s="157" t="s">
        <v>2344</v>
      </c>
    </row>
    <row r="97" spans="1:4" x14ac:dyDescent="0.2">
      <c r="A97" s="154" t="s">
        <v>2469</v>
      </c>
      <c r="B97" s="154" t="s">
        <v>2470</v>
      </c>
      <c r="C97" s="157" t="s">
        <v>2344</v>
      </c>
      <c r="D97" s="157" t="s">
        <v>2344</v>
      </c>
    </row>
    <row r="98" spans="1:4" x14ac:dyDescent="0.2">
      <c r="A98" s="154" t="s">
        <v>2469</v>
      </c>
      <c r="B98" s="154" t="s">
        <v>2471</v>
      </c>
      <c r="C98" s="157" t="s">
        <v>2344</v>
      </c>
      <c r="D98" s="157" t="s">
        <v>2344</v>
      </c>
    </row>
    <row r="99" spans="1:4" x14ac:dyDescent="0.2">
      <c r="A99" s="154" t="s">
        <v>2469</v>
      </c>
      <c r="B99" s="154" t="s">
        <v>2472</v>
      </c>
      <c r="C99" s="157" t="s">
        <v>2344</v>
      </c>
      <c r="D99" s="157" t="s">
        <v>2344</v>
      </c>
    </row>
    <row r="100" spans="1:4" x14ac:dyDescent="0.2">
      <c r="A100" s="154" t="s">
        <v>2469</v>
      </c>
      <c r="B100" s="154" t="s">
        <v>2473</v>
      </c>
      <c r="C100" s="157" t="s">
        <v>2344</v>
      </c>
      <c r="D100" s="157" t="s">
        <v>2344</v>
      </c>
    </row>
    <row r="101" spans="1:4" x14ac:dyDescent="0.2">
      <c r="A101" s="154" t="s">
        <v>2469</v>
      </c>
      <c r="B101" s="154" t="s">
        <v>2474</v>
      </c>
      <c r="C101" s="157" t="s">
        <v>2344</v>
      </c>
      <c r="D101" s="157" t="s">
        <v>2344</v>
      </c>
    </row>
    <row r="102" spans="1:4" x14ac:dyDescent="0.2">
      <c r="A102" s="154" t="s">
        <v>2469</v>
      </c>
      <c r="B102" s="154" t="s">
        <v>2475</v>
      </c>
      <c r="C102" s="157" t="s">
        <v>2344</v>
      </c>
      <c r="D102" s="157" t="s">
        <v>2344</v>
      </c>
    </row>
    <row r="103" spans="1:4" x14ac:dyDescent="0.2">
      <c r="A103" s="154" t="s">
        <v>2476</v>
      </c>
      <c r="B103" s="154" t="s">
        <v>2477</v>
      </c>
      <c r="C103" s="157" t="s">
        <v>2344</v>
      </c>
      <c r="D103" s="157" t="s">
        <v>2344</v>
      </c>
    </row>
    <row r="104" spans="1:4" x14ac:dyDescent="0.2">
      <c r="A104" s="154" t="s">
        <v>2476</v>
      </c>
      <c r="B104" s="154" t="s">
        <v>2478</v>
      </c>
      <c r="C104" s="157" t="s">
        <v>2344</v>
      </c>
      <c r="D104" s="157" t="s">
        <v>2344</v>
      </c>
    </row>
    <row r="105" spans="1:4" ht="22.5" x14ac:dyDescent="0.2">
      <c r="A105" s="154" t="s">
        <v>2479</v>
      </c>
      <c r="B105" s="154" t="s">
        <v>2480</v>
      </c>
      <c r="C105" s="157" t="s">
        <v>2344</v>
      </c>
      <c r="D105" s="157" t="s">
        <v>2344</v>
      </c>
    </row>
    <row r="106" spans="1:4" x14ac:dyDescent="0.2">
      <c r="A106" s="154" t="s">
        <v>2479</v>
      </c>
      <c r="B106" s="154" t="s">
        <v>2481</v>
      </c>
      <c r="C106" s="157" t="s">
        <v>2344</v>
      </c>
      <c r="D106" s="157" t="s">
        <v>2344</v>
      </c>
    </row>
    <row r="107" spans="1:4" x14ac:dyDescent="0.2">
      <c r="A107" s="154" t="s">
        <v>2479</v>
      </c>
      <c r="B107" s="154" t="s">
        <v>2482</v>
      </c>
      <c r="C107" s="157" t="s">
        <v>2344</v>
      </c>
      <c r="D107" s="157" t="s">
        <v>2344</v>
      </c>
    </row>
    <row r="108" spans="1:4" x14ac:dyDescent="0.2">
      <c r="A108" s="154" t="s">
        <v>2479</v>
      </c>
      <c r="B108" s="154" t="s">
        <v>2483</v>
      </c>
      <c r="C108" s="157" t="s">
        <v>2344</v>
      </c>
      <c r="D108" s="157" t="s">
        <v>2344</v>
      </c>
    </row>
    <row r="109" spans="1:4" x14ac:dyDescent="0.2">
      <c r="A109" s="154" t="s">
        <v>2479</v>
      </c>
      <c r="B109" s="154" t="s">
        <v>2484</v>
      </c>
      <c r="C109" s="157" t="s">
        <v>2344</v>
      </c>
      <c r="D109" s="157" t="s">
        <v>2344</v>
      </c>
    </row>
    <row r="110" spans="1:4" x14ac:dyDescent="0.2">
      <c r="A110" s="154" t="s">
        <v>2479</v>
      </c>
      <c r="B110" s="154" t="s">
        <v>2485</v>
      </c>
      <c r="C110" s="157" t="s">
        <v>2344</v>
      </c>
      <c r="D110" s="157" t="s">
        <v>2344</v>
      </c>
    </row>
    <row r="111" spans="1:4" ht="22.5" x14ac:dyDescent="0.2">
      <c r="A111" s="154" t="s">
        <v>2479</v>
      </c>
      <c r="B111" s="154" t="s">
        <v>2486</v>
      </c>
      <c r="C111" s="157" t="s">
        <v>2344</v>
      </c>
      <c r="D111" s="157" t="s">
        <v>2344</v>
      </c>
    </row>
    <row r="112" spans="1:4" x14ac:dyDescent="0.2">
      <c r="A112" s="154" t="s">
        <v>2479</v>
      </c>
      <c r="B112" s="154" t="s">
        <v>2487</v>
      </c>
      <c r="C112" s="157" t="s">
        <v>2344</v>
      </c>
      <c r="D112" s="157" t="s">
        <v>2344</v>
      </c>
    </row>
    <row r="113" spans="1:4" x14ac:dyDescent="0.2">
      <c r="A113" s="154" t="s">
        <v>2479</v>
      </c>
      <c r="B113" s="154" t="s">
        <v>2488</v>
      </c>
      <c r="C113" s="157" t="s">
        <v>2344</v>
      </c>
      <c r="D113" s="157" t="s">
        <v>2344</v>
      </c>
    </row>
    <row r="114" spans="1:4" x14ac:dyDescent="0.2">
      <c r="A114" s="154" t="s">
        <v>2479</v>
      </c>
      <c r="B114" s="154" t="s">
        <v>2489</v>
      </c>
      <c r="C114" s="157" t="s">
        <v>2344</v>
      </c>
      <c r="D114" s="157" t="s">
        <v>2344</v>
      </c>
    </row>
  </sheetData>
  <sheetProtection algorithmName="SHA-512" hashValue="8KNKwIDGhOQYXm+58avqdneGPxq/sHflhAxhlien0hXBDZ4JqW/HKFB/xHKAmkqRTWppBWNw5yK6oRp7X9yl5g==" saltValue="Vpj6QLvf2yci9/iV9zbGMA==" spinCount="100000" sheet="1" objects="1" scenarios="1"/>
  <autoFilter ref="A2:D2" xr:uid="{00000000-0009-0000-0000-000002000000}"/>
  <mergeCells count="1">
    <mergeCell ref="C1:D1"/>
  </mergeCells>
  <pageMargins left="0.23622047244094488" right="0.23622047244094488" top="0.19685039370078741" bottom="0.19685039370078741" header="0.31496062992125984" footer="0.31496062992125984"/>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VAR_1!$CD$3:$CD$8</xm:f>
          </x14:formula1>
          <xm:sqref>C3:D114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13"/>
  <dimension ref="A1:K63"/>
  <sheetViews>
    <sheetView showGridLines="0" zoomScaleNormal="100" workbookViewId="0">
      <pane ySplit="7" topLeftCell="A8" activePane="bottomLeft" state="frozen"/>
      <selection activeCell="C2" sqref="C2:D2"/>
      <selection pane="bottomLeft" activeCell="B15" sqref="B15"/>
    </sheetView>
  </sheetViews>
  <sheetFormatPr defaultColWidth="9.140625" defaultRowHeight="12" x14ac:dyDescent="0.2"/>
  <cols>
    <col min="1" max="1" width="25.42578125" style="1" customWidth="1"/>
    <col min="2" max="3" width="14.42578125" style="27" customWidth="1"/>
    <col min="4" max="4" width="8.7109375" style="25" customWidth="1"/>
    <col min="5" max="5" width="7.7109375" style="26" customWidth="1"/>
    <col min="6" max="6" width="8" style="1" bestFit="1" customWidth="1"/>
    <col min="7" max="8" width="13.5703125" style="27" customWidth="1"/>
    <col min="9" max="9" width="8.28515625" style="25" customWidth="1"/>
    <col min="10" max="16384" width="9.140625" style="1"/>
  </cols>
  <sheetData>
    <row r="1" spans="1:11" ht="31.5" customHeight="1" thickBot="1" x14ac:dyDescent="0.25">
      <c r="A1" s="870" t="s">
        <v>0</v>
      </c>
      <c r="B1" s="871"/>
      <c r="C1" s="871"/>
      <c r="D1" s="871"/>
      <c r="E1" s="871"/>
      <c r="F1" s="871"/>
      <c r="G1" s="871"/>
      <c r="H1" s="871"/>
      <c r="I1" s="872"/>
    </row>
    <row r="2" spans="1:11" ht="20.25" customHeight="1" thickBot="1" x14ac:dyDescent="0.25">
      <c r="A2" s="880" t="str">
        <f>IF('CHECK_2.9'!C2="","",CONCATENATE("Pos. MCC - ",'CHECK_2.9'!C2))</f>
        <v>Pos. MCC - 1437613</v>
      </c>
      <c r="B2" s="881"/>
      <c r="C2" s="880" t="str">
        <f>IF('CHECK_2.9'!C8="","",CONCATENATE("Impresa: ",'CHECK_2.9'!C8))</f>
        <v>Impresa: FISH MARKET SOCIETA' A RESPONSABILITA' LIMITATA</v>
      </c>
      <c r="D2" s="882"/>
      <c r="E2" s="882"/>
      <c r="F2" s="882"/>
      <c r="G2" s="882"/>
      <c r="H2" s="882"/>
      <c r="I2" s="881"/>
    </row>
    <row r="3" spans="1:11" ht="20.25" customHeight="1" thickBot="1" x14ac:dyDescent="0.25">
      <c r="A3" s="2"/>
      <c r="B3" s="3" t="s">
        <v>1</v>
      </c>
      <c r="C3" s="3" t="s">
        <v>2</v>
      </c>
      <c r="D3" s="3" t="s">
        <v>3</v>
      </c>
      <c r="E3" s="873"/>
      <c r="F3" s="874"/>
      <c r="G3" s="874"/>
      <c r="H3" s="4"/>
      <c r="I3" s="5"/>
    </row>
    <row r="4" spans="1:11" ht="33.75" customHeight="1" thickBot="1" x14ac:dyDescent="0.25">
      <c r="A4" s="6" t="str">
        <f>IF(D5&lt;&gt;"","Dati Aggregati","")</f>
        <v>Dati Aggregati</v>
      </c>
      <c r="B4" s="7">
        <f>IFERROR(IF(D5&lt;&gt;"",IF(B5=0,"",SUM(ParDim!$G$8:$G$56)+B5),""),"")</f>
        <v>1</v>
      </c>
      <c r="C4" s="8">
        <f>IFERROR(IF(D5&lt;&gt;"",IF(C5=0,"",SUM(ParDim!$H$8:$H$56)+C5),""),"")</f>
        <v>1</v>
      </c>
      <c r="D4" s="9">
        <f>IF(ISBLANK(D5),"",SUM(ParDim!$I$8:$I$56)+D5)</f>
        <v>5</v>
      </c>
      <c r="E4" s="875" t="e">
        <f ca="1">IF(AND(B4&lt;&gt;"",C4&lt;&gt;"",D4&lt;&gt;""),f_ParDim(C4,B4,D4),"")</f>
        <v>#NAME?</v>
      </c>
      <c r="F4" s="875"/>
      <c r="G4" s="875"/>
      <c r="H4" s="876" t="e">
        <f ca="1">IF(E5&lt;&gt;"",f_Relaz(K8,K9,K10),"")</f>
        <v>#NAME?</v>
      </c>
      <c r="I4" s="877"/>
    </row>
    <row r="5" spans="1:11" ht="33.75" customHeight="1" thickBot="1" x14ac:dyDescent="0.25">
      <c r="A5" s="10" t="str">
        <f>IF(D5&lt;&gt;"","Dati Beneficiaria","")</f>
        <v>Dati Beneficiaria</v>
      </c>
      <c r="B5" s="28">
        <v>1</v>
      </c>
      <c r="C5" s="28">
        <v>1</v>
      </c>
      <c r="D5" s="11">
        <v>5</v>
      </c>
      <c r="E5" s="875" t="e">
        <f ca="1">IF(AND(B5&lt;&gt;"",C5&lt;&gt;"",D5&lt;&gt;""),f_ParDim(C5,B5,D5),"")</f>
        <v>#NAME?</v>
      </c>
      <c r="F5" s="875"/>
      <c r="G5" s="875"/>
      <c r="H5" s="878"/>
      <c r="I5" s="879"/>
    </row>
    <row r="6" spans="1:11" ht="17.25" customHeight="1" thickBot="1" x14ac:dyDescent="0.25">
      <c r="A6" s="867" t="s">
        <v>4</v>
      </c>
      <c r="B6" s="868"/>
      <c r="C6" s="868"/>
      <c r="D6" s="868"/>
      <c r="E6" s="868"/>
      <c r="F6" s="869"/>
      <c r="G6" s="867" t="s">
        <v>5</v>
      </c>
      <c r="H6" s="868"/>
      <c r="I6" s="869"/>
    </row>
    <row r="7" spans="1:11" ht="18.75" customHeight="1" thickBot="1" x14ac:dyDescent="0.25">
      <c r="A7" s="12" t="s">
        <v>6</v>
      </c>
      <c r="B7" s="13" t="s">
        <v>1</v>
      </c>
      <c r="C7" s="13" t="s">
        <v>2</v>
      </c>
      <c r="D7" s="14" t="s">
        <v>3</v>
      </c>
      <c r="E7" s="14" t="s">
        <v>7</v>
      </c>
      <c r="F7" s="14" t="s">
        <v>8</v>
      </c>
      <c r="G7" s="13" t="s">
        <v>9</v>
      </c>
      <c r="H7" s="13" t="s">
        <v>10</v>
      </c>
      <c r="I7" s="14" t="s">
        <v>11</v>
      </c>
      <c r="K7" s="15">
        <f>SUBTOTAL(103,ParDim!$A$8:$A$56)</f>
        <v>0</v>
      </c>
    </row>
    <row r="8" spans="1:11" x14ac:dyDescent="0.2">
      <c r="A8" s="16"/>
      <c r="B8" s="17"/>
      <c r="C8" s="17"/>
      <c r="D8" s="18"/>
      <c r="E8" s="19"/>
      <c r="F8" s="20"/>
      <c r="G8" s="21" t="str">
        <f t="shared" ref="G8:G54" si="0">IF(ISBLANK(F8),"",B8*F8)</f>
        <v/>
      </c>
      <c r="H8" s="21" t="str">
        <f t="shared" ref="H8:H54" si="1">IF(ISBLANK(F8),"",C8*F8)</f>
        <v/>
      </c>
      <c r="I8" s="22" t="str">
        <f t="shared" ref="I8:I54" si="2">IF(ISBLANK(F8),"",D8*F8)</f>
        <v/>
      </c>
      <c r="K8" s="15">
        <f>COUNTIF(ParDim!$E$8:$E$56,"Ass.")</f>
        <v>0</v>
      </c>
    </row>
    <row r="9" spans="1:11" x14ac:dyDescent="0.2">
      <c r="A9" s="16"/>
      <c r="B9" s="17"/>
      <c r="C9" s="17"/>
      <c r="D9" s="18"/>
      <c r="E9" s="19"/>
      <c r="F9" s="20"/>
      <c r="G9" s="21" t="str">
        <f t="shared" si="0"/>
        <v/>
      </c>
      <c r="H9" s="21" t="str">
        <f t="shared" si="1"/>
        <v/>
      </c>
      <c r="I9" s="22" t="str">
        <f t="shared" si="2"/>
        <v/>
      </c>
      <c r="K9" s="15">
        <f>COUNTIF(ParDim!$E$8:$E$56,"Col.")</f>
        <v>0</v>
      </c>
    </row>
    <row r="10" spans="1:11" x14ac:dyDescent="0.2">
      <c r="A10" s="16"/>
      <c r="B10" s="17"/>
      <c r="C10" s="17"/>
      <c r="D10" s="18"/>
      <c r="E10" s="19"/>
      <c r="F10" s="20"/>
      <c r="G10" s="21" t="str">
        <f t="shared" si="0"/>
        <v/>
      </c>
      <c r="H10" s="21" t="str">
        <f t="shared" si="1"/>
        <v/>
      </c>
      <c r="I10" s="22" t="str">
        <f t="shared" si="2"/>
        <v/>
      </c>
      <c r="K10" s="15">
        <f>COUNTIF(ParDim!$E$8:$E$56,"Col. PF")</f>
        <v>0</v>
      </c>
    </row>
    <row r="11" spans="1:11" x14ac:dyDescent="0.2">
      <c r="A11" s="16"/>
      <c r="B11" s="17"/>
      <c r="C11" s="17"/>
      <c r="D11" s="18"/>
      <c r="E11" s="19"/>
      <c r="F11" s="20"/>
      <c r="G11" s="21" t="str">
        <f t="shared" si="0"/>
        <v/>
      </c>
      <c r="H11" s="21" t="str">
        <f t="shared" si="1"/>
        <v/>
      </c>
      <c r="I11" s="22" t="str">
        <f t="shared" si="2"/>
        <v/>
      </c>
    </row>
    <row r="12" spans="1:11" x14ac:dyDescent="0.2">
      <c r="A12" s="16"/>
      <c r="B12" s="17"/>
      <c r="C12" s="17"/>
      <c r="D12" s="18"/>
      <c r="E12" s="19"/>
      <c r="F12" s="20"/>
      <c r="G12" s="21" t="str">
        <f t="shared" si="0"/>
        <v/>
      </c>
      <c r="H12" s="21" t="str">
        <f t="shared" si="1"/>
        <v/>
      </c>
      <c r="I12" s="22" t="str">
        <f t="shared" si="2"/>
        <v/>
      </c>
    </row>
    <row r="13" spans="1:11" x14ac:dyDescent="0.2">
      <c r="A13" s="16"/>
      <c r="B13" s="17"/>
      <c r="C13" s="17"/>
      <c r="D13" s="18"/>
      <c r="E13" s="19"/>
      <c r="F13" s="20"/>
      <c r="G13" s="21" t="str">
        <f t="shared" si="0"/>
        <v/>
      </c>
      <c r="H13" s="21" t="str">
        <f t="shared" si="1"/>
        <v/>
      </c>
      <c r="I13" s="22" t="str">
        <f t="shared" si="2"/>
        <v/>
      </c>
    </row>
    <row r="14" spans="1:11" x14ac:dyDescent="0.2">
      <c r="A14" s="16"/>
      <c r="B14" s="17"/>
      <c r="C14" s="17"/>
      <c r="D14" s="18"/>
      <c r="E14" s="19"/>
      <c r="F14" s="20"/>
      <c r="G14" s="21" t="str">
        <f t="shared" si="0"/>
        <v/>
      </c>
      <c r="H14" s="21" t="str">
        <f t="shared" si="1"/>
        <v/>
      </c>
      <c r="I14" s="22" t="str">
        <f t="shared" si="2"/>
        <v/>
      </c>
    </row>
    <row r="15" spans="1:11" x14ac:dyDescent="0.2">
      <c r="A15" s="16"/>
      <c r="B15" s="17"/>
      <c r="C15" s="17"/>
      <c r="D15" s="18"/>
      <c r="E15" s="19"/>
      <c r="F15" s="20"/>
      <c r="G15" s="21" t="str">
        <f t="shared" si="0"/>
        <v/>
      </c>
      <c r="H15" s="21" t="str">
        <f t="shared" si="1"/>
        <v/>
      </c>
      <c r="I15" s="22" t="str">
        <f t="shared" si="2"/>
        <v/>
      </c>
    </row>
    <row r="16" spans="1:11" x14ac:dyDescent="0.2">
      <c r="A16" s="16"/>
      <c r="B16" s="17"/>
      <c r="C16" s="17"/>
      <c r="D16" s="18"/>
      <c r="E16" s="19"/>
      <c r="F16" s="20"/>
      <c r="G16" s="21" t="str">
        <f t="shared" si="0"/>
        <v/>
      </c>
      <c r="H16" s="21" t="str">
        <f t="shared" si="1"/>
        <v/>
      </c>
      <c r="I16" s="22" t="str">
        <f t="shared" si="2"/>
        <v/>
      </c>
    </row>
    <row r="17" spans="1:11" x14ac:dyDescent="0.2">
      <c r="A17" s="16"/>
      <c r="B17" s="17"/>
      <c r="C17" s="17"/>
      <c r="D17" s="18"/>
      <c r="E17" s="19"/>
      <c r="F17" s="20"/>
      <c r="G17" s="21" t="str">
        <f t="shared" si="0"/>
        <v/>
      </c>
      <c r="H17" s="21" t="str">
        <f t="shared" si="1"/>
        <v/>
      </c>
      <c r="I17" s="22" t="str">
        <f t="shared" si="2"/>
        <v/>
      </c>
    </row>
    <row r="18" spans="1:11" x14ac:dyDescent="0.2">
      <c r="A18" s="16"/>
      <c r="B18" s="17"/>
      <c r="C18" s="17"/>
      <c r="D18" s="18"/>
      <c r="E18" s="19"/>
      <c r="F18" s="20"/>
      <c r="G18" s="21" t="str">
        <f t="shared" si="0"/>
        <v/>
      </c>
      <c r="H18" s="21" t="str">
        <f t="shared" si="1"/>
        <v/>
      </c>
      <c r="I18" s="22" t="str">
        <f t="shared" si="2"/>
        <v/>
      </c>
    </row>
    <row r="19" spans="1:11" x14ac:dyDescent="0.2">
      <c r="A19" s="16"/>
      <c r="B19" s="17"/>
      <c r="C19" s="17"/>
      <c r="D19" s="18"/>
      <c r="E19" s="19"/>
      <c r="F19" s="20"/>
      <c r="G19" s="21" t="str">
        <f t="shared" si="0"/>
        <v/>
      </c>
      <c r="H19" s="21" t="str">
        <f t="shared" si="1"/>
        <v/>
      </c>
      <c r="I19" s="22" t="str">
        <f t="shared" si="2"/>
        <v/>
      </c>
    </row>
    <row r="20" spans="1:11" x14ac:dyDescent="0.2">
      <c r="A20" s="16"/>
      <c r="B20" s="17"/>
      <c r="C20" s="17"/>
      <c r="D20" s="18"/>
      <c r="E20" s="19"/>
      <c r="F20" s="20"/>
      <c r="G20" s="21" t="str">
        <f t="shared" si="0"/>
        <v/>
      </c>
      <c r="H20" s="21" t="str">
        <f t="shared" si="1"/>
        <v/>
      </c>
      <c r="I20" s="22" t="str">
        <f t="shared" si="2"/>
        <v/>
      </c>
    </row>
    <row r="21" spans="1:11" x14ac:dyDescent="0.2">
      <c r="A21" s="16"/>
      <c r="B21" s="17"/>
      <c r="C21" s="17"/>
      <c r="D21" s="18"/>
      <c r="E21" s="19"/>
      <c r="F21" s="20"/>
      <c r="G21" s="21" t="str">
        <f t="shared" si="0"/>
        <v/>
      </c>
      <c r="H21" s="21" t="str">
        <f t="shared" si="1"/>
        <v/>
      </c>
      <c r="I21" s="22" t="str">
        <f t="shared" si="2"/>
        <v/>
      </c>
      <c r="K21" s="15" t="s">
        <v>15</v>
      </c>
    </row>
    <row r="22" spans="1:11" x14ac:dyDescent="0.2">
      <c r="A22" s="16"/>
      <c r="B22" s="17"/>
      <c r="C22" s="17"/>
      <c r="D22" s="18"/>
      <c r="E22" s="19"/>
      <c r="F22" s="20"/>
      <c r="G22" s="21" t="str">
        <f t="shared" si="0"/>
        <v/>
      </c>
      <c r="H22" s="21" t="str">
        <f t="shared" si="1"/>
        <v/>
      </c>
      <c r="I22" s="22" t="str">
        <f t="shared" si="2"/>
        <v/>
      </c>
      <c r="K22" s="15" t="s">
        <v>14</v>
      </c>
    </row>
    <row r="23" spans="1:11" x14ac:dyDescent="0.2">
      <c r="A23" s="16"/>
      <c r="B23" s="17"/>
      <c r="C23" s="17"/>
      <c r="D23" s="18"/>
      <c r="E23" s="19"/>
      <c r="F23" s="20"/>
      <c r="G23" s="21" t="str">
        <f t="shared" si="0"/>
        <v/>
      </c>
      <c r="H23" s="21" t="str">
        <f t="shared" si="1"/>
        <v/>
      </c>
      <c r="I23" s="22" t="str">
        <f t="shared" si="2"/>
        <v/>
      </c>
      <c r="K23" s="15" t="s">
        <v>13</v>
      </c>
    </row>
    <row r="24" spans="1:11" x14ac:dyDescent="0.2">
      <c r="A24" s="16"/>
      <c r="B24" s="17"/>
      <c r="C24" s="17"/>
      <c r="D24" s="18"/>
      <c r="E24" s="19"/>
      <c r="F24" s="20"/>
      <c r="G24" s="21" t="str">
        <f t="shared" si="0"/>
        <v/>
      </c>
      <c r="H24" s="21" t="str">
        <f t="shared" si="1"/>
        <v/>
      </c>
      <c r="I24" s="22" t="str">
        <f t="shared" si="2"/>
        <v/>
      </c>
    </row>
    <row r="25" spans="1:11" x14ac:dyDescent="0.2">
      <c r="A25" s="16"/>
      <c r="B25" s="17"/>
      <c r="C25" s="17"/>
      <c r="D25" s="18"/>
      <c r="E25" s="19"/>
      <c r="F25" s="20"/>
      <c r="G25" s="21" t="str">
        <f t="shared" si="0"/>
        <v/>
      </c>
      <c r="H25" s="21" t="str">
        <f t="shared" si="1"/>
        <v/>
      </c>
      <c r="I25" s="22" t="str">
        <f t="shared" si="2"/>
        <v/>
      </c>
    </row>
    <row r="26" spans="1:11" x14ac:dyDescent="0.2">
      <c r="A26" s="16"/>
      <c r="B26" s="17"/>
      <c r="C26" s="17"/>
      <c r="D26" s="18"/>
      <c r="E26" s="19"/>
      <c r="F26" s="20"/>
      <c r="G26" s="21" t="str">
        <f t="shared" si="0"/>
        <v/>
      </c>
      <c r="H26" s="21" t="str">
        <f t="shared" si="1"/>
        <v/>
      </c>
      <c r="I26" s="22" t="str">
        <f t="shared" si="2"/>
        <v/>
      </c>
    </row>
    <row r="27" spans="1:11" x14ac:dyDescent="0.2">
      <c r="A27" s="16"/>
      <c r="B27" s="17"/>
      <c r="C27" s="17"/>
      <c r="D27" s="18"/>
      <c r="E27" s="19"/>
      <c r="F27" s="20"/>
      <c r="G27" s="21" t="str">
        <f t="shared" si="0"/>
        <v/>
      </c>
      <c r="H27" s="21" t="str">
        <f t="shared" si="1"/>
        <v/>
      </c>
      <c r="I27" s="22" t="str">
        <f t="shared" si="2"/>
        <v/>
      </c>
    </row>
    <row r="28" spans="1:11" x14ac:dyDescent="0.2">
      <c r="A28" s="16"/>
      <c r="B28" s="17"/>
      <c r="C28" s="17"/>
      <c r="D28" s="18"/>
      <c r="E28" s="19"/>
      <c r="F28" s="20"/>
      <c r="G28" s="21" t="str">
        <f t="shared" si="0"/>
        <v/>
      </c>
      <c r="H28" s="21" t="str">
        <f t="shared" si="1"/>
        <v/>
      </c>
      <c r="I28" s="22" t="str">
        <f t="shared" si="2"/>
        <v/>
      </c>
    </row>
    <row r="29" spans="1:11" x14ac:dyDescent="0.2">
      <c r="A29" s="16"/>
      <c r="B29" s="17"/>
      <c r="C29" s="17"/>
      <c r="D29" s="18"/>
      <c r="E29" s="19"/>
      <c r="F29" s="20"/>
      <c r="G29" s="21" t="str">
        <f t="shared" si="0"/>
        <v/>
      </c>
      <c r="H29" s="21" t="str">
        <f t="shared" si="1"/>
        <v/>
      </c>
      <c r="I29" s="22" t="str">
        <f t="shared" si="2"/>
        <v/>
      </c>
    </row>
    <row r="30" spans="1:11" x14ac:dyDescent="0.2">
      <c r="A30" s="16"/>
      <c r="B30" s="17"/>
      <c r="C30" s="17"/>
      <c r="D30" s="18"/>
      <c r="E30" s="19"/>
      <c r="F30" s="20"/>
      <c r="G30" s="21" t="str">
        <f t="shared" si="0"/>
        <v/>
      </c>
      <c r="H30" s="21" t="str">
        <f t="shared" si="1"/>
        <v/>
      </c>
      <c r="I30" s="22" t="str">
        <f t="shared" si="2"/>
        <v/>
      </c>
    </row>
    <row r="31" spans="1:11" x14ac:dyDescent="0.2">
      <c r="A31" s="16"/>
      <c r="B31" s="17"/>
      <c r="C31" s="17"/>
      <c r="D31" s="18"/>
      <c r="E31" s="19"/>
      <c r="F31" s="20"/>
      <c r="G31" s="21" t="str">
        <f t="shared" si="0"/>
        <v/>
      </c>
      <c r="H31" s="21" t="str">
        <f t="shared" si="1"/>
        <v/>
      </c>
      <c r="I31" s="22" t="str">
        <f t="shared" si="2"/>
        <v/>
      </c>
    </row>
    <row r="32" spans="1:11" x14ac:dyDescent="0.2">
      <c r="A32" s="16"/>
      <c r="B32" s="17"/>
      <c r="C32" s="17"/>
      <c r="D32" s="18"/>
      <c r="E32" s="19"/>
      <c r="F32" s="20"/>
      <c r="G32" s="21" t="str">
        <f t="shared" si="0"/>
        <v/>
      </c>
      <c r="H32" s="21" t="str">
        <f t="shared" si="1"/>
        <v/>
      </c>
      <c r="I32" s="22" t="str">
        <f t="shared" si="2"/>
        <v/>
      </c>
    </row>
    <row r="33" spans="1:9" x14ac:dyDescent="0.2">
      <c r="A33" s="16"/>
      <c r="B33" s="17"/>
      <c r="C33" s="17"/>
      <c r="D33" s="18"/>
      <c r="E33" s="19"/>
      <c r="F33" s="20"/>
      <c r="G33" s="21" t="str">
        <f t="shared" si="0"/>
        <v/>
      </c>
      <c r="H33" s="21" t="str">
        <f t="shared" si="1"/>
        <v/>
      </c>
      <c r="I33" s="22" t="str">
        <f t="shared" si="2"/>
        <v/>
      </c>
    </row>
    <row r="34" spans="1:9" x14ac:dyDescent="0.2">
      <c r="A34" s="16"/>
      <c r="B34" s="17"/>
      <c r="C34" s="17"/>
      <c r="D34" s="18"/>
      <c r="E34" s="19"/>
      <c r="F34" s="20"/>
      <c r="G34" s="21" t="str">
        <f t="shared" si="0"/>
        <v/>
      </c>
      <c r="H34" s="21" t="str">
        <f t="shared" si="1"/>
        <v/>
      </c>
      <c r="I34" s="22" t="str">
        <f t="shared" si="2"/>
        <v/>
      </c>
    </row>
    <row r="35" spans="1:9" x14ac:dyDescent="0.2">
      <c r="A35" s="16"/>
      <c r="B35" s="17"/>
      <c r="C35" s="17"/>
      <c r="D35" s="18"/>
      <c r="E35" s="19"/>
      <c r="F35" s="20"/>
      <c r="G35" s="21" t="str">
        <f t="shared" si="0"/>
        <v/>
      </c>
      <c r="H35" s="21" t="str">
        <f t="shared" si="1"/>
        <v/>
      </c>
      <c r="I35" s="22" t="str">
        <f t="shared" si="2"/>
        <v/>
      </c>
    </row>
    <row r="36" spans="1:9" x14ac:dyDescent="0.2">
      <c r="A36" s="16"/>
      <c r="B36" s="17"/>
      <c r="C36" s="17"/>
      <c r="D36" s="18"/>
      <c r="E36" s="19"/>
      <c r="F36" s="20"/>
      <c r="G36" s="21" t="str">
        <f t="shared" si="0"/>
        <v/>
      </c>
      <c r="H36" s="21" t="str">
        <f t="shared" si="1"/>
        <v/>
      </c>
      <c r="I36" s="22" t="str">
        <f t="shared" si="2"/>
        <v/>
      </c>
    </row>
    <row r="37" spans="1:9" x14ac:dyDescent="0.2">
      <c r="A37" s="16"/>
      <c r="B37" s="17"/>
      <c r="C37" s="17"/>
      <c r="D37" s="18"/>
      <c r="E37" s="19"/>
      <c r="F37" s="20"/>
      <c r="G37" s="21" t="str">
        <f t="shared" si="0"/>
        <v/>
      </c>
      <c r="H37" s="21" t="str">
        <f t="shared" si="1"/>
        <v/>
      </c>
      <c r="I37" s="22" t="str">
        <f t="shared" si="2"/>
        <v/>
      </c>
    </row>
    <row r="38" spans="1:9" x14ac:dyDescent="0.2">
      <c r="A38" s="16"/>
      <c r="B38" s="17"/>
      <c r="C38" s="17"/>
      <c r="D38" s="18"/>
      <c r="E38" s="19"/>
      <c r="F38" s="20"/>
      <c r="G38" s="21" t="str">
        <f t="shared" si="0"/>
        <v/>
      </c>
      <c r="H38" s="21" t="str">
        <f t="shared" si="1"/>
        <v/>
      </c>
      <c r="I38" s="22" t="str">
        <f t="shared" si="2"/>
        <v/>
      </c>
    </row>
    <row r="39" spans="1:9" x14ac:dyDescent="0.2">
      <c r="A39" s="16"/>
      <c r="B39" s="17"/>
      <c r="C39" s="17"/>
      <c r="D39" s="18"/>
      <c r="E39" s="19"/>
      <c r="F39" s="20"/>
      <c r="G39" s="21" t="str">
        <f t="shared" si="0"/>
        <v/>
      </c>
      <c r="H39" s="21" t="str">
        <f t="shared" si="1"/>
        <v/>
      </c>
      <c r="I39" s="22" t="str">
        <f t="shared" si="2"/>
        <v/>
      </c>
    </row>
    <row r="40" spans="1:9" x14ac:dyDescent="0.2">
      <c r="A40" s="16"/>
      <c r="B40" s="17"/>
      <c r="C40" s="17"/>
      <c r="D40" s="18"/>
      <c r="E40" s="19"/>
      <c r="F40" s="20"/>
      <c r="G40" s="21" t="str">
        <f t="shared" si="0"/>
        <v/>
      </c>
      <c r="H40" s="21" t="str">
        <f t="shared" si="1"/>
        <v/>
      </c>
      <c r="I40" s="22" t="str">
        <f t="shared" si="2"/>
        <v/>
      </c>
    </row>
    <row r="41" spans="1:9" x14ac:dyDescent="0.2">
      <c r="A41" s="16"/>
      <c r="B41" s="17"/>
      <c r="C41" s="17"/>
      <c r="D41" s="18"/>
      <c r="E41" s="19"/>
      <c r="F41" s="20"/>
      <c r="G41" s="21" t="str">
        <f t="shared" si="0"/>
        <v/>
      </c>
      <c r="H41" s="21" t="str">
        <f t="shared" si="1"/>
        <v/>
      </c>
      <c r="I41" s="22" t="str">
        <f t="shared" si="2"/>
        <v/>
      </c>
    </row>
    <row r="42" spans="1:9" x14ac:dyDescent="0.2">
      <c r="A42" s="16"/>
      <c r="B42" s="17"/>
      <c r="C42" s="17"/>
      <c r="D42" s="18"/>
      <c r="E42" s="19"/>
      <c r="F42" s="20"/>
      <c r="G42" s="21" t="str">
        <f t="shared" si="0"/>
        <v/>
      </c>
      <c r="H42" s="21" t="str">
        <f t="shared" si="1"/>
        <v/>
      </c>
      <c r="I42" s="22" t="str">
        <f t="shared" si="2"/>
        <v/>
      </c>
    </row>
    <row r="43" spans="1:9" x14ac:dyDescent="0.2">
      <c r="A43" s="16"/>
      <c r="B43" s="17"/>
      <c r="C43" s="17"/>
      <c r="D43" s="18"/>
      <c r="E43" s="19"/>
      <c r="F43" s="20"/>
      <c r="G43" s="21" t="str">
        <f t="shared" si="0"/>
        <v/>
      </c>
      <c r="H43" s="21" t="str">
        <f t="shared" si="1"/>
        <v/>
      </c>
      <c r="I43" s="22" t="str">
        <f t="shared" si="2"/>
        <v/>
      </c>
    </row>
    <row r="44" spans="1:9" x14ac:dyDescent="0.2">
      <c r="A44" s="16"/>
      <c r="B44" s="17"/>
      <c r="C44" s="17"/>
      <c r="D44" s="18"/>
      <c r="E44" s="19"/>
      <c r="F44" s="20"/>
      <c r="G44" s="21" t="str">
        <f t="shared" si="0"/>
        <v/>
      </c>
      <c r="H44" s="21" t="str">
        <f t="shared" si="1"/>
        <v/>
      </c>
      <c r="I44" s="22" t="str">
        <f t="shared" si="2"/>
        <v/>
      </c>
    </row>
    <row r="45" spans="1:9" x14ac:dyDescent="0.2">
      <c r="A45" s="16"/>
      <c r="B45" s="17"/>
      <c r="C45" s="17"/>
      <c r="D45" s="18"/>
      <c r="E45" s="19"/>
      <c r="F45" s="20"/>
      <c r="G45" s="21" t="str">
        <f t="shared" si="0"/>
        <v/>
      </c>
      <c r="H45" s="21" t="str">
        <f t="shared" si="1"/>
        <v/>
      </c>
      <c r="I45" s="22" t="str">
        <f t="shared" si="2"/>
        <v/>
      </c>
    </row>
    <row r="46" spans="1:9" x14ac:dyDescent="0.2">
      <c r="A46" s="16"/>
      <c r="B46" s="17"/>
      <c r="C46" s="17"/>
      <c r="D46" s="18"/>
      <c r="E46" s="19"/>
      <c r="F46" s="20"/>
      <c r="G46" s="21" t="str">
        <f t="shared" si="0"/>
        <v/>
      </c>
      <c r="H46" s="21" t="str">
        <f t="shared" si="1"/>
        <v/>
      </c>
      <c r="I46" s="22" t="str">
        <f t="shared" si="2"/>
        <v/>
      </c>
    </row>
    <row r="47" spans="1:9" x14ac:dyDescent="0.2">
      <c r="A47" s="16"/>
      <c r="B47" s="17"/>
      <c r="C47" s="17"/>
      <c r="D47" s="18"/>
      <c r="E47" s="19"/>
      <c r="F47" s="20"/>
      <c r="G47" s="21" t="str">
        <f t="shared" si="0"/>
        <v/>
      </c>
      <c r="H47" s="21" t="str">
        <f t="shared" si="1"/>
        <v/>
      </c>
      <c r="I47" s="22" t="str">
        <f t="shared" si="2"/>
        <v/>
      </c>
    </row>
    <row r="48" spans="1:9" x14ac:dyDescent="0.2">
      <c r="A48" s="16"/>
      <c r="B48" s="17"/>
      <c r="C48" s="17"/>
      <c r="D48" s="18"/>
      <c r="E48" s="19"/>
      <c r="F48" s="20"/>
      <c r="G48" s="21" t="str">
        <f t="shared" si="0"/>
        <v/>
      </c>
      <c r="H48" s="21" t="str">
        <f t="shared" si="1"/>
        <v/>
      </c>
      <c r="I48" s="22" t="str">
        <f t="shared" si="2"/>
        <v/>
      </c>
    </row>
    <row r="49" spans="1:9" x14ac:dyDescent="0.2">
      <c r="A49" s="16"/>
      <c r="B49" s="17"/>
      <c r="C49" s="17"/>
      <c r="D49" s="18"/>
      <c r="E49" s="19"/>
      <c r="F49" s="20"/>
      <c r="G49" s="21" t="str">
        <f t="shared" si="0"/>
        <v/>
      </c>
      <c r="H49" s="21" t="str">
        <f t="shared" si="1"/>
        <v/>
      </c>
      <c r="I49" s="22" t="str">
        <f t="shared" si="2"/>
        <v/>
      </c>
    </row>
    <row r="50" spans="1:9" x14ac:dyDescent="0.2">
      <c r="A50" s="16"/>
      <c r="B50" s="17"/>
      <c r="C50" s="17"/>
      <c r="D50" s="18"/>
      <c r="E50" s="19"/>
      <c r="F50" s="20"/>
      <c r="G50" s="21" t="str">
        <f t="shared" si="0"/>
        <v/>
      </c>
      <c r="H50" s="21" t="str">
        <f t="shared" si="1"/>
        <v/>
      </c>
      <c r="I50" s="22" t="str">
        <f t="shared" si="2"/>
        <v/>
      </c>
    </row>
    <row r="51" spans="1:9" x14ac:dyDescent="0.2">
      <c r="A51" s="16"/>
      <c r="B51" s="17"/>
      <c r="C51" s="17"/>
      <c r="D51" s="18"/>
      <c r="E51" s="19"/>
      <c r="F51" s="20"/>
      <c r="G51" s="21" t="str">
        <f t="shared" si="0"/>
        <v/>
      </c>
      <c r="H51" s="21" t="str">
        <f t="shared" si="1"/>
        <v/>
      </c>
      <c r="I51" s="22" t="str">
        <f t="shared" si="2"/>
        <v/>
      </c>
    </row>
    <row r="52" spans="1:9" x14ac:dyDescent="0.2">
      <c r="A52" s="16"/>
      <c r="B52" s="17"/>
      <c r="C52" s="17"/>
      <c r="D52" s="18"/>
      <c r="E52" s="19"/>
      <c r="F52" s="20"/>
      <c r="G52" s="21" t="str">
        <f t="shared" si="0"/>
        <v/>
      </c>
      <c r="H52" s="21" t="str">
        <f t="shared" si="1"/>
        <v/>
      </c>
      <c r="I52" s="22" t="str">
        <f t="shared" si="2"/>
        <v/>
      </c>
    </row>
    <row r="53" spans="1:9" x14ac:dyDescent="0.2">
      <c r="A53" s="16"/>
      <c r="B53" s="17"/>
      <c r="C53" s="17"/>
      <c r="D53" s="18"/>
      <c r="E53" s="19"/>
      <c r="F53" s="20"/>
      <c r="G53" s="21" t="str">
        <f t="shared" si="0"/>
        <v/>
      </c>
      <c r="H53" s="21" t="str">
        <f t="shared" si="1"/>
        <v/>
      </c>
      <c r="I53" s="22" t="str">
        <f t="shared" si="2"/>
        <v/>
      </c>
    </row>
    <row r="54" spans="1:9" x14ac:dyDescent="0.2">
      <c r="A54" s="16"/>
      <c r="B54" s="17"/>
      <c r="C54" s="17"/>
      <c r="D54" s="18"/>
      <c r="E54" s="19"/>
      <c r="F54" s="20"/>
      <c r="G54" s="21" t="str">
        <f t="shared" si="0"/>
        <v/>
      </c>
      <c r="H54" s="21" t="str">
        <f t="shared" si="1"/>
        <v/>
      </c>
      <c r="I54" s="22" t="str">
        <f t="shared" si="2"/>
        <v/>
      </c>
    </row>
    <row r="55" spans="1:9" x14ac:dyDescent="0.2">
      <c r="A55" s="16"/>
      <c r="B55" s="17"/>
      <c r="C55" s="17"/>
      <c r="D55" s="18"/>
      <c r="E55" s="19"/>
      <c r="F55" s="20"/>
      <c r="G55" s="21" t="str">
        <f>IF(ISBLANK(F55),"",B55*F55)</f>
        <v/>
      </c>
      <c r="H55" s="21" t="str">
        <f>IF(ISBLANK(F55),"",C55*F55)</f>
        <v/>
      </c>
      <c r="I55" s="22" t="str">
        <f>IF(ISBLANK(F55),"",D55*F55)</f>
        <v/>
      </c>
    </row>
    <row r="56" spans="1:9" x14ac:dyDescent="0.2">
      <c r="A56" s="16"/>
      <c r="B56" s="23"/>
      <c r="C56" s="23"/>
      <c r="D56" s="18"/>
      <c r="E56" s="19"/>
      <c r="F56" s="20"/>
      <c r="G56" s="21" t="str">
        <f>IF(ISBLANK(F56),"",B56*F56)</f>
        <v/>
      </c>
      <c r="H56" s="21" t="str">
        <f>IF(ISBLANK(F56),"",C56*F56)</f>
        <v/>
      </c>
      <c r="I56" s="22" t="str">
        <f>IF(ISBLANK(F56),"",D56*F56)</f>
        <v/>
      </c>
    </row>
    <row r="59" spans="1:9" x14ac:dyDescent="0.2">
      <c r="B59" s="423" t="s">
        <v>2555</v>
      </c>
      <c r="C59" s="423" t="s">
        <v>2556</v>
      </c>
    </row>
    <row r="60" spans="1:9" ht="12.75" x14ac:dyDescent="0.2">
      <c r="A60" s="24" t="s">
        <v>12</v>
      </c>
      <c r="B60" s="887"/>
      <c r="C60" s="883"/>
    </row>
    <row r="61" spans="1:9" x14ac:dyDescent="0.2">
      <c r="B61" s="888"/>
      <c r="C61" s="884"/>
    </row>
    <row r="62" spans="1:9" ht="12.75" x14ac:dyDescent="0.2">
      <c r="A62" s="24" t="s">
        <v>2547</v>
      </c>
      <c r="B62" s="889"/>
      <c r="C62" s="885"/>
    </row>
    <row r="63" spans="1:9" x14ac:dyDescent="0.2">
      <c r="B63" s="890"/>
      <c r="C63" s="886"/>
    </row>
  </sheetData>
  <sheetProtection selectLockedCells="1"/>
  <mergeCells count="13">
    <mergeCell ref="C60:C61"/>
    <mergeCell ref="C62:C63"/>
    <mergeCell ref="B60:B61"/>
    <mergeCell ref="B62:B63"/>
    <mergeCell ref="A6:F6"/>
    <mergeCell ref="G6:I6"/>
    <mergeCell ref="A1:I1"/>
    <mergeCell ref="E3:G3"/>
    <mergeCell ref="E4:G4"/>
    <mergeCell ref="H4:I5"/>
    <mergeCell ref="E5:G5"/>
    <mergeCell ref="A2:B2"/>
    <mergeCell ref="C2:I2"/>
  </mergeCells>
  <dataValidations count="1">
    <dataValidation type="list" allowBlank="1" showInputMessage="1" showErrorMessage="1" sqref="E8:E56" xr:uid="{00000000-0002-0000-0300-000000000000}">
      <formula1>$K$21:$K$23</formula1>
    </dataValidation>
  </dataValidations>
  <printOptions horizontalCentered="1"/>
  <pageMargins left="0.23622047244094491" right="0.23622047244094491" top="0.62992125984251968" bottom="0.43307086614173229" header="0.51181102362204722" footer="0.31496062992125984"/>
  <pageSetup paperSize="9" scale="86" orientation="portrait" r:id="rId1"/>
  <headerFooter>
    <oddFooter>&amp;RPar. Dim. (V. 2.0 del 16.06.2015)</oddFooter>
  </headerFooter>
  <drawing r:id="rId2"/>
  <legacyDrawing r:id="rId3"/>
  <controls>
    <mc:AlternateContent xmlns:mc="http://schemas.openxmlformats.org/markup-compatibility/2006">
      <mc:Choice Requires="x14">
        <control shapeId="1025" r:id="rId4" name="cmd_Diagr">
          <controlPr locked="0" defaultSize="0" print="0" autoLine="0" r:id="rId5">
            <anchor moveWithCells="1">
              <from>
                <xdr:col>9</xdr:col>
                <xdr:colOff>409575</xdr:colOff>
                <xdr:row>1</xdr:row>
                <xdr:rowOff>76200</xdr:rowOff>
              </from>
              <to>
                <xdr:col>11</xdr:col>
                <xdr:colOff>57150</xdr:colOff>
                <xdr:row>2</xdr:row>
                <xdr:rowOff>123825</xdr:rowOff>
              </to>
            </anchor>
          </controlPr>
        </control>
      </mc:Choice>
      <mc:Fallback>
        <control shapeId="1025" r:id="rId4" name="cmd_Diagr"/>
      </mc:Fallback>
    </mc:AlternateContent>
    <mc:AlternateContent xmlns:mc="http://schemas.openxmlformats.org/markup-compatibility/2006">
      <mc:Choice Requires="x14">
        <control shapeId="1026" r:id="rId6" name="cmd_Aggmpr">
          <controlPr defaultSize="0" print="0" disabled="1" autoLine="0" r:id="rId7">
            <anchor moveWithCells="1">
              <from>
                <xdr:col>9</xdr:col>
                <xdr:colOff>409575</xdr:colOff>
                <xdr:row>2</xdr:row>
                <xdr:rowOff>152400</xdr:rowOff>
              </from>
              <to>
                <xdr:col>11</xdr:col>
                <xdr:colOff>57150</xdr:colOff>
                <xdr:row>3</xdr:row>
                <xdr:rowOff>190500</xdr:rowOff>
              </to>
            </anchor>
          </controlPr>
        </control>
      </mc:Choice>
      <mc:Fallback>
        <control shapeId="1026" r:id="rId6" name="cmd_Aggmpr"/>
      </mc:Fallback>
    </mc:AlternateContent>
    <mc:AlternateContent xmlns:mc="http://schemas.openxmlformats.org/markup-compatibility/2006">
      <mc:Choice Requires="x14">
        <control shapeId="1027" r:id="rId8" name="CommandButton21">
          <controlPr defaultSize="0" print="0" autoLine="0" r:id="rId9">
            <anchor moveWithCells="1">
              <from>
                <xdr:col>9</xdr:col>
                <xdr:colOff>409575</xdr:colOff>
                <xdr:row>3</xdr:row>
                <xdr:rowOff>219075</xdr:rowOff>
              </from>
              <to>
                <xdr:col>11</xdr:col>
                <xdr:colOff>57150</xdr:colOff>
                <xdr:row>4</xdr:row>
                <xdr:rowOff>85725</xdr:rowOff>
              </to>
            </anchor>
          </controlPr>
        </control>
      </mc:Choice>
      <mc:Fallback>
        <control shapeId="1027" r:id="rId8" name="CommandButton21"/>
      </mc:Fallback>
    </mc:AlternateContent>
  </controls>
  <tableParts count="1">
    <tablePart r:id="rId10"/>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3"/>
  <dimension ref="A1:DE23"/>
  <sheetViews>
    <sheetView topLeftCell="CF1" zoomScaleNormal="100" workbookViewId="0">
      <selection activeCell="DA3" sqref="DA3"/>
    </sheetView>
  </sheetViews>
  <sheetFormatPr defaultColWidth="9.140625" defaultRowHeight="11.25" x14ac:dyDescent="0.2"/>
  <cols>
    <col min="1" max="1" width="15" style="298" bestFit="1" customWidth="1"/>
    <col min="2" max="2" width="9.140625" style="298"/>
    <col min="3" max="3" width="25.85546875" style="298" bestFit="1" customWidth="1"/>
    <col min="4" max="4" width="9.140625" style="298"/>
    <col min="5" max="5" width="25.5703125" style="298" customWidth="1"/>
    <col min="6" max="6" width="3.42578125" style="298" bestFit="1" customWidth="1"/>
    <col min="7" max="7" width="24.5703125" style="298" bestFit="1" customWidth="1"/>
    <col min="8" max="8" width="3.28515625" style="298" bestFit="1" customWidth="1"/>
    <col min="9" max="9" width="45.5703125" style="298" bestFit="1" customWidth="1"/>
    <col min="10" max="10" width="3.28515625" style="298" bestFit="1" customWidth="1"/>
    <col min="11" max="11" width="13.85546875" style="298" bestFit="1" customWidth="1"/>
    <col min="12" max="12" width="3.28515625" style="298" bestFit="1" customWidth="1"/>
    <col min="13" max="13" width="12.7109375" style="298" bestFit="1" customWidth="1"/>
    <col min="14" max="14" width="4.5703125" style="298" bestFit="1" customWidth="1"/>
    <col min="15" max="15" width="25.85546875" style="298" bestFit="1" customWidth="1"/>
    <col min="16" max="16" width="4.28515625" style="298" bestFit="1" customWidth="1"/>
    <col min="17" max="17" width="62.42578125" style="298" bestFit="1" customWidth="1"/>
    <col min="18" max="18" width="3" style="298" bestFit="1" customWidth="1"/>
    <col min="19" max="19" width="19.7109375" style="298" bestFit="1" customWidth="1"/>
    <col min="20" max="20" width="9.140625" style="298"/>
    <col min="21" max="21" width="23.140625" style="298" customWidth="1"/>
    <col min="22" max="22" width="2" style="298" bestFit="1" customWidth="1"/>
    <col min="23" max="23" width="13.85546875" style="298" customWidth="1"/>
    <col min="24" max="24" width="11.140625" style="298" bestFit="1" customWidth="1"/>
    <col min="25" max="25" width="9.140625" style="298"/>
    <col min="26" max="26" width="16.7109375" style="298" bestFit="1" customWidth="1"/>
    <col min="27" max="27" width="9.140625" style="298"/>
    <col min="28" max="28" width="25" style="298" bestFit="1" customWidth="1"/>
    <col min="29" max="29" width="9.140625" style="298"/>
    <col min="30" max="30" width="14.85546875" style="298" bestFit="1" customWidth="1"/>
    <col min="31" max="31" width="9.140625" style="298"/>
    <col min="32" max="32" width="27" style="298" bestFit="1" customWidth="1"/>
    <col min="33" max="33" width="9.140625" style="298"/>
    <col min="34" max="34" width="22" style="298" bestFit="1" customWidth="1"/>
    <col min="35" max="35" width="9.140625" style="298"/>
    <col min="36" max="36" width="25.28515625" style="298" bestFit="1" customWidth="1"/>
    <col min="37" max="37" width="9.140625" style="298"/>
    <col min="38" max="38" width="25.28515625" style="298" bestFit="1" customWidth="1"/>
    <col min="39" max="39" width="9.140625" style="298"/>
    <col min="40" max="40" width="112.140625" style="298" bestFit="1" customWidth="1"/>
    <col min="41" max="41" width="2.5703125" style="298" bestFit="1" customWidth="1"/>
    <col min="42" max="42" width="24.85546875" style="298" bestFit="1" customWidth="1"/>
    <col min="43" max="43" width="6.85546875" style="298" bestFit="1" customWidth="1"/>
    <col min="44" max="44" width="9.140625" style="298"/>
    <col min="45" max="45" width="31.28515625" style="298" bestFit="1" customWidth="1"/>
    <col min="46" max="46" width="9.85546875" style="298" bestFit="1" customWidth="1"/>
    <col min="47" max="47" width="9.140625" style="298"/>
    <col min="48" max="48" width="37.28515625" style="298" bestFit="1" customWidth="1"/>
    <col min="49" max="49" width="2.5703125" style="298" bestFit="1" customWidth="1"/>
    <col min="50" max="50" width="9.140625" style="298"/>
    <col min="51" max="51" width="30.140625" style="298" bestFit="1" customWidth="1"/>
    <col min="52" max="52" width="9.140625" style="298"/>
    <col min="53" max="53" width="39.7109375" style="298" bestFit="1" customWidth="1"/>
    <col min="54" max="54" width="3.7109375" style="298" customWidth="1"/>
    <col min="55" max="55" width="29.5703125" style="298" bestFit="1" customWidth="1"/>
    <col min="56" max="56" width="3.85546875" style="298" customWidth="1"/>
    <col min="57" max="57" width="14.42578125" style="298" bestFit="1" customWidth="1"/>
    <col min="58" max="58" width="2.85546875" style="298" customWidth="1"/>
    <col min="59" max="59" width="12.42578125" style="298" bestFit="1" customWidth="1"/>
    <col min="60" max="60" width="8.28515625" style="298" bestFit="1" customWidth="1"/>
    <col min="61" max="61" width="5.5703125" style="298" bestFit="1" customWidth="1"/>
    <col min="62" max="62" width="21" style="298" bestFit="1" customWidth="1"/>
    <col min="63" max="63" width="9.140625" style="298"/>
    <col min="64" max="64" width="13" style="298" bestFit="1" customWidth="1"/>
    <col min="65" max="65" width="9.140625" style="298"/>
    <col min="66" max="66" width="13.85546875" style="298" bestFit="1" customWidth="1"/>
    <col min="67" max="67" width="9.140625" style="298"/>
    <col min="68" max="68" width="14" style="298" bestFit="1" customWidth="1"/>
    <col min="69" max="69" width="9.140625" style="298"/>
    <col min="70" max="70" width="21.7109375" style="298" bestFit="1" customWidth="1"/>
    <col min="71" max="71" width="9.140625" style="298"/>
    <col min="72" max="72" width="18.5703125" style="298" bestFit="1" customWidth="1"/>
    <col min="73" max="73" width="1.85546875" style="298" bestFit="1" customWidth="1"/>
    <col min="74" max="75" width="9.140625" style="298"/>
    <col min="76" max="76" width="10.85546875" style="298" bestFit="1" customWidth="1"/>
    <col min="77" max="77" width="1.85546875" style="298" bestFit="1" customWidth="1"/>
    <col min="78" max="78" width="9.140625" style="298"/>
    <col min="79" max="79" width="19.28515625" style="298" bestFit="1" customWidth="1"/>
    <col min="80" max="80" width="28.7109375" style="298" bestFit="1" customWidth="1"/>
    <col min="81" max="81" width="9.140625" style="298"/>
    <col min="82" max="82" width="13.42578125" style="298" bestFit="1" customWidth="1"/>
    <col min="83" max="83" width="9.140625" style="298"/>
    <col min="84" max="84" width="24.85546875" style="298" bestFit="1" customWidth="1"/>
    <col min="85" max="85" width="9.140625" style="298"/>
    <col min="86" max="86" width="19.5703125" style="298" bestFit="1" customWidth="1"/>
    <col min="87" max="87" width="9.140625" style="298"/>
    <col min="88" max="88" width="14.5703125" style="298" bestFit="1" customWidth="1"/>
    <col min="89" max="89" width="9.140625" style="298"/>
    <col min="90" max="90" width="14" style="298" bestFit="1" customWidth="1"/>
    <col min="91" max="91" width="9.140625" style="298"/>
    <col min="92" max="92" width="15.7109375" style="298" bestFit="1" customWidth="1"/>
    <col min="93" max="93" width="9.140625" style="298"/>
    <col min="94" max="95" width="13.42578125" style="298" bestFit="1" customWidth="1"/>
    <col min="96" max="96" width="9.140625" style="298"/>
    <col min="97" max="97" width="15" style="298" bestFit="1" customWidth="1"/>
    <col min="98" max="99" width="9.140625" style="298"/>
    <col min="100" max="100" width="25.85546875" style="298" bestFit="1" customWidth="1"/>
    <col min="101" max="102" width="9.140625" style="298"/>
    <col min="103" max="103" width="51.7109375" style="298" bestFit="1" customWidth="1"/>
    <col min="104" max="104" width="9.140625" style="298"/>
    <col min="105" max="105" width="28.5703125" style="298" bestFit="1" customWidth="1"/>
    <col min="106" max="106" width="9.140625" style="298"/>
    <col min="107" max="107" width="24" style="298" bestFit="1" customWidth="1"/>
    <col min="108" max="108" width="9.140625" style="298"/>
    <col min="109" max="109" width="51.85546875" style="298" bestFit="1" customWidth="1"/>
    <col min="110" max="16384" width="9.140625" style="298"/>
  </cols>
  <sheetData>
    <row r="1" spans="1:109" s="338" customFormat="1" x14ac:dyDescent="0.2">
      <c r="A1" s="338" t="s">
        <v>122</v>
      </c>
      <c r="C1" s="338" t="s">
        <v>262</v>
      </c>
      <c r="E1" s="338" t="s">
        <v>261</v>
      </c>
      <c r="G1" s="338" t="s">
        <v>260</v>
      </c>
      <c r="I1" s="338" t="s">
        <v>259</v>
      </c>
      <c r="K1" s="338" t="s">
        <v>258</v>
      </c>
      <c r="M1" s="338" t="s">
        <v>77</v>
      </c>
      <c r="O1" s="338" t="s">
        <v>257</v>
      </c>
      <c r="Q1" s="338" t="s">
        <v>101</v>
      </c>
      <c r="S1" s="338" t="s">
        <v>111</v>
      </c>
      <c r="U1" s="338" t="s">
        <v>99</v>
      </c>
      <c r="W1" s="338" t="s">
        <v>3449</v>
      </c>
      <c r="X1" s="338" t="s">
        <v>103</v>
      </c>
      <c r="Z1" s="338" t="s">
        <v>106</v>
      </c>
      <c r="AB1" s="338" t="s">
        <v>113</v>
      </c>
      <c r="AD1" s="338" t="s">
        <v>95</v>
      </c>
      <c r="AF1" s="338" t="s">
        <v>75</v>
      </c>
      <c r="AH1" s="338" t="s">
        <v>223</v>
      </c>
      <c r="AJ1" s="338" t="s">
        <v>74</v>
      </c>
      <c r="AL1" s="338" t="s">
        <v>256</v>
      </c>
      <c r="AN1" s="338" t="s">
        <v>255</v>
      </c>
      <c r="AO1" s="338" t="s">
        <v>125</v>
      </c>
      <c r="AP1" s="339" t="s">
        <v>57</v>
      </c>
      <c r="AQ1" s="339" t="s">
        <v>254</v>
      </c>
      <c r="AR1" s="340"/>
      <c r="AS1" s="338" t="s">
        <v>253</v>
      </c>
      <c r="AT1" s="338" t="s">
        <v>252</v>
      </c>
      <c r="AV1" s="338" t="s">
        <v>251</v>
      </c>
      <c r="AW1" s="338" t="s">
        <v>125</v>
      </c>
      <c r="AY1" s="338" t="s">
        <v>250</v>
      </c>
      <c r="BA1" s="338" t="s">
        <v>249</v>
      </c>
      <c r="BC1" s="341" t="s">
        <v>248</v>
      </c>
      <c r="BE1" s="338" t="s">
        <v>2196</v>
      </c>
      <c r="BG1" s="338" t="s">
        <v>2208</v>
      </c>
      <c r="BH1" s="891" t="s">
        <v>2209</v>
      </c>
      <c r="BI1" s="891"/>
      <c r="BJ1" s="338" t="s">
        <v>2229</v>
      </c>
      <c r="BL1" s="338" t="s">
        <v>2236</v>
      </c>
      <c r="BN1" s="338" t="s">
        <v>2240</v>
      </c>
      <c r="BP1" s="338" t="s">
        <v>2247</v>
      </c>
      <c r="BR1" s="338" t="s">
        <v>2278</v>
      </c>
      <c r="BT1" s="338" t="s">
        <v>2299</v>
      </c>
      <c r="BU1" s="338" t="s">
        <v>125</v>
      </c>
      <c r="BV1" s="338" t="s">
        <v>2329</v>
      </c>
      <c r="BX1" s="338" t="s">
        <v>2317</v>
      </c>
      <c r="BY1" s="338" t="s">
        <v>125</v>
      </c>
      <c r="CA1" s="338" t="s">
        <v>2310</v>
      </c>
      <c r="CB1" s="338" t="s">
        <v>2321</v>
      </c>
      <c r="CD1" s="338" t="s">
        <v>2339</v>
      </c>
      <c r="CF1" s="338" t="s">
        <v>2586</v>
      </c>
      <c r="CH1" s="338" t="s">
        <v>2590</v>
      </c>
      <c r="CJ1" s="338" t="s">
        <v>2597</v>
      </c>
      <c r="CL1" s="338" t="s">
        <v>2235</v>
      </c>
      <c r="CN1" s="338" t="s">
        <v>3411</v>
      </c>
      <c r="CP1" s="338" t="s">
        <v>3415</v>
      </c>
      <c r="CQ1" s="338" t="s">
        <v>3415</v>
      </c>
      <c r="CS1" s="338" t="s">
        <v>3433</v>
      </c>
      <c r="CT1" s="338" t="s">
        <v>125</v>
      </c>
      <c r="CV1" s="338" t="s">
        <v>3501</v>
      </c>
      <c r="CY1" s="338" t="s">
        <v>3520</v>
      </c>
      <c r="DA1" s="338" t="s">
        <v>3647</v>
      </c>
      <c r="DC1" s="338" t="s">
        <v>3541</v>
      </c>
      <c r="DE1" s="338" t="s">
        <v>3579</v>
      </c>
    </row>
    <row r="2" spans="1:109" s="338" customFormat="1" x14ac:dyDescent="0.2">
      <c r="AP2" s="340"/>
      <c r="AQ2" s="340"/>
      <c r="AR2" s="340"/>
      <c r="BC2" s="341"/>
      <c r="BH2" s="637"/>
      <c r="BI2" s="637"/>
      <c r="DE2" s="298" t="s">
        <v>3640</v>
      </c>
    </row>
    <row r="3" spans="1:109" x14ac:dyDescent="0.2">
      <c r="A3" s="298" t="s">
        <v>116</v>
      </c>
      <c r="C3" s="342" t="s">
        <v>119</v>
      </c>
      <c r="E3" s="298" t="s">
        <v>116</v>
      </c>
      <c r="G3" s="298" t="s">
        <v>116</v>
      </c>
      <c r="I3" s="298" t="s">
        <v>44</v>
      </c>
      <c r="J3" s="298" t="s">
        <v>247</v>
      </c>
      <c r="K3" s="298" t="s">
        <v>116</v>
      </c>
      <c r="M3" s="298" t="s">
        <v>116</v>
      </c>
      <c r="O3" s="298" t="s">
        <v>246</v>
      </c>
      <c r="P3" s="298" t="s">
        <v>245</v>
      </c>
      <c r="Q3" s="298" t="s">
        <v>244</v>
      </c>
      <c r="R3" s="298">
        <v>1</v>
      </c>
      <c r="S3" s="298" t="s">
        <v>116</v>
      </c>
      <c r="U3" s="298" t="s">
        <v>243</v>
      </c>
      <c r="V3" s="298">
        <v>1</v>
      </c>
      <c r="X3" s="298" t="s">
        <v>29</v>
      </c>
      <c r="Z3" s="298" t="s">
        <v>29</v>
      </c>
      <c r="AB3" s="298" t="s">
        <v>242</v>
      </c>
      <c r="AD3" s="298" t="s">
        <v>23</v>
      </c>
      <c r="AF3" s="298" t="s">
        <v>74</v>
      </c>
      <c r="AH3" s="298" t="s">
        <v>107</v>
      </c>
      <c r="AJ3" s="298" t="s">
        <v>241</v>
      </c>
      <c r="AL3" s="298" t="str">
        <f>IF('CHECK_2.9'!$C$49=VAR_1!$AF$3,VAR_1!AJ3,AH3)</f>
        <v>IMPRESA FEMMINILE</v>
      </c>
      <c r="AN3" s="298" t="s">
        <v>240</v>
      </c>
      <c r="AO3" s="298">
        <v>0</v>
      </c>
      <c r="AP3" s="298" t="s">
        <v>239</v>
      </c>
      <c r="AQ3" s="298">
        <v>0</v>
      </c>
      <c r="AS3" s="298" t="s">
        <v>238</v>
      </c>
      <c r="AT3" s="298">
        <v>7</v>
      </c>
      <c r="AV3" s="298" t="s">
        <v>42</v>
      </c>
      <c r="AW3" s="298">
        <v>1</v>
      </c>
      <c r="AY3" s="298" t="s">
        <v>237</v>
      </c>
      <c r="BA3" s="298" t="s">
        <v>23</v>
      </c>
      <c r="BB3" s="298">
        <v>0</v>
      </c>
      <c r="BC3" s="342" t="s">
        <v>116</v>
      </c>
      <c r="BE3" s="298" t="s">
        <v>2197</v>
      </c>
      <c r="BG3" s="298" t="s">
        <v>2215</v>
      </c>
      <c r="BH3" s="298" t="s">
        <v>2234</v>
      </c>
      <c r="BI3" s="298" t="s">
        <v>2233</v>
      </c>
      <c r="BJ3" s="298" t="s">
        <v>2230</v>
      </c>
      <c r="BL3" s="298" t="s">
        <v>2239</v>
      </c>
      <c r="BN3" s="298" t="s">
        <v>2245</v>
      </c>
      <c r="BP3" s="298" t="s">
        <v>2248</v>
      </c>
      <c r="BR3" s="298" t="s">
        <v>240</v>
      </c>
      <c r="BT3" s="298" t="s">
        <v>2300</v>
      </c>
      <c r="BU3" s="298">
        <v>1</v>
      </c>
      <c r="BV3" s="298">
        <v>5</v>
      </c>
      <c r="BX3" s="298" t="s">
        <v>2311</v>
      </c>
      <c r="BY3" s="298">
        <v>1</v>
      </c>
      <c r="CA3" s="298" t="s">
        <v>2318</v>
      </c>
      <c r="CB3" s="298" t="s">
        <v>2352</v>
      </c>
      <c r="CD3" s="298" t="s">
        <v>2237</v>
      </c>
      <c r="CF3" s="298" t="s">
        <v>2582</v>
      </c>
      <c r="CH3" s="298" t="s">
        <v>2591</v>
      </c>
      <c r="CJ3" s="298" t="s">
        <v>2582</v>
      </c>
      <c r="CL3" s="298" t="s">
        <v>3408</v>
      </c>
      <c r="CN3" s="298" t="s">
        <v>3412</v>
      </c>
      <c r="CP3" s="298" t="s">
        <v>3416</v>
      </c>
      <c r="CQ3" s="298" t="s">
        <v>3418</v>
      </c>
      <c r="CS3" s="298" t="s">
        <v>103</v>
      </c>
      <c r="CT3" s="298" t="s">
        <v>3437</v>
      </c>
      <c r="CV3" s="298" t="s">
        <v>3502</v>
      </c>
      <c r="CW3" s="298">
        <v>1</v>
      </c>
      <c r="CY3" s="298" t="s">
        <v>3642</v>
      </c>
      <c r="DA3" s="298" t="s">
        <v>3648</v>
      </c>
      <c r="DC3" s="298" t="s">
        <v>3542</v>
      </c>
      <c r="DE3" s="298" t="s">
        <v>3580</v>
      </c>
    </row>
    <row r="4" spans="1:109" x14ac:dyDescent="0.2">
      <c r="A4" s="298" t="s">
        <v>2296</v>
      </c>
      <c r="C4" s="298" t="s">
        <v>236</v>
      </c>
      <c r="E4" s="298" t="s">
        <v>235</v>
      </c>
      <c r="F4" s="298" t="s">
        <v>234</v>
      </c>
      <c r="G4" s="298" t="s">
        <v>25</v>
      </c>
      <c r="H4" s="298" t="s">
        <v>233</v>
      </c>
      <c r="I4" s="298" t="s">
        <v>177</v>
      </c>
      <c r="J4" s="298" t="s">
        <v>232</v>
      </c>
      <c r="K4" s="298" t="s">
        <v>231</v>
      </c>
      <c r="L4" s="298" t="s">
        <v>230</v>
      </c>
      <c r="M4" s="298" t="s">
        <v>229</v>
      </c>
      <c r="N4" s="298" t="s">
        <v>228</v>
      </c>
      <c r="O4" s="298" t="s">
        <v>67</v>
      </c>
      <c r="P4" s="298" t="s">
        <v>227</v>
      </c>
      <c r="Q4" s="298" t="s">
        <v>226</v>
      </c>
      <c r="R4" s="298">
        <v>2</v>
      </c>
      <c r="S4" s="298" t="s">
        <v>110</v>
      </c>
      <c r="T4" s="298">
        <v>4</v>
      </c>
      <c r="U4" s="298" t="s">
        <v>225</v>
      </c>
      <c r="V4" s="298">
        <v>1</v>
      </c>
      <c r="X4" s="298" t="s">
        <v>23</v>
      </c>
      <c r="Z4" s="298" t="s">
        <v>23</v>
      </c>
      <c r="AB4" s="298" t="s">
        <v>224</v>
      </c>
      <c r="AD4" s="298" t="s">
        <v>94</v>
      </c>
      <c r="AF4" s="298" t="s">
        <v>223</v>
      </c>
      <c r="AH4" s="298" t="s">
        <v>222</v>
      </c>
      <c r="AJ4" s="298" t="s">
        <v>221</v>
      </c>
      <c r="AL4" s="298" t="str">
        <f>IF('CHECK_2.9'!$C$49=VAR_1!$AF$3,VAR_1!AJ4,AH4)</f>
        <v>AUTOTRASPORTO</v>
      </c>
      <c r="AN4" s="298" t="s">
        <v>220</v>
      </c>
      <c r="AO4" s="298">
        <v>1</v>
      </c>
      <c r="AP4" s="298" t="s">
        <v>3515</v>
      </c>
      <c r="AQ4" s="298">
        <v>1</v>
      </c>
      <c r="AS4" s="298" t="s">
        <v>219</v>
      </c>
      <c r="AT4" s="298">
        <v>6</v>
      </c>
      <c r="AV4" s="298" t="s">
        <v>218</v>
      </c>
      <c r="AW4" s="298">
        <v>2</v>
      </c>
      <c r="AY4" s="298" t="s">
        <v>40</v>
      </c>
      <c r="BA4" s="298" t="s">
        <v>217</v>
      </c>
      <c r="BB4" s="298">
        <v>1</v>
      </c>
      <c r="BC4" s="298" t="s">
        <v>25</v>
      </c>
      <c r="BE4" s="298" t="s">
        <v>2198</v>
      </c>
      <c r="BG4" s="298" t="s">
        <v>2202</v>
      </c>
      <c r="BH4" s="298">
        <v>1</v>
      </c>
      <c r="BI4" s="298">
        <v>1</v>
      </c>
      <c r="BJ4" s="298" t="s">
        <v>2231</v>
      </c>
      <c r="BL4" s="298" t="s">
        <v>2237</v>
      </c>
      <c r="BN4" s="343" t="s">
        <v>2241</v>
      </c>
      <c r="BP4" s="298" t="s">
        <v>2237</v>
      </c>
      <c r="BR4" s="343" t="s">
        <v>2264</v>
      </c>
      <c r="BT4" s="298" t="s">
        <v>2301</v>
      </c>
      <c r="BU4" s="298">
        <v>2</v>
      </c>
      <c r="BV4" s="298">
        <v>5</v>
      </c>
      <c r="BX4" s="298" t="s">
        <v>2312</v>
      </c>
      <c r="BY4" s="298">
        <v>2</v>
      </c>
      <c r="CA4" s="298" t="s">
        <v>2320</v>
      </c>
      <c r="CB4" s="298" t="s">
        <v>2322</v>
      </c>
      <c r="CD4" s="298" t="s">
        <v>2340</v>
      </c>
      <c r="CF4" s="298" t="s">
        <v>2583</v>
      </c>
      <c r="CH4" s="298" t="s">
        <v>2592</v>
      </c>
      <c r="CJ4" s="298" t="s">
        <v>2583</v>
      </c>
      <c r="CL4" s="298" t="s">
        <v>3409</v>
      </c>
      <c r="CN4" s="298" t="s">
        <v>2583</v>
      </c>
      <c r="CP4" s="298" t="s">
        <v>2584</v>
      </c>
      <c r="CQ4" s="298" t="s">
        <v>2584</v>
      </c>
      <c r="CS4" s="298" t="s">
        <v>3434</v>
      </c>
      <c r="CT4" s="298" t="s">
        <v>3438</v>
      </c>
      <c r="CV4" s="298" t="s">
        <v>3494</v>
      </c>
      <c r="CW4" s="298">
        <v>2</v>
      </c>
      <c r="CY4" s="298" t="s">
        <v>3526</v>
      </c>
      <c r="DA4" s="298" t="s">
        <v>3649</v>
      </c>
      <c r="DC4" s="298" t="s">
        <v>3543</v>
      </c>
      <c r="DE4" s="298" t="s">
        <v>3581</v>
      </c>
    </row>
    <row r="5" spans="1:109" x14ac:dyDescent="0.2">
      <c r="A5" s="298" t="s">
        <v>2495</v>
      </c>
      <c r="C5" s="298" t="s">
        <v>216</v>
      </c>
      <c r="E5" s="298" t="s">
        <v>117</v>
      </c>
      <c r="F5" s="298" t="s">
        <v>215</v>
      </c>
      <c r="G5" s="298" t="s">
        <v>214</v>
      </c>
      <c r="H5" s="298" t="s">
        <v>213</v>
      </c>
      <c r="K5" s="298" t="s">
        <v>79</v>
      </c>
      <c r="L5" s="298" t="s">
        <v>212</v>
      </c>
      <c r="M5" s="298" t="s">
        <v>211</v>
      </c>
      <c r="N5" s="298" t="s">
        <v>210</v>
      </c>
      <c r="Q5" s="298" t="s">
        <v>209</v>
      </c>
      <c r="R5" s="298">
        <v>3</v>
      </c>
      <c r="S5" s="298" t="s">
        <v>208</v>
      </c>
      <c r="T5" s="298">
        <v>4</v>
      </c>
      <c r="U5" s="298" t="s">
        <v>207</v>
      </c>
      <c r="V5" s="298">
        <v>0</v>
      </c>
      <c r="AB5" s="298" t="s">
        <v>206</v>
      </c>
      <c r="AH5" s="298" t="s">
        <v>205</v>
      </c>
      <c r="AJ5" s="298" t="s">
        <v>204</v>
      </c>
      <c r="AL5" s="298" t="str">
        <f>IF('CHECK_2.9'!$C$49=VAR_1!$AF$3,VAR_1!AJ5,AH5)</f>
        <v>EVENTI SISMICI</v>
      </c>
      <c r="AN5" s="298" t="s">
        <v>203</v>
      </c>
      <c r="AO5" s="298">
        <v>1</v>
      </c>
      <c r="AP5" s="298" t="s">
        <v>3518</v>
      </c>
      <c r="AQ5" s="298">
        <v>1</v>
      </c>
      <c r="AS5" s="298" t="s">
        <v>202</v>
      </c>
      <c r="AT5" s="298">
        <v>5</v>
      </c>
      <c r="AV5" s="298" t="s">
        <v>201</v>
      </c>
      <c r="AW5" s="298">
        <v>3</v>
      </c>
      <c r="BA5" s="298" t="s">
        <v>200</v>
      </c>
      <c r="BB5" s="298">
        <v>2</v>
      </c>
      <c r="BC5" s="298" t="s">
        <v>199</v>
      </c>
      <c r="BG5" s="298" t="s">
        <v>2203</v>
      </c>
      <c r="BH5" s="298">
        <v>1</v>
      </c>
      <c r="BI5" s="298">
        <v>1</v>
      </c>
      <c r="BL5" s="298" t="s">
        <v>2238</v>
      </c>
      <c r="BN5" s="343" t="s">
        <v>2242</v>
      </c>
      <c r="BP5" s="298" t="s">
        <v>2249</v>
      </c>
      <c r="BR5" s="343" t="s">
        <v>2265</v>
      </c>
      <c r="BT5" s="298" t="s">
        <v>2302</v>
      </c>
      <c r="BU5" s="298">
        <v>3</v>
      </c>
      <c r="BV5" s="298">
        <v>10</v>
      </c>
      <c r="BX5" s="298" t="s">
        <v>2313</v>
      </c>
      <c r="BY5" s="298">
        <v>3</v>
      </c>
      <c r="CA5" s="298" t="s">
        <v>2319</v>
      </c>
      <c r="CB5" s="298" t="s">
        <v>2323</v>
      </c>
      <c r="CD5" s="298" t="s">
        <v>2249</v>
      </c>
      <c r="CF5" s="298" t="s">
        <v>2584</v>
      </c>
      <c r="CJ5" s="298" t="s">
        <v>2584</v>
      </c>
      <c r="CL5" s="298" t="s">
        <v>2592</v>
      </c>
      <c r="CN5" s="298" t="s">
        <v>2584</v>
      </c>
      <c r="CP5" s="298" t="s">
        <v>2583</v>
      </c>
      <c r="CQ5" s="298" t="s">
        <v>2583</v>
      </c>
      <c r="CS5" s="298" t="s">
        <v>3435</v>
      </c>
      <c r="CT5" s="298" t="s">
        <v>3439</v>
      </c>
      <c r="CV5" s="298" t="s">
        <v>3503</v>
      </c>
      <c r="CW5" s="298">
        <v>3</v>
      </c>
      <c r="CY5" s="298" t="s">
        <v>3618</v>
      </c>
      <c r="DA5" s="298" t="s">
        <v>3650</v>
      </c>
      <c r="DC5" s="298" t="s">
        <v>3544</v>
      </c>
      <c r="DE5" s="298" t="s">
        <v>3582</v>
      </c>
    </row>
    <row r="6" spans="1:109" x14ac:dyDescent="0.2">
      <c r="A6" s="298" t="s">
        <v>198</v>
      </c>
      <c r="C6" s="298" t="s">
        <v>197</v>
      </c>
      <c r="E6" s="298" t="s">
        <v>196</v>
      </c>
      <c r="F6" s="298" t="s">
        <v>195</v>
      </c>
      <c r="I6" s="298" t="s">
        <v>116</v>
      </c>
      <c r="K6" s="298" t="s">
        <v>194</v>
      </c>
      <c r="L6" s="298" t="s">
        <v>193</v>
      </c>
      <c r="M6" s="298" t="s">
        <v>192</v>
      </c>
      <c r="N6" s="298" t="s">
        <v>191</v>
      </c>
      <c r="Q6" s="298" t="s">
        <v>190</v>
      </c>
      <c r="R6" s="298">
        <v>4</v>
      </c>
      <c r="S6" s="298" t="s">
        <v>189</v>
      </c>
      <c r="T6" s="298">
        <v>3</v>
      </c>
      <c r="U6" s="298" t="s">
        <v>188</v>
      </c>
      <c r="Z6" s="298" t="s">
        <v>2351</v>
      </c>
      <c r="AB6" s="298" t="s">
        <v>187</v>
      </c>
      <c r="AH6" s="298" t="s">
        <v>186</v>
      </c>
      <c r="AJ6" s="298" t="s">
        <v>185</v>
      </c>
      <c r="AL6" s="298" t="str">
        <f>IF('CHECK_2.9'!$C$49=VAR_1!$AF$3,VAR_1!AJ6,AH6)</f>
        <v>CONTRATTO DI RETE</v>
      </c>
      <c r="AN6" s="298" t="s">
        <v>184</v>
      </c>
      <c r="AO6" s="298">
        <v>1</v>
      </c>
      <c r="AP6" s="298" t="s">
        <v>3517</v>
      </c>
      <c r="AQ6" s="298">
        <v>1</v>
      </c>
      <c r="AS6" s="298" t="s">
        <v>183</v>
      </c>
      <c r="AT6" s="298">
        <v>4</v>
      </c>
      <c r="AV6" s="298" t="s">
        <v>182</v>
      </c>
      <c r="AW6" s="298">
        <v>4</v>
      </c>
      <c r="BA6" s="298" t="s">
        <v>181</v>
      </c>
      <c r="BB6" s="298">
        <v>3</v>
      </c>
      <c r="BC6" s="298" t="s">
        <v>180</v>
      </c>
      <c r="BG6" s="298" t="s">
        <v>2204</v>
      </c>
      <c r="BH6" s="298">
        <v>2</v>
      </c>
      <c r="BI6" s="298">
        <v>1</v>
      </c>
      <c r="BN6" s="343" t="s">
        <v>2243</v>
      </c>
      <c r="BR6" s="343" t="s">
        <v>2266</v>
      </c>
      <c r="BT6" s="298" t="s">
        <v>2303</v>
      </c>
      <c r="BU6" s="298">
        <v>4</v>
      </c>
      <c r="BV6" s="298">
        <v>10</v>
      </c>
      <c r="BX6" s="298" t="s">
        <v>2314</v>
      </c>
      <c r="BY6" s="298">
        <v>4</v>
      </c>
      <c r="CB6" s="298" t="s">
        <v>2318</v>
      </c>
      <c r="CD6" s="298" t="s">
        <v>2341</v>
      </c>
      <c r="CF6" s="298" t="s">
        <v>2585</v>
      </c>
      <c r="CJ6" s="298" t="s">
        <v>2585</v>
      </c>
      <c r="CP6" s="298" t="s">
        <v>3417</v>
      </c>
      <c r="CQ6" s="298" t="s">
        <v>3417</v>
      </c>
      <c r="CS6" s="298" t="s">
        <v>3436</v>
      </c>
      <c r="CT6" s="298" t="s">
        <v>3440</v>
      </c>
      <c r="CV6" s="298" t="s">
        <v>3455</v>
      </c>
      <c r="CW6" s="298">
        <v>4</v>
      </c>
      <c r="CY6" s="298" t="s">
        <v>3527</v>
      </c>
      <c r="DA6" s="298" t="s">
        <v>3651</v>
      </c>
      <c r="DE6" s="298" t="s">
        <v>3583</v>
      </c>
    </row>
    <row r="7" spans="1:109" x14ac:dyDescent="0.2">
      <c r="A7" s="298" t="s">
        <v>179</v>
      </c>
      <c r="C7" s="298" t="s">
        <v>178</v>
      </c>
      <c r="E7" s="298" t="s">
        <v>2574</v>
      </c>
      <c r="I7" s="298" t="s">
        <v>177</v>
      </c>
      <c r="J7" s="298">
        <v>1</v>
      </c>
      <c r="K7" s="298" t="s">
        <v>176</v>
      </c>
      <c r="L7" s="298" t="s">
        <v>175</v>
      </c>
      <c r="M7" s="298" t="s">
        <v>76</v>
      </c>
      <c r="Q7" s="298" t="s">
        <v>100</v>
      </c>
      <c r="R7" s="298">
        <v>5</v>
      </c>
      <c r="S7" s="298" t="s">
        <v>174</v>
      </c>
      <c r="T7" s="298">
        <v>1</v>
      </c>
      <c r="U7" s="298" t="s">
        <v>173</v>
      </c>
      <c r="Z7" s="298" t="s">
        <v>29</v>
      </c>
      <c r="AB7" s="298" t="s">
        <v>172</v>
      </c>
      <c r="AD7" s="298" t="s">
        <v>23</v>
      </c>
      <c r="AF7" s="338" t="s">
        <v>171</v>
      </c>
      <c r="AH7" s="298" t="s">
        <v>170</v>
      </c>
      <c r="AJ7" s="298" t="s">
        <v>169</v>
      </c>
      <c r="AL7" s="298" t="str">
        <f>IF('CHECK_2.9'!$C$49=VAR_1!$AF$3,VAR_1!AJ7,AH7)</f>
        <v>ANT. CREDITI PA</v>
      </c>
      <c r="AN7" s="298" t="s">
        <v>168</v>
      </c>
      <c r="AO7" s="298">
        <v>1</v>
      </c>
      <c r="AP7" s="298" t="s">
        <v>3516</v>
      </c>
      <c r="AQ7" s="298">
        <v>1</v>
      </c>
      <c r="AS7" s="298" t="s">
        <v>167</v>
      </c>
      <c r="AT7" s="298">
        <v>3</v>
      </c>
      <c r="AV7" s="298" t="s">
        <v>2200</v>
      </c>
      <c r="AW7" s="298">
        <v>5</v>
      </c>
      <c r="BA7" s="298" t="s">
        <v>166</v>
      </c>
      <c r="BB7" s="298">
        <v>4</v>
      </c>
      <c r="BC7" s="298" t="s">
        <v>165</v>
      </c>
      <c r="BG7" s="298" t="s">
        <v>2205</v>
      </c>
      <c r="BH7" s="298">
        <v>2</v>
      </c>
      <c r="BI7" s="298">
        <v>1</v>
      </c>
      <c r="BN7" s="343" t="s">
        <v>2244</v>
      </c>
      <c r="BT7" s="298" t="s">
        <v>2304</v>
      </c>
      <c r="BU7" s="298">
        <v>5</v>
      </c>
      <c r="BV7" s="298">
        <v>10</v>
      </c>
      <c r="BX7" s="298" t="s">
        <v>2315</v>
      </c>
      <c r="BY7" s="298">
        <v>5</v>
      </c>
      <c r="CB7" s="298" t="s">
        <v>2324</v>
      </c>
      <c r="CD7" s="298" t="s">
        <v>2344</v>
      </c>
      <c r="CS7" s="298" t="s">
        <v>3644</v>
      </c>
      <c r="CT7" s="298" t="s">
        <v>3645</v>
      </c>
      <c r="CV7" s="298" t="s">
        <v>3504</v>
      </c>
      <c r="CW7" s="298">
        <v>5</v>
      </c>
      <c r="DE7" s="298" t="s">
        <v>3584</v>
      </c>
    </row>
    <row r="8" spans="1:109" ht="22.5" x14ac:dyDescent="0.2">
      <c r="A8" s="298" t="s">
        <v>164</v>
      </c>
      <c r="C8" s="298" t="s">
        <v>163</v>
      </c>
      <c r="E8" s="442" t="s">
        <v>2575</v>
      </c>
      <c r="I8" s="298" t="s">
        <v>44</v>
      </c>
      <c r="J8" s="298">
        <v>2</v>
      </c>
      <c r="Q8" s="298" t="s">
        <v>162</v>
      </c>
      <c r="R8" s="298">
        <v>6</v>
      </c>
      <c r="S8" s="298" t="s">
        <v>161</v>
      </c>
      <c r="T8" s="298">
        <v>2</v>
      </c>
      <c r="U8" s="298" t="s">
        <v>160</v>
      </c>
      <c r="V8" s="298">
        <v>1</v>
      </c>
      <c r="Z8" s="298" t="s">
        <v>23</v>
      </c>
      <c r="AB8" s="298" t="s">
        <v>3473</v>
      </c>
      <c r="AD8" s="298" t="s">
        <v>94</v>
      </c>
      <c r="AH8" s="298" t="s">
        <v>159</v>
      </c>
      <c r="AL8" s="298" t="str">
        <f>IF('CHECK_2.9'!$C$49=VAR_1!$AF$3,VAR_1!AH14,AH8)</f>
        <v>ST-UP INNOVATIVA</v>
      </c>
      <c r="AN8" s="298" t="s">
        <v>158</v>
      </c>
      <c r="AO8" s="298">
        <v>0</v>
      </c>
      <c r="AP8" s="298" t="s">
        <v>56</v>
      </c>
      <c r="AQ8" s="298">
        <v>2</v>
      </c>
      <c r="AS8" s="298" t="s">
        <v>157</v>
      </c>
      <c r="AT8" s="298">
        <v>2</v>
      </c>
      <c r="AV8" s="298" t="s">
        <v>156</v>
      </c>
      <c r="AW8" s="298">
        <v>6</v>
      </c>
      <c r="BA8" s="298" t="s">
        <v>2199</v>
      </c>
      <c r="BB8" s="298">
        <v>5</v>
      </c>
      <c r="BC8" s="298" t="s">
        <v>3599</v>
      </c>
      <c r="BG8" s="298" t="s">
        <v>2210</v>
      </c>
      <c r="BH8" s="298">
        <v>2</v>
      </c>
      <c r="BI8" s="298">
        <v>2</v>
      </c>
      <c r="BT8" s="298" t="s">
        <v>2305</v>
      </c>
      <c r="BU8" s="298">
        <v>6</v>
      </c>
      <c r="BV8" s="298">
        <v>10</v>
      </c>
      <c r="CB8" s="298" t="s">
        <v>2325</v>
      </c>
      <c r="CD8" s="298" t="s">
        <v>2345</v>
      </c>
      <c r="DE8" s="298" t="s">
        <v>3585</v>
      </c>
    </row>
    <row r="9" spans="1:109" x14ac:dyDescent="0.2">
      <c r="A9" s="298" t="s">
        <v>155</v>
      </c>
      <c r="C9" s="298" t="s">
        <v>154</v>
      </c>
      <c r="I9" s="298" t="s">
        <v>153</v>
      </c>
      <c r="J9" s="298">
        <v>3</v>
      </c>
      <c r="Q9" s="298" t="s">
        <v>152</v>
      </c>
      <c r="R9" s="298">
        <v>7</v>
      </c>
      <c r="S9" s="298" t="s">
        <v>151</v>
      </c>
      <c r="T9" s="298">
        <v>5</v>
      </c>
      <c r="U9" s="298" t="s">
        <v>98</v>
      </c>
      <c r="V9" s="298">
        <v>1</v>
      </c>
      <c r="AB9" s="298" t="s">
        <v>3474</v>
      </c>
      <c r="AD9" s="298" t="s">
        <v>2490</v>
      </c>
      <c r="AF9" s="344">
        <v>1.25E-3</v>
      </c>
      <c r="AH9" s="298" t="s">
        <v>150</v>
      </c>
      <c r="AJ9" s="345" t="s">
        <v>149</v>
      </c>
      <c r="AL9" s="298" t="str">
        <f>IF('CHECK_2.9'!$C$49=VAR_1!$AF$3,VAR_1!AJ9,AH9)</f>
        <v>INCUBATORE CERTIFICATO</v>
      </c>
      <c r="AN9" s="298" t="s">
        <v>148</v>
      </c>
      <c r="AO9" s="298">
        <v>1</v>
      </c>
      <c r="AP9" s="298" t="s">
        <v>147</v>
      </c>
      <c r="AQ9" s="298">
        <v>2</v>
      </c>
      <c r="AS9" s="298" t="s">
        <v>146</v>
      </c>
      <c r="AT9" s="298">
        <v>1</v>
      </c>
      <c r="AV9" s="298" t="s">
        <v>145</v>
      </c>
      <c r="AW9" s="298">
        <v>7</v>
      </c>
      <c r="BA9" s="298" t="s">
        <v>144</v>
      </c>
      <c r="BB9" s="298">
        <v>6</v>
      </c>
      <c r="BG9" s="298" t="s">
        <v>2211</v>
      </c>
      <c r="BH9" s="298">
        <v>2</v>
      </c>
      <c r="BI9" s="298">
        <v>1</v>
      </c>
      <c r="BT9" s="298" t="s">
        <v>2328</v>
      </c>
      <c r="BU9" s="298">
        <v>7</v>
      </c>
      <c r="BV9" s="298">
        <v>0</v>
      </c>
      <c r="CB9" s="298" t="s">
        <v>2326</v>
      </c>
      <c r="DE9" s="298" t="s">
        <v>3586</v>
      </c>
    </row>
    <row r="10" spans="1:109" x14ac:dyDescent="0.2">
      <c r="A10" s="298" t="s">
        <v>143</v>
      </c>
      <c r="Q10" s="298" t="s">
        <v>142</v>
      </c>
      <c r="R10" s="298">
        <v>8</v>
      </c>
      <c r="U10" s="298" t="s">
        <v>2566</v>
      </c>
      <c r="V10" s="298" t="s">
        <v>459</v>
      </c>
      <c r="W10" s="470">
        <v>43539</v>
      </c>
      <c r="AF10" s="346">
        <v>2.5000000000000001E-3</v>
      </c>
      <c r="AH10" s="298" t="s">
        <v>132</v>
      </c>
      <c r="AJ10" s="345" t="s">
        <v>130</v>
      </c>
      <c r="AL10" s="298" t="str">
        <f>IF('CHECK_2.9'!$C$49=VAR_1!$AF$3,VAR_1!AJ10,AH10)</f>
        <v>IMPRESA SOCIALE</v>
      </c>
      <c r="AN10" s="298" t="s">
        <v>141</v>
      </c>
      <c r="AO10" s="298">
        <v>0</v>
      </c>
      <c r="AP10" s="298" t="s">
        <v>3603</v>
      </c>
      <c r="AV10" s="298" t="s">
        <v>140</v>
      </c>
      <c r="AW10" s="298">
        <v>8</v>
      </c>
      <c r="BA10" s="298" t="s">
        <v>139</v>
      </c>
      <c r="BB10" s="298">
        <v>7</v>
      </c>
      <c r="BG10" s="298" t="s">
        <v>2206</v>
      </c>
      <c r="BH10" s="298">
        <v>2</v>
      </c>
      <c r="BI10" s="298">
        <v>2</v>
      </c>
      <c r="DE10" s="298" t="s">
        <v>3629</v>
      </c>
    </row>
    <row r="11" spans="1:109" x14ac:dyDescent="0.2">
      <c r="A11" s="298" t="s">
        <v>138</v>
      </c>
      <c r="Q11" s="298" t="s">
        <v>137</v>
      </c>
      <c r="R11" s="298">
        <v>9</v>
      </c>
      <c r="U11" s="298" t="s">
        <v>2567</v>
      </c>
      <c r="V11" s="298" t="s">
        <v>459</v>
      </c>
      <c r="W11" s="470">
        <v>43539</v>
      </c>
      <c r="AF11" s="347">
        <v>5.0000000000000001E-3</v>
      </c>
      <c r="AH11" s="298" t="s">
        <v>72</v>
      </c>
      <c r="AJ11" s="345" t="s">
        <v>130</v>
      </c>
      <c r="AL11" s="298" t="str">
        <f>IF('CHECK_2.9'!$C$49=VAR_1!$AF$3,VAR_1!AJ11,AH11)</f>
        <v>IMPRESA AMM.NE STRAOR</v>
      </c>
      <c r="AN11" s="298" t="s">
        <v>107</v>
      </c>
      <c r="AO11" s="298">
        <v>0</v>
      </c>
      <c r="AP11" s="298" t="s">
        <v>3605</v>
      </c>
      <c r="AV11" s="298" t="s">
        <v>136</v>
      </c>
      <c r="AW11" s="298">
        <v>9</v>
      </c>
      <c r="BA11" s="298" t="s">
        <v>135</v>
      </c>
      <c r="BB11" s="298">
        <v>9</v>
      </c>
      <c r="BG11" s="298" t="s">
        <v>2212</v>
      </c>
      <c r="BH11" s="298">
        <v>3</v>
      </c>
      <c r="BI11" s="298">
        <v>3</v>
      </c>
    </row>
    <row r="12" spans="1:109" x14ac:dyDescent="0.2">
      <c r="A12" s="298" t="s">
        <v>121</v>
      </c>
      <c r="Q12" s="298" t="s">
        <v>134</v>
      </c>
      <c r="R12" s="298">
        <v>10</v>
      </c>
      <c r="U12" s="298" t="s">
        <v>2573</v>
      </c>
      <c r="V12" s="298" t="s">
        <v>459</v>
      </c>
      <c r="W12" s="470">
        <v>43539</v>
      </c>
      <c r="AF12" s="348">
        <v>0.01</v>
      </c>
      <c r="AH12" s="298" t="s">
        <v>133</v>
      </c>
      <c r="AJ12" s="345" t="s">
        <v>130</v>
      </c>
      <c r="AL12" s="298" t="str">
        <f>IF('CHECK_2.9'!$C$49=VAR_1!$AF$3,VAR_1!AJ12,AH12)</f>
        <v>UBICAZ. MEZZOGIORNO</v>
      </c>
      <c r="AN12" s="298" t="s">
        <v>132</v>
      </c>
      <c r="AO12" s="298">
        <v>1</v>
      </c>
      <c r="AP12" s="298" t="s">
        <v>3606</v>
      </c>
      <c r="AV12" s="298" t="s">
        <v>2542</v>
      </c>
      <c r="AW12" s="298">
        <v>10</v>
      </c>
      <c r="BG12" s="298" t="s">
        <v>2207</v>
      </c>
      <c r="BH12" s="298">
        <v>3</v>
      </c>
      <c r="BI12" s="298">
        <v>3</v>
      </c>
    </row>
    <row r="13" spans="1:109" x14ac:dyDescent="0.2">
      <c r="A13" s="298" t="s">
        <v>98</v>
      </c>
      <c r="Q13" s="298" t="s">
        <v>2571</v>
      </c>
      <c r="U13" s="298" t="s">
        <v>2568</v>
      </c>
      <c r="V13" s="298" t="s">
        <v>459</v>
      </c>
      <c r="W13" s="470">
        <v>43539</v>
      </c>
      <c r="Z13" s="298" t="s">
        <v>23</v>
      </c>
      <c r="AF13" s="349">
        <v>0.02</v>
      </c>
      <c r="AH13" s="298" t="s">
        <v>131</v>
      </c>
      <c r="AJ13" s="345" t="s">
        <v>130</v>
      </c>
      <c r="AL13" s="298" t="str">
        <f>IF('CHECK_2.9'!$C$49=VAR_1!$AF$3,VAR_1!AJ13,AH13)</f>
        <v>UBICAZ. 87.3a</v>
      </c>
      <c r="AN13" s="298" t="s">
        <v>129</v>
      </c>
      <c r="AO13" s="298">
        <v>0</v>
      </c>
      <c r="BG13" s="298" t="s">
        <v>2214</v>
      </c>
      <c r="BH13" s="298" t="s">
        <v>2213</v>
      </c>
    </row>
    <row r="14" spans="1:109" x14ac:dyDescent="0.2">
      <c r="Q14" s="298" t="s">
        <v>2572</v>
      </c>
      <c r="U14" s="298" t="s">
        <v>2569</v>
      </c>
      <c r="V14" s="298" t="s">
        <v>459</v>
      </c>
      <c r="W14" s="470">
        <v>43539</v>
      </c>
      <c r="Z14" s="298" t="s">
        <v>3538</v>
      </c>
      <c r="AF14" s="349">
        <v>0.03</v>
      </c>
      <c r="AH14" s="298" t="s">
        <v>128</v>
      </c>
      <c r="AJ14" s="345"/>
      <c r="AN14" s="298" t="s">
        <v>127</v>
      </c>
      <c r="AO14" s="298">
        <v>1</v>
      </c>
      <c r="AP14" s="298" t="s">
        <v>2528</v>
      </c>
    </row>
    <row r="15" spans="1:109" x14ac:dyDescent="0.2">
      <c r="Q15" s="298" t="s">
        <v>2570</v>
      </c>
      <c r="S15" s="298" t="s">
        <v>2108</v>
      </c>
      <c r="T15" s="298">
        <v>1</v>
      </c>
      <c r="U15" s="298" t="s">
        <v>2581</v>
      </c>
      <c r="V15" s="298" t="s">
        <v>459</v>
      </c>
      <c r="AH15" s="298" t="s">
        <v>2299</v>
      </c>
      <c r="AN15" s="298" t="s">
        <v>3428</v>
      </c>
      <c r="AO15" s="298">
        <v>0</v>
      </c>
      <c r="AP15" s="298" t="s">
        <v>39</v>
      </c>
    </row>
    <row r="16" spans="1:109" x14ac:dyDescent="0.2">
      <c r="Q16" s="298" t="s">
        <v>3447</v>
      </c>
      <c r="S16" s="298" t="s">
        <v>222</v>
      </c>
      <c r="T16" s="298">
        <v>2</v>
      </c>
      <c r="U16" s="298" t="s">
        <v>3448</v>
      </c>
      <c r="V16" s="298" t="s">
        <v>459</v>
      </c>
      <c r="W16" s="470">
        <v>43907</v>
      </c>
      <c r="AN16" s="298" t="s">
        <v>3429</v>
      </c>
      <c r="AO16" s="298">
        <v>0</v>
      </c>
      <c r="AP16" s="298" t="s">
        <v>38</v>
      </c>
    </row>
    <row r="17" spans="17:41" x14ac:dyDescent="0.2">
      <c r="Q17" s="298" t="s">
        <v>3546</v>
      </c>
      <c r="S17" s="298" t="s">
        <v>971</v>
      </c>
      <c r="T17" s="298">
        <v>3</v>
      </c>
      <c r="AN17" s="298" t="s">
        <v>3430</v>
      </c>
      <c r="AO17" s="298">
        <v>0</v>
      </c>
    </row>
    <row r="18" spans="17:41" x14ac:dyDescent="0.2">
      <c r="Q18" s="298" t="s">
        <v>3557</v>
      </c>
      <c r="S18" s="298" t="s">
        <v>1410</v>
      </c>
      <c r="T18" s="298">
        <v>4</v>
      </c>
      <c r="AN18" s="298" t="s">
        <v>3431</v>
      </c>
      <c r="AO18" s="298">
        <v>0</v>
      </c>
    </row>
    <row r="19" spans="17:41" x14ac:dyDescent="0.2">
      <c r="S19" s="298" t="s">
        <v>2101</v>
      </c>
      <c r="T19" s="298">
        <v>5</v>
      </c>
      <c r="AN19" s="298" t="s">
        <v>126</v>
      </c>
      <c r="AO19" s="298">
        <v>0</v>
      </c>
    </row>
    <row r="20" spans="17:41" x14ac:dyDescent="0.2">
      <c r="S20" s="298" t="s">
        <v>466</v>
      </c>
      <c r="T20" s="298">
        <v>3</v>
      </c>
    </row>
    <row r="21" spans="17:41" x14ac:dyDescent="0.2">
      <c r="Q21" s="298" t="s">
        <v>3563</v>
      </c>
      <c r="R21" s="298">
        <v>1</v>
      </c>
    </row>
    <row r="22" spans="17:41" x14ac:dyDescent="0.2">
      <c r="Q22" s="298" t="s">
        <v>3564</v>
      </c>
      <c r="R22" s="298">
        <v>2</v>
      </c>
    </row>
    <row r="23" spans="17:41" x14ac:dyDescent="0.2">
      <c r="Q23" s="298" t="s">
        <v>3565</v>
      </c>
      <c r="R23" s="298">
        <v>3</v>
      </c>
    </row>
  </sheetData>
  <sheetProtection algorithmName="SHA-512" hashValue="CrHn5qyhSG1ycSMnWtvmdsToD4ypneu5Pk+/hEZPzGEWhVOf6OJtXhwPp8pyLqFYvf+kDdyz0z5MG/sAUwEDqQ==" saltValue="2qXtVjqhyHue55U0BHCq4w==" spinCount="100000" sheet="1" objects="1" scenarios="1"/>
  <mergeCells count="1">
    <mergeCell ref="BH1:BI1"/>
  </mergeCells>
  <conditionalFormatting sqref="D14">
    <cfRule type="expression" dxfId="1" priority="1">
      <formula>$C$14=$AF$4</formula>
    </cfRule>
  </conditionalFormatting>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4"/>
  <dimension ref="A1:X90"/>
  <sheetViews>
    <sheetView topLeftCell="S1" zoomScale="80" zoomScaleNormal="80" workbookViewId="0">
      <selection activeCell="X20" sqref="X20"/>
    </sheetView>
  </sheetViews>
  <sheetFormatPr defaultColWidth="9.140625" defaultRowHeight="15" x14ac:dyDescent="0.25"/>
  <cols>
    <col min="1" max="1" width="37.28515625" style="208" bestFit="1" customWidth="1"/>
    <col min="2" max="2" width="55" style="208" bestFit="1" customWidth="1"/>
    <col min="3" max="3" width="22.5703125" style="208" bestFit="1" customWidth="1"/>
    <col min="4" max="4" width="21.7109375" style="208" bestFit="1" customWidth="1"/>
    <col min="5" max="5" width="102.85546875" style="208" bestFit="1" customWidth="1"/>
    <col min="6" max="6" width="9.140625" style="208"/>
    <col min="7" max="7" width="37.5703125" style="208" bestFit="1" customWidth="1"/>
    <col min="8" max="8" width="40.28515625" style="208" customWidth="1"/>
    <col min="9" max="9" width="25" style="208" customWidth="1"/>
    <col min="10" max="10" width="27.140625" style="208" bestFit="1" customWidth="1"/>
    <col min="11" max="11" width="40.5703125" style="208" bestFit="1" customWidth="1"/>
    <col min="12" max="12" width="11" style="208" customWidth="1"/>
    <col min="13" max="13" width="26.42578125" style="208" customWidth="1"/>
    <col min="14" max="14" width="75.7109375" style="208" customWidth="1"/>
    <col min="15" max="15" width="28.28515625" style="208" bestFit="1" customWidth="1"/>
    <col min="16" max="16" width="68.140625" style="208" bestFit="1" customWidth="1"/>
    <col min="17" max="17" width="90.28515625" style="208" bestFit="1" customWidth="1"/>
    <col min="18" max="18" width="35.85546875" style="208" bestFit="1" customWidth="1"/>
    <col min="19" max="19" width="54.28515625" style="208" customWidth="1"/>
    <col min="20" max="20" width="11.5703125" style="208" bestFit="1" customWidth="1"/>
    <col min="21" max="22" width="9.140625" style="208"/>
    <col min="23" max="23" width="87.140625" style="208" bestFit="1" customWidth="1"/>
    <col min="24" max="24" width="12.28515625" style="208" bestFit="1" customWidth="1"/>
    <col min="25" max="16384" width="9.140625" style="208"/>
  </cols>
  <sheetData>
    <row r="1" spans="1:24" ht="15.75" thickBot="1" x14ac:dyDescent="0.3">
      <c r="A1" s="895" t="s">
        <v>319</v>
      </c>
      <c r="B1" s="896"/>
      <c r="D1" s="895" t="s">
        <v>318</v>
      </c>
      <c r="E1" s="896"/>
      <c r="G1" s="895" t="s">
        <v>317</v>
      </c>
      <c r="H1" s="896"/>
    </row>
    <row r="2" spans="1:24" ht="15.75" thickBot="1" x14ac:dyDescent="0.3">
      <c r="A2" s="251"/>
      <c r="B2" s="252"/>
      <c r="D2" s="251"/>
      <c r="E2" s="252"/>
      <c r="G2" s="251"/>
      <c r="H2" s="252"/>
      <c r="J2" s="895" t="s">
        <v>316</v>
      </c>
      <c r="K2" s="896"/>
      <c r="M2" s="895" t="s">
        <v>2578</v>
      </c>
      <c r="N2" s="896"/>
      <c r="O2" s="227" t="s">
        <v>234</v>
      </c>
      <c r="P2" s="227" t="s">
        <v>215</v>
      </c>
      <c r="R2" s="895" t="s">
        <v>3432</v>
      </c>
      <c r="S2" s="896"/>
      <c r="W2" s="621" t="s">
        <v>3624</v>
      </c>
    </row>
    <row r="3" spans="1:24" ht="15.75" thickBot="1" x14ac:dyDescent="0.3">
      <c r="A3" s="251" t="s">
        <v>315</v>
      </c>
      <c r="B3" s="252">
        <f>IF('CHECK_2.9'!C28&gt;=RULES_TERMINI!C21,4,3)</f>
        <v>4</v>
      </c>
      <c r="D3" s="251" t="s">
        <v>2521</v>
      </c>
      <c r="E3" s="252">
        <f>VLOOKUP('CHECK_2.9'!C10,'ATECO 2007_ammissibilità'!$A$1:$I$1724,9,0)</f>
        <v>3</v>
      </c>
      <c r="G3" s="216" t="s">
        <v>174</v>
      </c>
      <c r="H3" s="253">
        <v>15000</v>
      </c>
      <c r="J3" s="225" t="s">
        <v>314</v>
      </c>
      <c r="K3" s="215" t="str">
        <f>+'CHECK_2.9'!C117</f>
        <v xml:space="preserve">EVENTO DI RISCHIO </v>
      </c>
      <c r="M3" s="221" t="s">
        <v>2577</v>
      </c>
      <c r="N3" s="222">
        <v>43907</v>
      </c>
      <c r="O3" s="222">
        <f>EDATE(N3,-3)</f>
        <v>43816</v>
      </c>
      <c r="P3" s="222">
        <f>EDATE(O3,-1)</f>
        <v>43786</v>
      </c>
      <c r="R3" s="225" t="s">
        <v>3437</v>
      </c>
      <c r="S3" s="215" t="s">
        <v>102</v>
      </c>
      <c r="W3" s="438">
        <v>44848</v>
      </c>
    </row>
    <row r="4" spans="1:24" ht="15.75" thickBot="1" x14ac:dyDescent="0.3">
      <c r="A4" s="251"/>
      <c r="B4" s="252"/>
      <c r="D4" s="251" t="s">
        <v>2522</v>
      </c>
      <c r="E4" s="252">
        <f>VLOOKUP('CHECK_2.9'!F10,VAR_1!$S$3:$T$9,2,0)</f>
        <v>3</v>
      </c>
      <c r="G4" s="254" t="str">
        <f>IF('CHECK_2.9'!F10=G3,'CHECK_2.9'!F18,"")</f>
        <v/>
      </c>
      <c r="H4" s="252" t="str">
        <f>IF(G4="","",IF(G4&gt;H3,"!","OK"))</f>
        <v/>
      </c>
      <c r="J4" s="221" t="s">
        <v>313</v>
      </c>
      <c r="K4" s="218" t="str">
        <f>IF(H17=1,"AVVIO PIANO NO","AVVIO PIANO SI")</f>
        <v>AVVIO PIANO SI</v>
      </c>
      <c r="R4" s="216" t="s">
        <v>3439</v>
      </c>
      <c r="S4" s="213" t="s">
        <v>3442</v>
      </c>
      <c r="W4" s="306" t="str">
        <f>+'CHECK_2.9'!C4</f>
        <v>Garanzia diretta</v>
      </c>
    </row>
    <row r="5" spans="1:24" ht="15.75" thickBot="1" x14ac:dyDescent="0.3">
      <c r="A5" s="251"/>
      <c r="B5" s="252"/>
      <c r="D5" s="255" t="s">
        <v>2524</v>
      </c>
      <c r="E5" s="256" t="str">
        <f>IF(OR('CHECK_2.9'!F10=VAR_1!S4,'CHECK_2.9'!F10=VAR_1!S5,'CHECK_2.9'!F10=VAR_1!S6,),"Altre",'CHECK_2.9'!F10)</f>
        <v>Altre</v>
      </c>
      <c r="G5" s="216" t="s">
        <v>161</v>
      </c>
      <c r="H5" s="253">
        <v>100000</v>
      </c>
      <c r="R5" s="216" t="s">
        <v>3440</v>
      </c>
      <c r="S5" s="213" t="s">
        <v>3443</v>
      </c>
      <c r="W5" s="306"/>
    </row>
    <row r="6" spans="1:24" ht="15.75" thickBot="1" x14ac:dyDescent="0.3">
      <c r="A6" s="251"/>
      <c r="B6" s="252"/>
      <c r="G6" s="254" t="str">
        <f>IF('CHECK_2.9'!F10=G5,'CHECK_2.9'!F18,"")</f>
        <v/>
      </c>
      <c r="H6" s="252" t="str">
        <f>IF(G6="","",IF(G6&gt;H5,"!","OK"))</f>
        <v/>
      </c>
      <c r="J6" s="892" t="s">
        <v>2216</v>
      </c>
      <c r="K6" s="893"/>
      <c r="L6" s="225"/>
      <c r="M6" s="257" t="s">
        <v>2343</v>
      </c>
      <c r="N6" s="258" t="s">
        <v>2342</v>
      </c>
      <c r="R6" s="216"/>
      <c r="S6" s="213"/>
      <c r="W6" s="439" t="str">
        <f>IF(AND(W4&lt;&gt;VAR_1!E4,RULES_TERMINI!C27&gt;=RULES!W3),"! ATT.NE VERIFICARE PRESENZA GARANZIE E RELATIVA DOCUMENTAZIONE CONTRATTUALE - CONTROGARANZIA CON SURROGA MCC","")</f>
        <v/>
      </c>
    </row>
    <row r="7" spans="1:24" ht="15.75" thickBot="1" x14ac:dyDescent="0.3">
      <c r="A7" s="255" t="s">
        <v>312</v>
      </c>
      <c r="B7" s="259">
        <f>EDATE('CHECK_2.9'!E28,3)</f>
        <v>44072</v>
      </c>
      <c r="D7" s="260" t="s">
        <v>311</v>
      </c>
      <c r="E7" s="261" t="s">
        <v>310</v>
      </c>
      <c r="G7" s="216" t="s">
        <v>151</v>
      </c>
      <c r="H7" s="262">
        <v>30000</v>
      </c>
      <c r="J7" s="263" t="s">
        <v>294</v>
      </c>
      <c r="K7" s="215">
        <f>IF('CHECK_2.9'!F115="","SPECIFICARE TIPO INA",VLOOKUP('CHECK_2.9'!F115,VAR_1!$AV$1:$AW$12,2,0))</f>
        <v>1</v>
      </c>
      <c r="L7" s="221"/>
      <c r="M7" s="264">
        <f>+RULES_TERMINI!C2+15</f>
        <v>46220</v>
      </c>
      <c r="N7" s="222">
        <f>+RULES_TERMINI!C2-15</f>
        <v>46190</v>
      </c>
      <c r="R7" s="216" t="s">
        <v>3444</v>
      </c>
      <c r="S7" s="213" t="str">
        <f>IF(S9="A",S3,
IF(S9="B","",
IF(S9="C",S4,S5)))</f>
        <v>Σ IMPORTO MAX GAR LETT.M + PREMI T.F. 3.2</v>
      </c>
    </row>
    <row r="8" spans="1:24" ht="15.75" thickBot="1" x14ac:dyDescent="0.3">
      <c r="D8" s="251" t="str">
        <f>+'CHECK_2.9'!B24</f>
        <v>INVESTIMENTO</v>
      </c>
      <c r="E8" s="252" t="str">
        <f>+'CHECK_2.9'!C24</f>
        <v>NO</v>
      </c>
      <c r="G8" s="251"/>
      <c r="H8" s="252"/>
      <c r="J8" s="221" t="s">
        <v>424</v>
      </c>
      <c r="K8" s="218" t="str">
        <f>IF(K7=5,IF('CHECK_2.9'!G117&gt;RULES_TERMINI!C2,"! DATA EVENTO NON COERENTE (OLTRE SCADENZA FIN.)","OK"),
IF(K7=6,IF(AND('CHECK_2.9'!G117&gt;=N7,'CHECK_2.9'!G117&lt;=M7),"OK","! DATA EVENTO NON COERENTE (&lt;&gt; DA SCADENZA FIN. ±15GG)"),H19))</f>
        <v>OK</v>
      </c>
      <c r="R8" s="216"/>
      <c r="S8" s="213"/>
    </row>
    <row r="9" spans="1:24" ht="15.75" thickBot="1" x14ac:dyDescent="0.3">
      <c r="A9" s="895" t="s">
        <v>309</v>
      </c>
      <c r="B9" s="896"/>
      <c r="D9" s="251" t="s">
        <v>2552</v>
      </c>
      <c r="E9" s="252" t="str">
        <f>IF('CHECK_2.9'!C13=VAR_1!AN10,"SI","NO")</f>
        <v>NO</v>
      </c>
      <c r="G9" s="254" t="str">
        <f>IF('CHECK_2.9'!F10=G7,'CHECK_2.9'!F18,"")</f>
        <v/>
      </c>
      <c r="H9" s="252" t="str">
        <f>IF(G9="","",IF(G9&gt;H7,"!","OK"))</f>
        <v/>
      </c>
      <c r="M9" s="892" t="s">
        <v>2497</v>
      </c>
      <c r="N9" s="893"/>
      <c r="R9" s="216" t="str">
        <f>'CHECK_2.9'!C18</f>
        <v>T. FRAMEWORK 3.1</v>
      </c>
      <c r="S9" s="213" t="str">
        <f>VLOOKUP(R9,VAR_1!$CS$3:$CT$6,2,0)</f>
        <v>C</v>
      </c>
      <c r="W9" s="892" t="s">
        <v>3632</v>
      </c>
      <c r="X9" s="893"/>
    </row>
    <row r="10" spans="1:24" ht="15.75" thickBot="1" x14ac:dyDescent="0.3">
      <c r="A10" s="251" t="s">
        <v>308</v>
      </c>
      <c r="B10" s="252">
        <v>5</v>
      </c>
      <c r="D10" s="251" t="str">
        <f>+'CHECK_2.9'!B15</f>
        <v>NUOVA IMPRESA</v>
      </c>
      <c r="E10" s="265" t="str">
        <f>+'CHECK_2.9'!C15</f>
        <v>NO</v>
      </c>
      <c r="G10" s="251" t="s">
        <v>307</v>
      </c>
      <c r="H10" s="253">
        <v>200000</v>
      </c>
      <c r="J10" s="892" t="s">
        <v>2217</v>
      </c>
      <c r="K10" s="893"/>
      <c r="M10" s="267" t="str">
        <f>+'CHECK_2.9'!C99</f>
        <v>No</v>
      </c>
      <c r="N10" s="268">
        <f>VLOOKUP(M10,VAR_1!$AP$1:$AQ$9,2,0)</f>
        <v>0</v>
      </c>
      <c r="R10" s="216" t="s">
        <v>3441</v>
      </c>
      <c r="S10" s="213" t="str">
        <f>IF(RULES!H4="!","! ATTENZIONE",IF(RULES!H6="!","! ATTENZIONE",IF(RULES!H9="!","! ATTENZIONE",IF(RULES!H11="!","! ATTENZIONE","OK"))))</f>
        <v>OK</v>
      </c>
      <c r="W10" s="216" t="s">
        <v>3633</v>
      </c>
      <c r="X10" s="213">
        <f>IF(AND('CHECK_2.9'!C28&gt;=RULES_TERMINI!D66,'CHECK_2.9'!C28&lt;=RULES_TERMINI!F66),1,0)</f>
        <v>0</v>
      </c>
    </row>
    <row r="11" spans="1:24" ht="15.75" thickBot="1" x14ac:dyDescent="0.3">
      <c r="A11" s="251"/>
      <c r="B11" s="252"/>
      <c r="D11" s="251" t="s">
        <v>306</v>
      </c>
      <c r="E11" s="265" t="str">
        <f>IF(AND(E8=VAR_1!AD4,OR(RULES!E10=VAR_1!Z3,E10=VAR_1!Z6)),"SI",
IF(AND(E8=VAR_1!AD4,E9="SI"),"SI",
"NO"))</f>
        <v>NO</v>
      </c>
      <c r="G11" s="266">
        <f>IF(OR('CHECK_2.9'!F10=G3,'CHECK_2.9'!F10=G5,'CHECK_2.9'!F10=G7,),"",'CHECK_2.9'!F18)</f>
        <v>25000</v>
      </c>
      <c r="H11" s="256" t="str">
        <f>IF(G11="","",IF(G11&gt;H10,"!","OK"))</f>
        <v>OK</v>
      </c>
      <c r="J11" s="267" t="s">
        <v>2218</v>
      </c>
      <c r="K11" s="268" t="str">
        <f>+K8</f>
        <v>OK</v>
      </c>
      <c r="R11" s="216" t="s">
        <v>3445</v>
      </c>
      <c r="S11" s="213" t="str">
        <f>IF('CHECK_2.9'!F18&gt;1800000,"! ATTENZIONE","OK")</f>
        <v>OK</v>
      </c>
      <c r="W11" s="221" t="s">
        <v>3634</v>
      </c>
      <c r="X11" s="218">
        <f>IF(AND('CHECK_2.9'!C28&gt;=RULES_TERMINI!D67,'CHECK_2.9'!C28&lt;=RULES_TERMINI!F71),1,0)</f>
        <v>1</v>
      </c>
    </row>
    <row r="12" spans="1:24" ht="15.75" thickBot="1" x14ac:dyDescent="0.3">
      <c r="A12" s="251" t="s">
        <v>305</v>
      </c>
      <c r="B12" s="252">
        <v>3</v>
      </c>
      <c r="D12" s="251" t="s">
        <v>304</v>
      </c>
      <c r="E12" s="265" t="str">
        <f>IF(OR('CHECK_2.9'!C13=VAR_1!AN5,'CHECK_2.9'!C13=VAR_1!AN6,'CHECK_2.9'!C13=VAR_1!AN7,'CHECK_2.9'!C13=VAR_1!AN12),"NO MP", "DA VERIFICARE")</f>
        <v>DA VERIFICARE</v>
      </c>
      <c r="M12" s="892" t="s">
        <v>2500</v>
      </c>
      <c r="N12" s="893"/>
      <c r="O12" s="892" t="s">
        <v>2543</v>
      </c>
      <c r="P12" s="893"/>
      <c r="R12" s="221" t="s">
        <v>3446</v>
      </c>
      <c r="S12" s="218" t="str">
        <f>IF(S9="B","NON NECESSARIO",
IF(OR(S9="C",S9="D"),S11,S10))</f>
        <v>OK</v>
      </c>
    </row>
    <row r="13" spans="1:24" ht="15.75" thickBot="1" x14ac:dyDescent="0.3">
      <c r="A13" s="251"/>
      <c r="B13" s="252"/>
      <c r="D13" s="251" t="s">
        <v>99</v>
      </c>
      <c r="E13" s="265" t="str">
        <f>IF(OR('CHECK_2.9'!G20=VAR_1!U3,'CHECK_2.9'!G20=VAR_1!U4,'CHECK_2.9'!G20=VAR_1!U8,'CHECK_2.9'!G20=VAR_1!U14),"DA VERIFICARE","NO MP")</f>
        <v>NO MP</v>
      </c>
      <c r="G13" s="895" t="s">
        <v>303</v>
      </c>
      <c r="H13" s="896"/>
      <c r="J13" s="892" t="s">
        <v>2289</v>
      </c>
      <c r="K13" s="893"/>
      <c r="M13" s="225" t="s">
        <v>2501</v>
      </c>
      <c r="N13" s="244">
        <v>43388</v>
      </c>
      <c r="O13" s="267" t="s">
        <v>424</v>
      </c>
      <c r="P13" s="268">
        <f>IF('CHECK_2.9'!C4="Garanzia Diretta",1,
IF(AND(K14&gt;2,'CHECK_2.9'!C4&lt;&gt;"Garanzia Diretta"),1,0))</f>
        <v>1</v>
      </c>
    </row>
    <row r="14" spans="1:24" ht="15.75" thickBot="1" x14ac:dyDescent="0.3">
      <c r="A14" s="251"/>
      <c r="B14" s="269"/>
      <c r="D14" s="251"/>
      <c r="E14" s="252"/>
      <c r="G14" s="255">
        <f>VLOOKUP('CHECK_2.9'!C99,VAR_1!$AP$1:$AQ$9,2,0)</f>
        <v>0</v>
      </c>
      <c r="H14" s="270"/>
      <c r="J14" s="267" t="str">
        <f>+'CHECK_2.9'!G28</f>
        <v>OPERAZIONE 'D.O. RIFORMA RATING'</v>
      </c>
      <c r="K14" s="268">
        <f>IF(J14="","INSERIRE DATA DOMANDA AMMISSIONE",VLOOKUP(J14,VAR_1!$AS$3:$AT$9,2,0))</f>
        <v>7</v>
      </c>
      <c r="M14" s="216" t="s">
        <v>2502</v>
      </c>
      <c r="N14" s="219">
        <v>43451</v>
      </c>
      <c r="R14" s="892" t="s">
        <v>3450</v>
      </c>
      <c r="S14" s="894"/>
      <c r="T14" s="893"/>
      <c r="W14" s="892" t="s">
        <v>3639</v>
      </c>
      <c r="X14" s="893"/>
    </row>
    <row r="15" spans="1:24" ht="15.75" thickBot="1" x14ac:dyDescent="0.3">
      <c r="A15" s="251" t="s">
        <v>302</v>
      </c>
      <c r="B15" s="269">
        <f>DATE(YEAR('CHECK_2.9'!E15)+B10,MONTH('CHECK_2.9'!E15),DAY('CHECK_2.9'!E15))</f>
        <v>44465</v>
      </c>
      <c r="D15" s="251" t="s">
        <v>301</v>
      </c>
      <c r="E15" s="265" t="str">
        <f>IF(AND(E12="DA VERIFICARE",E13="DA VERIFICARE"),"SI","NO")</f>
        <v>NO</v>
      </c>
      <c r="M15" s="221" t="s">
        <v>424</v>
      </c>
      <c r="N15" s="350" t="str">
        <f>IF('CHECK_2.9'!C28&lt;RULES!N13,"",
IF(AND('CHECK_2.9'!C28&gt;=RULES!N13,'CHECK_2.9'!C28&lt;=RULES!N14),"! VERIFICARE TIPOLOGIA ALL.TO 4 - SEZ 6 DICHIARAZIONE PMI","! REQUISITO PMI DA NON VERIFICARE"))</f>
        <v>! REQUISITO PMI DA NON VERIFICARE</v>
      </c>
      <c r="R15" s="280">
        <f>+'CHECK_2.9'!C28</f>
        <v>43976</v>
      </c>
      <c r="S15" s="213">
        <f>IF(T15&gt;=S16,0,
IF(AND(R15&gt;=R16,T15&lt;=S16),1,0))</f>
        <v>1</v>
      </c>
      <c r="T15" s="244">
        <f>+'CHECK_2.9'!E28</f>
        <v>43980</v>
      </c>
      <c r="W15" s="179">
        <f>IF('CHECK_2.9'!G90&lt;&gt;'CHECK_2.9'!G8,1,0)</f>
        <v>0</v>
      </c>
      <c r="X15" s="213"/>
    </row>
    <row r="16" spans="1:24" ht="15.75" thickBot="1" x14ac:dyDescent="0.3">
      <c r="A16" s="251"/>
      <c r="B16" s="252"/>
      <c r="D16" s="251" t="s">
        <v>2553</v>
      </c>
      <c r="E16" s="252">
        <f>IF(E9="SI",0.1,0.25)</f>
        <v>0.25</v>
      </c>
      <c r="G16" s="895" t="s">
        <v>300</v>
      </c>
      <c r="H16" s="896"/>
      <c r="J16" s="904" t="s">
        <v>2331</v>
      </c>
      <c r="K16" s="906"/>
      <c r="R16" s="220">
        <v>43907</v>
      </c>
      <c r="S16" s="222">
        <v>44645</v>
      </c>
      <c r="T16" s="218"/>
      <c r="W16" s="221">
        <f>IF('CHECK_2.9'!C90&lt;&gt;VAR_1!DE7,0,1)</f>
        <v>0</v>
      </c>
      <c r="X16" s="218">
        <f>IF(AND(W15=0,W16=0),0,1)</f>
        <v>0</v>
      </c>
    </row>
    <row r="17" spans="1:24" ht="15.75" thickBot="1" x14ac:dyDescent="0.3">
      <c r="A17" s="251"/>
      <c r="B17" s="269"/>
      <c r="D17" s="255" t="s">
        <v>299</v>
      </c>
      <c r="E17" s="270" t="str">
        <f>IF(AND(E11="SI",E15="SI"),"SI","NO")</f>
        <v>NO</v>
      </c>
      <c r="G17" s="271" t="s">
        <v>45</v>
      </c>
      <c r="H17" s="252">
        <f>IF('CHECK_2.9'!C115="","SPECIFICARE TIPO PIANO AMM.TO",
VLOOKUP('CHECK_2.9'!C115,VAR_1!$I$7:$J$9,2,0))</f>
        <v>2</v>
      </c>
      <c r="J17" s="221" t="str">
        <f>+B51</f>
        <v>Lettera m) art13 DL Liquidità</v>
      </c>
      <c r="K17" s="218">
        <f>IF(OR(J17=VAR_1!U7,J17=VAR_1!U6),1,0)</f>
        <v>0</v>
      </c>
      <c r="P17" s="892" t="s">
        <v>3510</v>
      </c>
      <c r="Q17" s="893"/>
    </row>
    <row r="18" spans="1:24" ht="15.75" thickBot="1" x14ac:dyDescent="0.3">
      <c r="A18" s="251"/>
      <c r="B18" s="252"/>
      <c r="G18" s="272" t="s">
        <v>294</v>
      </c>
      <c r="H18" s="252">
        <f>IF('CHECK_2.9'!F115="","SPECIFICARE TIPO INA",
VLOOKUP('CHECK_2.9'!F115,VAR_1!$AV$3:$AW$12,2,0))</f>
        <v>1</v>
      </c>
      <c r="M18" s="902" t="s">
        <v>2529</v>
      </c>
      <c r="N18" s="903"/>
      <c r="P18" s="280">
        <v>42900</v>
      </c>
      <c r="Q18" s="244">
        <f>+'CHECK_2.9'!C28</f>
        <v>43976</v>
      </c>
    </row>
    <row r="19" spans="1:24" ht="15.75" thickBot="1" x14ac:dyDescent="0.3">
      <c r="A19" s="251"/>
      <c r="B19" s="269"/>
      <c r="D19" s="260" t="s">
        <v>298</v>
      </c>
      <c r="E19" s="273">
        <f>IF(OR('CHECK_2.9'!C20=VAR_1!Q4,'CHECK_2.9'!C20=VAR_1!Q7),1,0)</f>
        <v>0</v>
      </c>
      <c r="F19" s="274"/>
      <c r="G19" s="255" t="s">
        <v>264</v>
      </c>
      <c r="H19" s="275" t="str">
        <f>IF(AND(H17=1,H18&gt;3,H18&lt;7),"OK",
IF(AND(H17&gt;1,H18&lt;5),"OK",
IF(H18&gt;6,"OK","! INADEMPIMENTO NON COERENTE CON PIANO AMM.TO")))</f>
        <v>OK</v>
      </c>
      <c r="J19" s="892" t="s">
        <v>2353</v>
      </c>
      <c r="K19" s="893"/>
      <c r="M19" s="247" t="s">
        <v>2530</v>
      </c>
      <c r="N19" s="248">
        <f>IF(H18=1,1,
IF(AND(OR(H18=8,H18=9),I24=1),1,0))</f>
        <v>1</v>
      </c>
      <c r="P19" s="353">
        <v>43539</v>
      </c>
      <c r="Q19" s="213" t="str">
        <f>+'CHECK_2.9'!C20</f>
        <v>14 Lettera m) art 13 DL Liquidità</v>
      </c>
      <c r="S19" s="358" t="s">
        <v>3548</v>
      </c>
      <c r="W19" s="225" t="s">
        <v>3655</v>
      </c>
      <c r="X19" s="208">
        <f>IF('CHECK_2.9'!C18=VAR_1!CS7,1,0)</f>
        <v>0</v>
      </c>
    </row>
    <row r="20" spans="1:24" ht="15.75" thickBot="1" x14ac:dyDescent="0.3">
      <c r="A20" s="255" t="s">
        <v>297</v>
      </c>
      <c r="B20" s="259">
        <f>DATE(YEAR('CHECK_2.9'!G15)+B10,MONTH('CHECK_2.9'!G15),DAY('CHECK_2.9'!G15))</f>
        <v>44545</v>
      </c>
      <c r="D20" s="274"/>
      <c r="E20" s="274"/>
      <c r="F20" s="274"/>
      <c r="J20" s="216"/>
      <c r="K20" s="213"/>
      <c r="M20" s="238" t="s">
        <v>2531</v>
      </c>
      <c r="N20" s="239">
        <f>IF(OR(H18=5,H18=6),1,
IF(AND(H18=8,OR(I24=5,I24=6)),1,0))</f>
        <v>0</v>
      </c>
      <c r="P20" s="221" t="s">
        <v>134</v>
      </c>
      <c r="Q20" s="218">
        <f>IF(B27=7,1,
IF(AND(Q18&gt;=P18,Q18&lt;P19,Q19=P20),1,0))</f>
        <v>1</v>
      </c>
      <c r="S20" s="306" t="str">
        <f>VLOOKUP('CHECK_2.9'!G20,VAR_1!$U$3:$V$16,2,0)</f>
        <v>X</v>
      </c>
      <c r="W20" s="208" t="s">
        <v>3658</v>
      </c>
      <c r="X20" s="358">
        <f>IF(OR('CHECK_2.9'!C81=VAR_1!DA5,'CHECK_2.9'!C81=VAR_1!DA6),0,1)</f>
        <v>1</v>
      </c>
    </row>
    <row r="21" spans="1:24" ht="15.75" thickBot="1" x14ac:dyDescent="0.3">
      <c r="D21" s="274"/>
      <c r="E21" s="274"/>
      <c r="F21" s="274"/>
      <c r="G21" s="895" t="s">
        <v>296</v>
      </c>
      <c r="H21" s="896"/>
      <c r="J21" s="216" t="s">
        <v>2354</v>
      </c>
      <c r="K21" s="219">
        <f>IF(AND('CHECK_2.9'!E55="Senza piano",'CHECK_2.9'!G56=""),'CHECK_2.9'!E56,'CHECK_2.9'!G56)</f>
        <v>44015</v>
      </c>
      <c r="M21" s="238" t="s">
        <v>2532</v>
      </c>
      <c r="N21" s="239">
        <f>IF(H18=7,1,
IF(AND(H18=8,I24=7,I24=9),1,0))</f>
        <v>0</v>
      </c>
      <c r="S21" s="306" t="str">
        <f>IF(AND(S20=VAR_1!V10),"","PROCESS NON COERENTE RISPETTO A DATA AMMISSIONE")</f>
        <v/>
      </c>
      <c r="W21" s="216" t="s">
        <v>3656</v>
      </c>
      <c r="X21" s="213">
        <f>IF('CHECK_2.9'!C81=VAR_1!DA3,1,0)</f>
        <v>0</v>
      </c>
    </row>
    <row r="22" spans="1:24" ht="15.75" thickBot="1" x14ac:dyDescent="0.3">
      <c r="D22" s="895" t="s">
        <v>295</v>
      </c>
      <c r="E22" s="896"/>
      <c r="F22" s="274"/>
      <c r="G22" s="364" t="s">
        <v>294</v>
      </c>
      <c r="H22" s="208">
        <f>IF('CHECK_2.9'!F115="","SPECIFICARE TIPO INA",VLOOKUP('CHECK_2.9'!F115,VAR_1!$AV$1:$AW$12,2,0))</f>
        <v>1</v>
      </c>
      <c r="I22" s="215" t="s">
        <v>2526</v>
      </c>
      <c r="J22" s="216" t="s">
        <v>2355</v>
      </c>
      <c r="K22" s="213">
        <f>+'CHECK_2.9'!G55</f>
        <v>72</v>
      </c>
      <c r="M22" s="238" t="s">
        <v>2533</v>
      </c>
      <c r="N22" s="239">
        <f>IF(H18=2,1,
IF(AND(OR(H18=8,H18=9),I24=2),1,0))</f>
        <v>0</v>
      </c>
      <c r="P22" s="892" t="s">
        <v>3521</v>
      </c>
      <c r="Q22" s="893"/>
      <c r="S22" s="306"/>
      <c r="W22" s="216" t="s">
        <v>3657</v>
      </c>
      <c r="X22" s="213">
        <f>IF('CHECK_2.9'!C81=VAR_1!DA4,1,0)</f>
        <v>0</v>
      </c>
    </row>
    <row r="23" spans="1:24" ht="15.75" thickBot="1" x14ac:dyDescent="0.3">
      <c r="A23" s="895" t="s">
        <v>293</v>
      </c>
      <c r="B23" s="896"/>
      <c r="D23" s="255" t="s">
        <v>292</v>
      </c>
      <c r="E23" s="256">
        <f>VLOOKUP('CHECK_2.9'!C13,VAR_1!$AN$3:$AO$19,2,0)</f>
        <v>0</v>
      </c>
      <c r="F23" s="274"/>
      <c r="G23" s="216" t="s">
        <v>291</v>
      </c>
      <c r="H23" s="208" t="str">
        <f>IF(OR(H22=1,H22=2,H22=8,H22=9,H22=3,H22=10),"OK","MODIFICA NON AMMESSA")</f>
        <v>OK</v>
      </c>
      <c r="I23" s="213" t="str">
        <f>+'CHECK_2.9'!C118</f>
        <v>NO</v>
      </c>
      <c r="J23" s="216" t="s">
        <v>2356</v>
      </c>
      <c r="K23" s="213">
        <f>+'CHECK_2.9'!E99</f>
        <v>0</v>
      </c>
      <c r="M23" s="238" t="s">
        <v>2540</v>
      </c>
      <c r="N23" s="367">
        <f>IF(H18=3,1,
IF(AND(H18=8,I24=3,I24=9,I24=2),1,0))</f>
        <v>0</v>
      </c>
      <c r="P23" s="280">
        <v>44371</v>
      </c>
      <c r="Q23" s="244">
        <f>+'CHECK_2.9'!C28</f>
        <v>43976</v>
      </c>
      <c r="S23" s="306"/>
    </row>
    <row r="24" spans="1:24" ht="15.75" thickBot="1" x14ac:dyDescent="0.3">
      <c r="A24" s="251"/>
      <c r="B24" s="252"/>
      <c r="D24" s="274"/>
      <c r="E24" s="274"/>
      <c r="F24" s="274"/>
      <c r="G24" s="216" t="s">
        <v>290</v>
      </c>
      <c r="H24" s="208" t="str">
        <f>+E33</f>
        <v>E</v>
      </c>
      <c r="I24" s="218">
        <f>VLOOKUP(I23,VAR_1!$BA$3:$BB$11,2,0)</f>
        <v>0</v>
      </c>
      <c r="J24" s="216" t="s">
        <v>2357</v>
      </c>
      <c r="K24" s="219">
        <f>+'CHECK_2.9'!G99</f>
        <v>0</v>
      </c>
      <c r="M24" s="238" t="s">
        <v>2541</v>
      </c>
      <c r="N24" s="239">
        <f>IF(H18=4,1,
IF(AND(H18=8,I24=4,I24=9),1,0))</f>
        <v>0</v>
      </c>
      <c r="P24" s="216" t="str">
        <f>+'CHECK_2.9'!C18</f>
        <v>T. FRAMEWORK 3.1</v>
      </c>
      <c r="Q24" s="213">
        <f>+'CHECK_2.9'!G55</f>
        <v>72</v>
      </c>
      <c r="S24" s="306"/>
    </row>
    <row r="25" spans="1:24" ht="15.75" thickBot="1" x14ac:dyDescent="0.3">
      <c r="A25" s="251" t="s">
        <v>289</v>
      </c>
      <c r="B25" s="265" t="str">
        <f>IF(DATE(YEAR('CHECK_2.9'!C28),MONTH('CHECK_2.9'!C28),DAY('CHECK_2.9'!C28))&gt;EDATE('CHECK_2.9'!E56,6),"! DELIBERA ANTECEDETE 6M DA AMM.NE","OK")</f>
        <v>OK</v>
      </c>
      <c r="D25" s="274"/>
      <c r="E25" s="274"/>
      <c r="F25" s="274"/>
      <c r="G25" s="221" t="s">
        <v>288</v>
      </c>
      <c r="H25" s="218" t="str">
        <f>IF(AND(H23="OK",H24="E"),"OK","MODIFICA NON AMMESSA")</f>
        <v>OK</v>
      </c>
      <c r="I25" s="208" t="str">
        <f>IF(H18=I24,H18,"DIFF")</f>
        <v>DIFF</v>
      </c>
      <c r="J25" s="216" t="s">
        <v>2360</v>
      </c>
      <c r="K25" s="219">
        <f>+(DATE(YEAR(K21),MONTH(K21)+(K22+K23),DAY(K21)))</f>
        <v>46206</v>
      </c>
      <c r="M25" s="238" t="s">
        <v>2534</v>
      </c>
      <c r="N25" s="239">
        <f>IF(AND(H18=8,H17&gt;1),1,0)</f>
        <v>0</v>
      </c>
      <c r="P25" s="216">
        <v>96</v>
      </c>
      <c r="Q25" s="213" t="str">
        <f>IF(AND(P24="T. FRAMEWORK 3.2",Q23&lt;P23,Q24&gt;P26),"! DURATA OLTRE 72M",
IF(AND(P24="T. FRAMEWORK 3.2",Q23&gt;=P23,Q24&gt;P25),"! DURATA OLTRE 96M","OK"))</f>
        <v>OK</v>
      </c>
      <c r="S25" s="439"/>
    </row>
    <row r="26" spans="1:24" ht="15.75" thickBot="1" x14ac:dyDescent="0.3">
      <c r="A26" s="251" t="s">
        <v>287</v>
      </c>
      <c r="B26" s="252" t="str">
        <f>IF(DATE(YEAR('CHECK_2.9'!E56),MONTH('CHECK_2.9'!E56),DAY('CHECK_2.9'!E56))&gt;EDATE('CHECK_2.9'!E28,3),"! DELIBERA BANCA OLTRE 3M","OK")</f>
        <v>OK</v>
      </c>
      <c r="D26" s="907" t="s">
        <v>286</v>
      </c>
      <c r="E26" s="908"/>
      <c r="F26" s="274"/>
      <c r="J26" s="216" t="s">
        <v>2358</v>
      </c>
      <c r="K26" s="219">
        <f>+(DATE(YEAR(K25),MONTH(K25)+1,DAY(K25)))</f>
        <v>46237</v>
      </c>
      <c r="M26" s="238" t="s">
        <v>2535</v>
      </c>
      <c r="N26" s="239">
        <f>IF(AND(H18=8,H17=1),1,0)</f>
        <v>0</v>
      </c>
      <c r="P26" s="221">
        <v>72</v>
      </c>
      <c r="Q26" s="218"/>
    </row>
    <row r="27" spans="1:24" ht="15.75" thickBot="1" x14ac:dyDescent="0.3">
      <c r="A27" s="251" t="s">
        <v>285</v>
      </c>
      <c r="B27" s="252">
        <f>VLOOKUP('CHECK_2.9'!G28,VAR_1!$AS$1:$AT$9,2,0)</f>
        <v>7</v>
      </c>
      <c r="D27" s="225" t="s">
        <v>284</v>
      </c>
      <c r="E27" s="244">
        <v>43388</v>
      </c>
      <c r="F27" s="274"/>
      <c r="G27" s="895" t="s">
        <v>283</v>
      </c>
      <c r="H27" s="896"/>
      <c r="J27" s="216" t="s">
        <v>2359</v>
      </c>
      <c r="K27" s="219">
        <f>+(DATE(YEAR(K25),MONTH(K25)-1,DAY(K25)))</f>
        <v>46176</v>
      </c>
      <c r="M27" s="238" t="s">
        <v>2554</v>
      </c>
      <c r="N27" s="239">
        <f>IF(RULES_TERMINI!C15&lt;RULES_TERMINI!C20,1,0)</f>
        <v>0</v>
      </c>
      <c r="P27" s="208" t="s">
        <v>3530</v>
      </c>
      <c r="Q27" s="208">
        <f>IF('CHECK_2.9'!C28&lt;DATE(2020,4,27),0,IF(AND(P24=VAR_1!CS6,S33&gt;1),1,0))</f>
        <v>0</v>
      </c>
    </row>
    <row r="28" spans="1:24" ht="15.75" thickBot="1" x14ac:dyDescent="0.3">
      <c r="A28" s="251" t="s">
        <v>282</v>
      </c>
      <c r="B28" s="252" t="str">
        <f xml:space="preserve">
IF(AND(B27&gt;3,'CHECK_2.9'!C4&lt;&gt;VAR_1!E7,'CHECK_2.9'!C4&lt;&gt;VAR_1!E8,'CHECK_2.9'!C28&lt;RULES_TERMINI!D67),
IF('CHECK_2.9'!E56&lt;='CHECK_2.9'!E28,"! VERIFICA DELIBERA CONDIZIONATA","OK NO CONDIZIONE"),"DEL CONDIZIONATA NON NECESSARIA")</f>
        <v>DEL CONDIZIONATA NON NECESSARIA</v>
      </c>
      <c r="D28" s="216" t="s">
        <v>281</v>
      </c>
      <c r="E28" s="219">
        <v>43114</v>
      </c>
      <c r="G28" s="225" t="s">
        <v>280</v>
      </c>
      <c r="H28" s="244">
        <f>(DATE(YEAR('CHECK_2.9'!C120),MONTH('CHECK_2.9'!C120),DAY('CHECK_2.9'!C120)+60))</f>
        <v>45605</v>
      </c>
      <c r="J28" s="221" t="s">
        <v>264</v>
      </c>
      <c r="K28" s="218" t="str">
        <f>IF(OR(K24&gt;K26,K24&lt;K27),"! VERIFICARE MAGG DURATA / SCADENZA","OK")</f>
        <v>! VERIFICARE MAGG DURATA / SCADENZA</v>
      </c>
      <c r="M28" s="238" t="s">
        <v>2536</v>
      </c>
      <c r="N28" s="239"/>
      <c r="P28" s="507">
        <v>0.1</v>
      </c>
      <c r="Q28" s="215" t="str">
        <f>+'CHECK_2.9'!E29</f>
        <v>DL LIQUIDITA ANTE CONVERSIONE</v>
      </c>
      <c r="R28" s="225">
        <f>+'CHECK_2.9'!C75</f>
        <v>0</v>
      </c>
      <c r="S28" s="215">
        <f>+'CHECK_2.9'!D75</f>
        <v>0</v>
      </c>
    </row>
    <row r="29" spans="1:24" ht="15.75" thickBot="1" x14ac:dyDescent="0.3">
      <c r="A29" s="251" t="s">
        <v>279</v>
      </c>
      <c r="B29" s="265" t="str">
        <f>IF('CHECK_2.9'!C4=VAR_1!E4,"",IF('CHECK_2.9'!C56&gt;'CHECK_2.9'!C28,"! DEL CONFIDI SUCCESSIVA AD AMM.NE",IF(DATE(YEAR('CHECK_2.9'!C28),MONTH('CHECK_2.9'!C28),DAY('CHECK_2.9'!C28))&gt;EDATE('CHECK_2.9'!C56,6),"! DEL CONFIDI ANTE 6M AMM.NE","OK")))</f>
        <v/>
      </c>
      <c r="D29" s="251" t="s">
        <v>278</v>
      </c>
      <c r="E29" s="269">
        <f>+RULES_TERMINI!C5</f>
        <v>45547</v>
      </c>
      <c r="G29" s="216" t="s">
        <v>266</v>
      </c>
      <c r="H29" s="276">
        <f>+H28-'CHECK_2.9'!E145</f>
        <v>31</v>
      </c>
      <c r="M29" s="238" t="s">
        <v>2537</v>
      </c>
      <c r="N29" s="241"/>
      <c r="P29" s="508">
        <v>0.2495</v>
      </c>
      <c r="Q29" s="213">
        <f>+'CHECK_2.9'!G58</f>
        <v>25000</v>
      </c>
      <c r="R29" s="216" t="s">
        <v>3528</v>
      </c>
      <c r="S29" s="213" t="str">
        <f>IF(R28=VAR_1!CY3,RULES!S28*2,
IF(RULES!R28=VAR_1!CY4,RULES!S28,
IF(R28=VAR_1!CY5,'CHECK_2.9'!D75*0.25,"! VALORIZZARE REQUISITO")))</f>
        <v>! VALORIZZARE REQUISITO</v>
      </c>
      <c r="W29" s="225">
        <f>+'CHECK_2.9'!D65</f>
        <v>0</v>
      </c>
      <c r="X29" s="215"/>
    </row>
    <row r="30" spans="1:24" ht="15.75" thickBot="1" x14ac:dyDescent="0.3">
      <c r="A30" s="251" t="s">
        <v>2576</v>
      </c>
      <c r="B30" s="252" t="str">
        <f>IF('CHECK_2.9'!C56&lt;=EDATE('CHECK_2.9'!C28,-2),"! DELIBERA CONFIDI ANTECENDETE 2M DT_AMMISSIONE",
IF('CHECK_2.9'!C56&gt;EDATE('CHECK_2.9'!E28,3),"! DELIBERA CONFIDI SUCCESSIVA 3M CONSIGLIO",""))</f>
        <v>! DELIBERA CONFIDI ANTECENDETE 2M DT_AMMISSIONE</v>
      </c>
      <c r="D30" s="216" t="s">
        <v>38</v>
      </c>
      <c r="E30" s="277">
        <f>+RULES_TERMINI!C15</f>
        <v>45475</v>
      </c>
      <c r="G30" s="221" t="s">
        <v>264</v>
      </c>
      <c r="H30" s="218" t="str">
        <f>IF('CHECK_2.9'!E145=RULES!H28,"OK - RILEVAZIONE AL 60° GIORNO",("! RILEVAZIONE AL " &amp; (60-H29) &amp;" GIORNO"))</f>
        <v>! RILEVAZIONE AL 29 GIORNO</v>
      </c>
      <c r="J30" s="892" t="s">
        <v>2361</v>
      </c>
      <c r="K30" s="893"/>
      <c r="M30" s="238" t="s">
        <v>2538</v>
      </c>
      <c r="N30" s="241"/>
      <c r="P30" s="216">
        <f>+W48</f>
        <v>0</v>
      </c>
      <c r="Q30" s="526" t="e">
        <f>IF(Q28=VAR_1!CV4,
IF(Q31&gt;=P28,"OK","! MAGGIOR CREDITO CONCESSO &lt; +10%"),
IF(Q31&gt;=P29,"OK","! MAGGIOR CREDITO CONCESSO &lt; +25%"))</f>
        <v>#DIV/0!</v>
      </c>
      <c r="R30" s="216"/>
      <c r="S30" s="213">
        <f>+'CHECK_2.9'!C76</f>
        <v>0</v>
      </c>
      <c r="W30" s="216" t="s">
        <v>3576</v>
      </c>
      <c r="X30" s="219">
        <f>+'CHECK_2.9'!E56</f>
        <v>43974</v>
      </c>
    </row>
    <row r="31" spans="1:24" ht="15.75" thickBot="1" x14ac:dyDescent="0.3">
      <c r="A31" s="251"/>
      <c r="B31" s="265"/>
      <c r="D31" s="216" t="s">
        <v>277</v>
      </c>
      <c r="E31" s="277">
        <f>+'CHECK_2.9'!E110</f>
        <v>0</v>
      </c>
      <c r="J31" s="216" t="s">
        <v>2362</v>
      </c>
      <c r="K31" s="219">
        <f>+'CHECK_2.9'!C58</f>
        <v>46205</v>
      </c>
      <c r="M31" s="238" t="s">
        <v>2539</v>
      </c>
      <c r="N31" s="368"/>
      <c r="P31" s="216"/>
      <c r="Q31" s="527" t="e">
        <f>+(Q29-P30)/P30</f>
        <v>#DIV/0!</v>
      </c>
      <c r="R31" s="221"/>
      <c r="S31" s="213" t="str">
        <f>IF(S30=0,"! VALORIZZARE IMPORTI FINANZIAMENTI T.F. 3.2",
IF(S30&gt;S29,"! IMPORTO SUPERIORE A REQUISITO","OK"))</f>
        <v>! VALORIZZARE IMPORTI FINANZIAMENTI T.F. 3.2</v>
      </c>
      <c r="W31" s="216" t="e">
        <f>VLOOKUP(W29,VAR_1!$Q$21:$R$23,2,0)</f>
        <v>#N/A</v>
      </c>
      <c r="X31" s="213" t="s">
        <v>3571</v>
      </c>
    </row>
    <row r="32" spans="1:24" ht="15.75" thickBot="1" x14ac:dyDescent="0.3">
      <c r="A32" s="251" t="s">
        <v>276</v>
      </c>
      <c r="B32" s="252" t="str">
        <f>IF(AND(OR('CHECK_2.9'!C4=VAR_1!E7,'CHECK_2.9'!C4=VAR_1!E8),'CHECK_2.9'!C18=VAR_1!CS7,'CHECK_2.9'!G56&lt;'CHECK_2.9'!E28),"! ATT.NE TCF EROGATA ANTE AMM.NE - INEF.CE",
IF(AND('CHECK_2.9'!C28&gt;=RULES_TERMINI!D67,'CHECK_2.9'!C28&lt;=RULES_TERMINI!F71),"! OPERAZIONE COVID - OK NO CTRL",
IF(AND('CHECK_2.9'!C28&gt;=RULES_TERMINI!D38,'CHECK_2.9'!G56&lt;'CHECK_2.9'!E28),"! EROGAZIONE ANTE DELIBERA AMMISSIONE",
IF('CHECK_2.9'!E55=VAR_1!I3,"OK - NO CTRL",
IF(B27&lt;&gt;7,IF(DATE(YEAR('CHECK_2.9'!G56),MONTH('CHECK_2.9'!G56),DAY('CHECK_2.9'!G56))&gt;EDATE('CHECK_2.9'!E28,3),"! PERF.TO BANCA OLTRE 3M","OK"),IF(DATE(YEAR('CHECK_2.9'!G56),MONTH('CHECK_2.9'!G56),DAY('CHECK_2.9'!G56))&gt;EDATE('CHECK_2.9'!E28,4),"! PERF.TO BANCA OLTRE 4M","OK"))))))</f>
        <v>! OPERAZIONE COVID - OK NO CTRL</v>
      </c>
      <c r="D32" s="216" t="s">
        <v>275</v>
      </c>
      <c r="E32" s="213" t="str">
        <f>IF(E31&lt;&gt;0,E31&lt;E27,"FALSO")</f>
        <v>FALSO</v>
      </c>
      <c r="G32" s="907" t="s">
        <v>274</v>
      </c>
      <c r="H32" s="908"/>
      <c r="J32" s="216" t="s">
        <v>2363</v>
      </c>
      <c r="K32" s="219">
        <f>+(DATE(YEAR(K21),MONTH(K21)+K22,DAY(K21)))</f>
        <v>46206</v>
      </c>
      <c r="M32" s="238" t="s">
        <v>321</v>
      </c>
      <c r="N32" s="368"/>
      <c r="P32" s="216"/>
      <c r="Q32" s="526" t="e">
        <f>CONCATENATE("MAGGIOR CREDITO CONCESSO DEL ",TEXT(Q31,"0,00%"))</f>
        <v>#DIV/0!</v>
      </c>
      <c r="S32" s="225"/>
      <c r="T32" s="226"/>
      <c r="U32" s="215"/>
      <c r="W32" s="221" t="e">
        <f>IF(W31=2,"IMPORTO CONSOLIDATO (BT) + MAGG. CREDITO",
IF(W31=3,"IMPORTO CONSOLIDATO (BT) + IMPORTO CONSOLIDATO (MLT) + MAGG. CREDITO","IMPORTO CONSOLIDATO (MLT) + MAGG. CREDITO"))</f>
        <v>#N/A</v>
      </c>
      <c r="X32" s="532">
        <f>IF(OR(Q28=VAR_1!CV4,X30&lt;=RULES_TERMINI!F67),P28,P29)</f>
        <v>0.1</v>
      </c>
    </row>
    <row r="33" spans="1:24" ht="15.75" thickBot="1" x14ac:dyDescent="0.3">
      <c r="A33" s="255" t="s">
        <v>273</v>
      </c>
      <c r="B33" s="256" t="str">
        <f>IF(AND(OR('CHECK_2.9'!C4=VAR_1!E7,'CHECK_2.9'!C4=VAR_1!E8),'CHECK_2.9'!C18=VAR_1!CS7,'CHECK_2.9'!G56&lt;'CHECK_2.9'!E28),"! ATT.NE TCF EROGATA ANTE AMM.NE - INEF.CE",
IF(AND('CHECK_2.9'!C28&gt;=RULES_TERMINI!D67,'CHECK_2.9'!C28&lt;=RULES_TERMINI!F71),"! OPERAZIONE COVID - OK NO CTRL",
IF(AND('CHECK_2.9'!C28&gt;=RULES_TERMINI!D38,'CHECK_2.9'!G56&lt;'CHECK_2.9'!E28),"! EROGAZIONE ANTE DELIBERA AMMISSIONE",
IF('CHECK_2.9'!E55=VAR_1!I4,"OK - NO CTRL",
IF(B27=7,IF((DATE(YEAR('CHECK_2.9'!G56),MONTH('CHECK_2.9'!G56),DAY('CHECK_2.9'!G56)))&gt;EDATE('CHECK_2.9'!E28,6),"! EROGAZIONE 25% POST 6M DA CONSIGLIO","OK"),
IF(B27&lt;3,
IF((DATE(YEAR('CHECK_2.9'!G56),MONTH('CHECK_2.9'!G56),DAY('CHECK_2.9'!G56)))&gt;EDATE('CHECK_2.9'!E28,12),"! EROGAZIONE POST 12M DA CONSIGLIO","OK"),
IF((DATE(YEAR('CHECK_2.9'!G56),MONTH('CHECK_2.9'!G56),DAY('CHECK_2.9'!G56)))&gt;EDATE('CHECK_2.9'!E28,6),"! EROGAZIONE 25% POST 6M DA CONSIGLIO","OK")))))))</f>
        <v>! OPERAZIONE COVID - OK NO CTRL</v>
      </c>
      <c r="D33" s="251" t="s">
        <v>272</v>
      </c>
      <c r="E33" s="213" t="str">
        <f>IF('CHECK_2.9'!C117=VAR_1!AY3,"E","A")</f>
        <v>E</v>
      </c>
      <c r="G33" s="263" t="s">
        <v>45</v>
      </c>
      <c r="H33" s="215">
        <f>+H17</f>
        <v>2</v>
      </c>
      <c r="J33" s="216" t="s">
        <v>2358</v>
      </c>
      <c r="K33" s="219">
        <f>+(DATE(YEAR(K32),MONTH(K32)+1,DAY(K32)))</f>
        <v>46237</v>
      </c>
      <c r="M33" s="285" t="s">
        <v>2550</v>
      </c>
      <c r="N33" s="370">
        <f>IF(H18=10,1,0)</f>
        <v>0</v>
      </c>
      <c r="P33" s="216" t="s">
        <v>3524</v>
      </c>
      <c r="Q33" s="213">
        <f>IF(Q28=VAR_1!CV5,1,0)</f>
        <v>0</v>
      </c>
      <c r="S33" s="216">
        <f>VLOOKUP(Q28,VAR_1!$CV$3:$CW$7,2,0)</f>
        <v>2</v>
      </c>
      <c r="U33" s="213"/>
      <c r="W33" s="358" t="s">
        <v>3569</v>
      </c>
      <c r="X33" s="528"/>
    </row>
    <row r="34" spans="1:24" ht="15.75" thickBot="1" x14ac:dyDescent="0.3">
      <c r="D34" s="251" t="s">
        <v>271</v>
      </c>
      <c r="E34" s="213" t="str">
        <f>IF(AND(E29&lt;E27,E33="A"),"A",
IF(AND(E33="A",E29&gt;=E27),"E",
IF(E29&gt;=E27,"E","A")))</f>
        <v>E</v>
      </c>
      <c r="G34" s="216" t="s">
        <v>270</v>
      </c>
      <c r="H34" s="213">
        <f>IF(H33=1,5,11)</f>
        <v>11</v>
      </c>
      <c r="J34" s="216" t="s">
        <v>2359</v>
      </c>
      <c r="K34" s="219">
        <f>+(DATE(YEAR(K32),MONTH(K32)-1,DAY(K32)))</f>
        <v>46176</v>
      </c>
      <c r="N34" s="211"/>
      <c r="P34" s="321" t="s">
        <v>3527</v>
      </c>
      <c r="Q34" s="218">
        <f>IF('CHECK_2.9'!C75=RULES!P34,1,0)</f>
        <v>0</v>
      </c>
      <c r="S34" s="221" t="s">
        <v>3547</v>
      </c>
      <c r="T34" s="308"/>
      <c r="U34" s="218" t="str">
        <f>IF('CHECK_2.9'!C20=VAR_1!Q17,
IF(S33=2,"SOLO CR","TUTTO"),"")</f>
        <v/>
      </c>
      <c r="W34" s="529">
        <f>MAX('CHECK_2.9'!C67:'CHECK_2.9'!D67)</f>
        <v>0</v>
      </c>
      <c r="X34" s="529">
        <f>+W34*$X$32</f>
        <v>0</v>
      </c>
    </row>
    <row r="35" spans="1:24" ht="15.75" thickBot="1" x14ac:dyDescent="0.3">
      <c r="D35" s="216" t="s">
        <v>2498</v>
      </c>
      <c r="E35" s="219">
        <f>'CHECK_2.9'!E117</f>
        <v>45384</v>
      </c>
      <c r="G35" s="216" t="s">
        <v>38</v>
      </c>
      <c r="H35" s="219">
        <f>IF(RULES_TERMINI!J61="EVENTO MODIFICATO IN CONCORSUALI",RULES_TERMINI!C15,RULES_TERMINI!C17)</f>
        <v>45475</v>
      </c>
      <c r="J35" s="221" t="s">
        <v>264</v>
      </c>
      <c r="K35" s="218" t="str">
        <f>IF(OR(K31&gt;K33,K31&lt;K34),"! VERIFICARE DURATA / SCADENZA","OK")</f>
        <v>OK</v>
      </c>
      <c r="N35" s="357"/>
      <c r="S35" s="225">
        <f>VLOOKUP(Q28,VAR_1!$CV$3:$CW$7,2,0)</f>
        <v>2</v>
      </c>
      <c r="T35" s="226"/>
      <c r="U35" s="215"/>
      <c r="W35" s="529">
        <f>MAX('CHECK_2.9'!C68:'CHECK_2.9'!D68)</f>
        <v>0</v>
      </c>
      <c r="X35" s="529">
        <f t="shared" ref="X35:X38" si="0">+W35*$X$32</f>
        <v>0</v>
      </c>
    </row>
    <row r="36" spans="1:24" ht="15.75" thickBot="1" x14ac:dyDescent="0.3">
      <c r="D36" s="216" t="s">
        <v>269</v>
      </c>
      <c r="E36" s="219">
        <f>+'CHECK_2.9'!G120</f>
        <v>45511</v>
      </c>
      <c r="G36" s="216" t="s">
        <v>268</v>
      </c>
      <c r="H36" s="219">
        <f>EDATE(H35,H34)</f>
        <v>45810</v>
      </c>
      <c r="M36" s="892" t="s">
        <v>2558</v>
      </c>
      <c r="N36" s="893"/>
      <c r="O36" s="358" t="s">
        <v>2589</v>
      </c>
      <c r="S36" s="221" t="s">
        <v>3559</v>
      </c>
      <c r="T36" s="308"/>
      <c r="U36" s="218" t="str">
        <f>IF('CHECK_2.9'!C20=VAR_1!Q18,
IF(S35&lt;3,"SOLO CR","TUTTO"),"")</f>
        <v/>
      </c>
      <c r="W36" s="529">
        <f>MAX('CHECK_2.9'!C69:'CHECK_2.9'!D69)</f>
        <v>0</v>
      </c>
      <c r="X36" s="529">
        <f t="shared" si="0"/>
        <v>0</v>
      </c>
    </row>
    <row r="37" spans="1:24" ht="15.75" thickBot="1" x14ac:dyDescent="0.3">
      <c r="D37" s="216" t="s">
        <v>267</v>
      </c>
      <c r="E37" s="219">
        <v>43480</v>
      </c>
      <c r="G37" s="216" t="s">
        <v>266</v>
      </c>
      <c r="H37" s="331">
        <f>(+H36-I37)/30</f>
        <v>7.8666666666666663</v>
      </c>
      <c r="I37" s="356">
        <f>+IF('CHECK_2.9'!E145="",'CHECK_2.9'!C142,'CHECK_2.9'!E145)</f>
        <v>45574</v>
      </c>
      <c r="J37" s="892" t="s">
        <v>2492</v>
      </c>
      <c r="K37" s="893"/>
      <c r="M37" s="216" t="s">
        <v>2559</v>
      </c>
      <c r="N37" s="219">
        <f>+'CHECK_2.9'!C28</f>
        <v>43976</v>
      </c>
      <c r="O37" s="306"/>
      <c r="W37" s="529">
        <f>MAX('CHECK_2.9'!C70:'CHECK_2.9'!D70)</f>
        <v>0</v>
      </c>
      <c r="X37" s="529">
        <f t="shared" si="0"/>
        <v>0</v>
      </c>
    </row>
    <row r="38" spans="1:24" ht="15.75" thickBot="1" x14ac:dyDescent="0.3">
      <c r="D38" s="216" t="s">
        <v>2499</v>
      </c>
      <c r="E38" s="219">
        <v>43023</v>
      </c>
      <c r="G38" s="216" t="s">
        <v>265</v>
      </c>
      <c r="H38" s="278">
        <f>TRUNC(H37)</f>
        <v>7</v>
      </c>
      <c r="I38" s="279"/>
      <c r="J38" s="280">
        <f>+'CHECK_2.9'!E117</f>
        <v>45384</v>
      </c>
      <c r="K38" s="244">
        <v>43023</v>
      </c>
      <c r="M38" s="216" t="s">
        <v>2560</v>
      </c>
      <c r="N38" s="219">
        <f>+'CHECK_2.9'!D171</f>
        <v>0</v>
      </c>
      <c r="O38" s="438">
        <f>+'CHECK_2.9'!F203</f>
        <v>43921</v>
      </c>
      <c r="Q38" s="892" t="s">
        <v>3535</v>
      </c>
      <c r="R38" s="893"/>
      <c r="W38" s="529">
        <f>MAX('CHECK_2.9'!C71:'CHECK_2.9'!D71)</f>
        <v>0</v>
      </c>
      <c r="X38" s="529">
        <f t="shared" si="0"/>
        <v>0</v>
      </c>
    </row>
    <row r="39" spans="1:24" ht="15.75" thickBot="1" x14ac:dyDescent="0.3">
      <c r="D39" s="216"/>
      <c r="E39" s="213"/>
      <c r="G39" s="216" t="s">
        <v>264</v>
      </c>
      <c r="H39" s="213" t="str">
        <f>IF(I37&gt;RULES!H36,"! RILEVAZIONE OLTRE "&amp;H34&amp;" MESI DA EDR","OK - RILEVAZIONE AL "&amp;(H34-H38)&amp;" MESE DA EDR")</f>
        <v>OK - RILEVAZIONE AL 4 MESE DA EDR</v>
      </c>
      <c r="J39" s="353">
        <v>43294</v>
      </c>
      <c r="K39" s="213" t="str">
        <f>+RULES_TERMINI!J49</f>
        <v>OK</v>
      </c>
      <c r="M39" s="216" t="s">
        <v>2561</v>
      </c>
      <c r="N39" s="219">
        <f>+'CHECK_2.9'!G171</f>
        <v>0</v>
      </c>
      <c r="O39" s="306"/>
      <c r="Q39" s="225" t="s">
        <v>3531</v>
      </c>
      <c r="R39" s="215">
        <f>+'CHECK_2.9'!C202</f>
        <v>0</v>
      </c>
      <c r="W39" s="530">
        <f>SUM(W34:W38)</f>
        <v>0</v>
      </c>
      <c r="X39" s="530">
        <f>SUM(X34:X38)</f>
        <v>0</v>
      </c>
    </row>
    <row r="40" spans="1:24" ht="15.75" thickBot="1" x14ac:dyDescent="0.3">
      <c r="A40" s="892" t="s">
        <v>2286</v>
      </c>
      <c r="B40" s="893"/>
      <c r="D40" s="221" t="s">
        <v>263</v>
      </c>
      <c r="E40" s="218" t="str">
        <f>IF('CHECK_2.9'!C117="","",
IF(E32=TRUE,"A",
IF(E29&lt;E27,"A",
IF(K40&lt;&gt;"OK","A",
IF(AND(K7&lt;3,E35&gt;=E38),"E",
IF(AND(K7&gt;2,K7&lt;&gt;6,E35&gt;=E38),"E",
IF(AND(K7=6,K39="OK"),"E","A")))))))</f>
        <v>E</v>
      </c>
      <c r="G40" s="216" t="s">
        <v>2194</v>
      </c>
      <c r="H40" s="219">
        <f>+I37</f>
        <v>45574</v>
      </c>
      <c r="J40" s="221"/>
      <c r="K40" s="222" t="str">
        <f>IF(AND(E29&gt;=E27,E33="A"),
IF(AND(K7=6,K39="! EDR - TRANSITORIO KO"),"! EDR NON APPLICABILE",
IF(AND(K7&lt;3,J38&gt;J39,J38&lt;K38),"! EDR NON APPLICABILE",
IF(AND(J38&lt;E38,J38&gt;E27),"! EDR NON APPLICABILE","OK"))),"OK")</f>
        <v>OK</v>
      </c>
      <c r="M40" s="216"/>
      <c r="N40" s="213"/>
      <c r="O40" s="439" t="str">
        <f>IF(OR('CHECK_2.9'!C203&gt;N37,'CHECK_2.9'!F203&gt;N37,'CHECK_2.9'!C204&gt;N37),"! RILEVAZIONI CR SCAD/SOFF/INA SUCCESSIVE AD AMM.NE",
IF(OR('CHECK_2.9'!C203&lt;=N41,'CHECK_2.9'!F203&lt;=N41,'CHECK_2.9'!C204&lt;=N41),"! RILEVAZIONI CR SCAD/SOFF/INA PRECEDENTI OLTRE 2M AMM.NE","OK"))</f>
        <v>OK</v>
      </c>
      <c r="Q40" s="216" t="str">
        <f>+'CHECK_2.9'!D202</f>
        <v>CAPITALE SOCIALE</v>
      </c>
      <c r="R40" s="213">
        <f>+'CHECK_2.9'!E202</f>
        <v>0</v>
      </c>
      <c r="W40" s="528" t="s">
        <v>3567</v>
      </c>
      <c r="X40" s="528"/>
    </row>
    <row r="41" spans="1:24" ht="15.75" thickBot="1" x14ac:dyDescent="0.3">
      <c r="A41" s="225">
        <f>+'CHECK_2.9'!C165</f>
        <v>0</v>
      </c>
      <c r="B41" s="215">
        <f>+'CHECK_2.9'!D165</f>
        <v>0</v>
      </c>
      <c r="G41" s="216" t="s">
        <v>2193</v>
      </c>
      <c r="H41" s="219">
        <f>+'CHECK_2.9'!C144</f>
        <v>45978</v>
      </c>
      <c r="K41" s="211"/>
      <c r="L41" s="211"/>
      <c r="M41" s="216" t="s">
        <v>2563</v>
      </c>
      <c r="N41" s="219">
        <f>EOMONTH(N37,-3)</f>
        <v>43890</v>
      </c>
      <c r="P41" s="211"/>
      <c r="Q41" s="216" t="s">
        <v>3532</v>
      </c>
      <c r="R41" s="219">
        <f>+'CHECK_2.9'!C201</f>
        <v>0</v>
      </c>
      <c r="W41" s="529" cm="1">
        <f t="array" ref="W41:W45">+'CHECK_2.9'!E67:E71</f>
        <v>0</v>
      </c>
      <c r="X41" s="529">
        <f>+W41*$X$32</f>
        <v>0</v>
      </c>
    </row>
    <row r="42" spans="1:24" ht="30.75" thickBot="1" x14ac:dyDescent="0.3">
      <c r="A42" s="221" t="s">
        <v>424</v>
      </c>
      <c r="B42" s="218" t="str">
        <f>IF(AND(A41&lt;0,B41&lt;0),"! PERDITA IN 2 ES","OK")</f>
        <v>OK</v>
      </c>
      <c r="G42" s="267" t="s">
        <v>2219</v>
      </c>
      <c r="H42" s="281" t="str">
        <f>IF(H41&lt;H36,
IF(H40&gt;H41,CONCATENATE("! DATA RILEVAZIONE OLTRE RICHIESTA ESCUSSIONE - ACQUISIRE AGGIORNAMENTO IMPORTO RICHIESTO IN LIQUIDAZIONE ALLA DATA DI RICHIESTA ESCUSSIONE ",TEXT(H41,"gg/mm/aaaa")),"OK"),
CONCATENATE("VERIFICARE RILEVAZIONE AL MASSIMO AL ",H34," MESE DALL'EVENTO: ",TEXT(H36,"gg/mm/aaaa")))</f>
        <v>VERIFICARE RILEVAZIONE AL MASSIMO AL 11 MESE DALL'EVENTO: 02/06/2025</v>
      </c>
      <c r="I42" s="897" t="str">
        <f>IF('CHECK_2.9'!C4="Garanzia Diretta",RULES!H42,RULES!H44)</f>
        <v>VERIFICARE RILEVAZIONE AL MASSIMO AL 11 MESE DALL'EVENTO: 02/06/2025</v>
      </c>
      <c r="M42" s="216" t="s">
        <v>2562</v>
      </c>
      <c r="N42" s="213" t="str">
        <f>IF(N38&gt;N37,"! CE.RI. SUCCESSIVA AD AMM.NE",
IF(N38&lt;=N41,"! CE.RI. PRECEDENTE OLTRE 2M -  MOTIVARE IN NOTE","OK"))</f>
        <v>! CE.RI. PRECEDENTE OLTRE 2M -  MOTIVARE IN NOTE</v>
      </c>
      <c r="O42" s="440">
        <f>+'CHECK_2.9'!C210</f>
        <v>43957</v>
      </c>
      <c r="Q42" s="216"/>
      <c r="R42" s="213" t="str">
        <f>IF(AND(R39&gt;0,R39&gt;=R40/2),"OK", "! IMPRESA IN DIFFICOLTA'")</f>
        <v>! IMPRESA IN DIFFICOLTA'</v>
      </c>
      <c r="W42" s="529">
        <v>0</v>
      </c>
      <c r="X42" s="529">
        <f t="shared" ref="X42:X45" si="1">+W42*$X$32</f>
        <v>0</v>
      </c>
    </row>
    <row r="43" spans="1:24" ht="15.75" thickBot="1" x14ac:dyDescent="0.3">
      <c r="G43" s="225" t="s">
        <v>2220</v>
      </c>
      <c r="H43" s="244">
        <f>+'CHECK_2.9'!C144</f>
        <v>45978</v>
      </c>
      <c r="I43" s="898"/>
      <c r="M43" s="216"/>
      <c r="N43" s="213"/>
      <c r="O43" s="306"/>
      <c r="Q43" s="216" t="s">
        <v>3533</v>
      </c>
      <c r="R43" s="219">
        <f>+'CHECK_2.9'!E15</f>
        <v>42639</v>
      </c>
      <c r="W43" s="529">
        <v>0</v>
      </c>
      <c r="X43" s="529">
        <f t="shared" si="1"/>
        <v>0</v>
      </c>
    </row>
    <row r="44" spans="1:24" ht="30.75" thickBot="1" x14ac:dyDescent="0.3">
      <c r="A44" s="904" t="s">
        <v>2290</v>
      </c>
      <c r="B44" s="905"/>
      <c r="C44" s="906"/>
      <c r="D44" s="892" t="s">
        <v>2525</v>
      </c>
      <c r="E44" s="893"/>
      <c r="G44" s="267" t="s">
        <v>2221</v>
      </c>
      <c r="H44" s="281" t="str">
        <f>IF(MIN(H41,H43)&lt;H36,IF(H40&gt;MIN(H41,H43),CONCATENATE("! DATA RILEVAZIONE OLTRE RICHIESTA ESCUSSIONE CONF/FDG - ACQUISIRE AGGIORNAMENTO IMPORTO RICHIESTO IN LIQUIDAZIONE ALLA DATA DI RICHIESTA ESCUSSIONE CONF/FDG ",TEXT(MIN(H41,H43),"gg/mm/aaaa")),"OK"),CONCATENATE(" VERIFICARE RILEVAZIONE AL MASSIMO AL ",H34," MESE DALL'EVENTO: ",TEXT(H36,"gg/mm/aaaa")))</f>
        <v xml:space="preserve"> VERIFICARE RILEVAZIONE AL MASSIMO AL 11 MESE DALL'EVENTO: 02/06/2025</v>
      </c>
      <c r="I44" s="899"/>
      <c r="M44" s="216" t="s">
        <v>2565</v>
      </c>
      <c r="N44" s="219">
        <f>DATE(YEAR(N37)+2,MONTH(N37),DAY(N37))</f>
        <v>44706</v>
      </c>
      <c r="O44" s="439" t="str">
        <f>IF(O42&lt;EDATE(N37,-6),"! PREGIUDIZIEVOLI ANTECEDENTI A 6M AMM.NE",
IF(O42&gt;N44,"! PREGIUDIZIEVOLI OLTRE 2Y AMM.NE","OK"))</f>
        <v>OK</v>
      </c>
      <c r="Q44" s="216" t="s">
        <v>3534</v>
      </c>
      <c r="R44" s="219">
        <f>+'CHECK_2.9'!C28</f>
        <v>43976</v>
      </c>
      <c r="W44" s="529">
        <v>0</v>
      </c>
      <c r="X44" s="529">
        <f t="shared" si="1"/>
        <v>0</v>
      </c>
    </row>
    <row r="45" spans="1:24" ht="15.75" thickBot="1" x14ac:dyDescent="0.3">
      <c r="A45" s="247">
        <f>+'CHECK_2.9'!C164</f>
        <v>0</v>
      </c>
      <c r="B45" s="282">
        <f>+'CHECK_2.9'!D164</f>
        <v>0</v>
      </c>
      <c r="C45" s="283" t="str">
        <f>IF(B45=0,"",TRUNC((A45-B45)/B45,4))</f>
        <v/>
      </c>
      <c r="D45" s="225">
        <f>+'CHECK_2.9'!E164</f>
        <v>0</v>
      </c>
      <c r="E45" s="284" t="str">
        <f>IF(D45=0,"",TRUNC(((B45-D45)/D45),4))</f>
        <v/>
      </c>
      <c r="M45" s="221" t="s">
        <v>2564</v>
      </c>
      <c r="N45" s="218" t="str">
        <f>IF(N39&lt;EDATE(N37,-6),"! PREGIUDIZIEVOLI ANTECEDENTI A 6M AMM.NE",
IF(N39&gt;N44,"! PREGIUDIZIEVOLI OLTRE 2Y AMM.NE","OK"))</f>
        <v>! PREGIUDIZIEVOLI ANTECEDENTI A 6M AMM.NE</v>
      </c>
      <c r="Q45" s="216"/>
      <c r="R45" s="213"/>
      <c r="W45" s="529">
        <v>0</v>
      </c>
      <c r="X45" s="529">
        <f t="shared" si="1"/>
        <v>0</v>
      </c>
    </row>
    <row r="46" spans="1:24" ht="15.75" thickBot="1" x14ac:dyDescent="0.3">
      <c r="A46" s="285" t="s">
        <v>424</v>
      </c>
      <c r="B46" s="286"/>
      <c r="C46" s="250" t="str">
        <f>IF(C45&lt;-0.4,"! VAR. FATTURATO SUPERIORE AL -40%","OK")</f>
        <v>OK</v>
      </c>
      <c r="D46" s="221"/>
      <c r="E46" s="227" t="str">
        <f>IF(B51="Importo Ridotto",CONCATENATE(E45*100,"% ES1 - ",C45*100,"% ES2"),C46)</f>
        <v>OK</v>
      </c>
      <c r="G46" s="892" t="s">
        <v>2297</v>
      </c>
      <c r="H46" s="894"/>
      <c r="I46" s="894"/>
      <c r="J46" s="894"/>
      <c r="K46" s="893"/>
      <c r="Q46" s="220">
        <f>DATE(YEAR(R43)+3,MONTH(R43),DAY(R43))</f>
        <v>43734</v>
      </c>
      <c r="R46" s="218" t="str">
        <f>IF(OR('CHECK_2.9'!G20=VAR_1!U16,'CHECK_2.9'!C9=VAR_1!AB8,R44&lt;=Q46,'CHECK_2.9'!C9=VAR_1!AB9,AND('CHECK_2.9'!G200=VAR_1!BE4,'CHECK_2.9'!C9=VAR_1!AB4),AND('CHECK_2.9'!G200=VAR_1!BE4,'CHECK_2.9'!C9=VAR_1!AB3)),"REQUISITO DA NON VERIFICARE","REQUISITO DA VERIFICARE")</f>
        <v>REQUISITO DA NON VERIFICARE</v>
      </c>
      <c r="W46" s="530">
        <f>SUM(_xlfn.ANCHORARRAY(W41))</f>
        <v>0</v>
      </c>
      <c r="X46" s="530">
        <f>SUM(X41:X45)</f>
        <v>0</v>
      </c>
    </row>
    <row r="47" spans="1:24" ht="15.75" thickBot="1" x14ac:dyDescent="0.3">
      <c r="G47" s="287" t="s">
        <v>2252</v>
      </c>
      <c r="H47" s="288" t="s">
        <v>2253</v>
      </c>
      <c r="I47" s="289">
        <v>20000</v>
      </c>
      <c r="J47" s="288" t="s">
        <v>2254</v>
      </c>
      <c r="K47" s="290" t="s">
        <v>2255</v>
      </c>
      <c r="Q47" s="511" t="s">
        <v>3536</v>
      </c>
      <c r="R47" s="512" t="e">
        <f>+'CHECK_2.9'!#REF!</f>
        <v>#REF!</v>
      </c>
      <c r="W47" s="329" t="s">
        <v>3577</v>
      </c>
      <c r="X47" s="276"/>
    </row>
    <row r="48" spans="1:24" ht="15.75" thickBot="1" x14ac:dyDescent="0.3">
      <c r="G48" s="291" t="s">
        <v>2250</v>
      </c>
      <c r="H48" s="292" t="s">
        <v>2251</v>
      </c>
      <c r="I48" s="293"/>
      <c r="J48" s="294">
        <v>0.05</v>
      </c>
      <c r="K48" s="295">
        <f>IF(K14=1,15000,20000)</f>
        <v>20000</v>
      </c>
      <c r="M48" s="892" t="s">
        <v>2579</v>
      </c>
      <c r="N48" s="893"/>
      <c r="Q48" s="513" t="s">
        <v>3537</v>
      </c>
      <c r="R48" s="514" t="e">
        <f>+'CHECK_2.9'!#REF!</f>
        <v>#REF!</v>
      </c>
      <c r="W48" s="329">
        <f>W55</f>
        <v>0</v>
      </c>
      <c r="X48" s="213"/>
    </row>
    <row r="49" spans="1:24" ht="15.75" thickBot="1" x14ac:dyDescent="0.3">
      <c r="A49" s="892" t="s">
        <v>2287</v>
      </c>
      <c r="B49" s="894"/>
      <c r="C49" s="893"/>
      <c r="D49" s="892" t="s">
        <v>2291</v>
      </c>
      <c r="E49" s="893"/>
      <c r="G49" s="296">
        <f>(+'CHECK_2.9'!C28-'CHECK_2.9'!D178)/365</f>
        <v>120.48219178082192</v>
      </c>
      <c r="H49" s="297">
        <f>TRUNC(G49)</f>
        <v>120</v>
      </c>
      <c r="I49" s="298"/>
      <c r="J49" s="299">
        <f>+H49*I47*J48</f>
        <v>120000</v>
      </c>
      <c r="K49" s="300">
        <f>IF(J49&lt;=K48,J49,K48)</f>
        <v>20000</v>
      </c>
      <c r="M49" s="267" t="s">
        <v>2580</v>
      </c>
      <c r="N49" s="268">
        <f>IF(OR(B51=VAR_1!U13,B51=VAR_1!U6),1,0)</f>
        <v>0</v>
      </c>
      <c r="Q49" s="515" t="s">
        <v>424</v>
      </c>
      <c r="R49" s="516" t="e">
        <f>IF(R48&gt;=R47/2,"OK","! IMPRESA IN DIFFICOLTA'")</f>
        <v>#REF!</v>
      </c>
      <c r="W49" s="528" t="s">
        <v>3570</v>
      </c>
      <c r="X49" s="213"/>
    </row>
    <row r="50" spans="1:24" ht="15.75" thickBot="1" x14ac:dyDescent="0.3">
      <c r="A50" s="225" t="str">
        <f>IF('CHECK_2.9'!C165&lt;0,'CHECK_2.9'!C165,"OK - NO CTRL")</f>
        <v>OK - NO CTRL</v>
      </c>
      <c r="B50" s="226">
        <f>+'CHECK_2.9'!C164</f>
        <v>0</v>
      </c>
      <c r="C50" s="215" t="str">
        <f>IF(A50="OK - NO CTRL","OK - NO CTRL",ABS(A50/B50))</f>
        <v>OK - NO CTRL</v>
      </c>
      <c r="D50" s="225" t="str">
        <f>IF('CHECK_2.9'!D165&lt;0,'CHECK_2.9'!D165,"OK - NO CTRL")</f>
        <v>OK - NO CTRL</v>
      </c>
      <c r="E50" s="215">
        <f>+'CHECK_2.9'!D164</f>
        <v>0</v>
      </c>
      <c r="G50" s="301"/>
      <c r="H50" s="298"/>
      <c r="I50" s="298"/>
      <c r="J50" s="298"/>
      <c r="K50" s="302"/>
      <c r="Q50" s="225" t="s">
        <v>3539</v>
      </c>
      <c r="R50" s="215">
        <f>IF(OR('CHECK_2.9'!C9=VAR_1!AB3,'CHECK_2.9'!C9=VAR_1!AB4),1,0)</f>
        <v>0</v>
      </c>
      <c r="W50" s="529">
        <f>+'CHECK_2.9'!F67</f>
        <v>0</v>
      </c>
      <c r="X50" s="213"/>
    </row>
    <row r="51" spans="1:24" ht="15.75" thickBot="1" x14ac:dyDescent="0.3">
      <c r="A51" s="216" t="s">
        <v>2222</v>
      </c>
      <c r="B51" s="208" t="str">
        <f>+'CHECK_2.9'!G20</f>
        <v>Lettera m) art13 DL Liquidità</v>
      </c>
      <c r="C51" s="213"/>
      <c r="D51" s="303">
        <v>0.05</v>
      </c>
      <c r="E51" s="213" t="str">
        <f>IF(D50="OK - NO CTRL","OK - NO CRTL",ABS(D50/E50))</f>
        <v>OK - NO CRTL</v>
      </c>
      <c r="G51" s="304" t="s">
        <v>2256</v>
      </c>
      <c r="H51" s="293" t="s">
        <v>2257</v>
      </c>
      <c r="I51" s="293"/>
      <c r="J51" s="294">
        <v>0.25</v>
      </c>
      <c r="K51" s="295">
        <f>IF(K14=1,15000,20000)</f>
        <v>20000</v>
      </c>
      <c r="M51" s="892" t="s">
        <v>2598</v>
      </c>
      <c r="N51" s="893"/>
      <c r="Q51" s="227" t="s">
        <v>3540</v>
      </c>
      <c r="R51" s="218">
        <v>1</v>
      </c>
      <c r="W51" s="529">
        <f>+'CHECK_2.9'!F68</f>
        <v>0</v>
      </c>
      <c r="X51" s="213"/>
    </row>
    <row r="52" spans="1:24" ht="15.75" thickBot="1" x14ac:dyDescent="0.3">
      <c r="A52" s="216" t="s">
        <v>2223</v>
      </c>
      <c r="B52" s="305" t="str">
        <f>IF(B51="Importo Ridotto",0.1,
IF(OR(B51="Semplificata",B51="Rating"),0.05,"OK - NO CTRL"))</f>
        <v>OK - NO CTRL</v>
      </c>
      <c r="C52" s="213"/>
      <c r="D52" s="306" t="str">
        <f>IF(OR(B51="Semplificata",B51="Rating"),
IF(E51&gt;D51,"! PERD/FATT &gt; DEL 5%","OK"),"OK - NO CTRL")</f>
        <v>OK - NO CTRL</v>
      </c>
      <c r="E52" s="227" t="str">
        <f>IF(AND(C53="! PERD/FATT &gt; DEL 5%",D52="! PERD/FATT &gt; DEL 5%"),"! PERD/FATT &gt; 5% 2 ES","OK")</f>
        <v>OK</v>
      </c>
      <c r="G52" s="301"/>
      <c r="H52" s="298">
        <f>+'CHECK_2.9'!D179</f>
        <v>0</v>
      </c>
      <c r="I52" s="298"/>
      <c r="J52" s="299">
        <f>+H52*J51*I47</f>
        <v>0</v>
      </c>
      <c r="K52" s="307">
        <f>IF(J52&lt;=K51,J52,K51)</f>
        <v>0</v>
      </c>
      <c r="M52" s="216">
        <f>YEAR('CHECK_2.9'!C209)</f>
        <v>1900</v>
      </c>
      <c r="N52" s="213">
        <f>+'CHECK_2.9'!D209</f>
        <v>0</v>
      </c>
      <c r="W52" s="529">
        <f>+'CHECK_2.9'!F69</f>
        <v>0</v>
      </c>
      <c r="X52" s="213"/>
    </row>
    <row r="53" spans="1:24" ht="15.75" thickBot="1" x14ac:dyDescent="0.3">
      <c r="A53" s="221" t="s">
        <v>2224</v>
      </c>
      <c r="B53" s="308">
        <f>IF(AND(B52=0.05,C50&gt;B52,C50&lt;&gt;"OK - NO CTRL"),1,
IF(AND(B52=0.1,C50&gt;B52,C50&lt;&gt;"OK - NO CTRL"),2,3))</f>
        <v>3</v>
      </c>
      <c r="C53" s="218" t="str">
        <f>IF(B53=3,"OK",CONCATENATE("! PERD/FATT &gt; DEL ",B52*100,"%"))</f>
        <v>OK</v>
      </c>
      <c r="D53" s="221" t="s">
        <v>2292</v>
      </c>
      <c r="E53" s="218">
        <f>IF(AND(K14&lt;4,OR(B51="Semplificata",B51="Rating")),1,0)</f>
        <v>0</v>
      </c>
      <c r="G53" s="301"/>
      <c r="H53" s="298"/>
      <c r="I53" s="298"/>
      <c r="J53" s="298"/>
      <c r="K53" s="302"/>
      <c r="M53" s="216">
        <f>YEAR('CHECK_2.9'!E209)</f>
        <v>3798</v>
      </c>
      <c r="N53" s="213">
        <f>+'CHECK_2.9'!F209</f>
        <v>0</v>
      </c>
      <c r="W53" s="529">
        <f>+'CHECK_2.9'!F70</f>
        <v>0</v>
      </c>
      <c r="X53" s="213"/>
    </row>
    <row r="54" spans="1:24" ht="15.75" thickBot="1" x14ac:dyDescent="0.3">
      <c r="G54" s="291" t="s">
        <v>2258</v>
      </c>
      <c r="H54" s="292" t="s">
        <v>2259</v>
      </c>
      <c r="I54" s="293"/>
      <c r="J54" s="294">
        <f>IF(AND(K14&gt;2,A58="Autotrasporto"),0.4,0.2)</f>
        <v>0.2</v>
      </c>
      <c r="K54" s="295">
        <f>IF(K14=1,20000,30000)</f>
        <v>30000</v>
      </c>
      <c r="M54" s="216">
        <f>IF(N52="INFOCAMERE",1,0)</f>
        <v>0</v>
      </c>
      <c r="N54" s="213" t="str">
        <f>IF(AND(M54&gt;0,M55&gt;0),"OK - NO CTRL",
IF(AND(M54=0,M55=0),CONCATENATE("VERIFICARE DATI INSERITI PER ANNI ",M52," E ",M53),
IF(M54=0,CONCATENATE("VERIFICARE DATI INSERITI PER ANNO ",M52),
IF(M55=0,CONCATENATE("VERIFICARE DATI INSERITI PER ANNO ",M53)))))</f>
        <v>VERIFICARE DATI INSERITI PER ANNI 1900 E 3798</v>
      </c>
      <c r="W54" s="529">
        <f>+'CHECK_2.9'!F71</f>
        <v>0</v>
      </c>
      <c r="X54" s="213"/>
    </row>
    <row r="55" spans="1:24" ht="15.75" thickBot="1" x14ac:dyDescent="0.3">
      <c r="A55" s="892" t="s">
        <v>2513</v>
      </c>
      <c r="B55" s="894"/>
      <c r="C55" s="893"/>
      <c r="G55" s="301"/>
      <c r="H55" s="309">
        <f>+'CHECK_2.9'!D180</f>
        <v>0</v>
      </c>
      <c r="I55" s="298"/>
      <c r="J55" s="298">
        <f>+H55*J54</f>
        <v>0</v>
      </c>
      <c r="K55" s="307">
        <f>IF(J55&lt;=K54,J55,K54)</f>
        <v>0</v>
      </c>
      <c r="M55" s="221">
        <f>IF(N53="INFOCAMERE",1,0)</f>
        <v>0</v>
      </c>
      <c r="N55" s="218"/>
      <c r="W55" s="530">
        <f>SUM(W50:W54)</f>
        <v>0</v>
      </c>
      <c r="X55" s="213"/>
    </row>
    <row r="56" spans="1:24" ht="15.75" thickBot="1" x14ac:dyDescent="0.3">
      <c r="A56" s="216">
        <f>+'CHECK_2.9'!C167</f>
        <v>0</v>
      </c>
      <c r="B56" s="208">
        <f>+'CHECK_2.9'!C168</f>
        <v>0</v>
      </c>
      <c r="C56" s="213" t="str">
        <f>IF(B56=0,"",A56/B56)</f>
        <v/>
      </c>
      <c r="G56" s="301"/>
      <c r="H56" s="298"/>
      <c r="I56" s="298"/>
      <c r="J56" s="298"/>
      <c r="K56" s="302"/>
      <c r="W56" s="329">
        <f>+X39+X46+W55</f>
        <v>0</v>
      </c>
      <c r="X56" s="213"/>
    </row>
    <row r="57" spans="1:24" ht="15.75" thickBot="1" x14ac:dyDescent="0.3">
      <c r="A57" s="216">
        <f>+'CHECK_2.9'!G159</f>
        <v>0</v>
      </c>
      <c r="B57" s="208">
        <v>0.05</v>
      </c>
      <c r="C57" s="213"/>
      <c r="G57" s="291" t="s">
        <v>2260</v>
      </c>
      <c r="H57" s="292" t="s">
        <v>2261</v>
      </c>
      <c r="I57" s="293"/>
      <c r="J57" s="294">
        <v>0.1</v>
      </c>
      <c r="K57" s="295">
        <f>IF(K14=1,15000,20000)</f>
        <v>20000</v>
      </c>
      <c r="M57" s="892" t="s">
        <v>3549</v>
      </c>
      <c r="N57" s="893"/>
      <c r="P57" s="892" t="s">
        <v>3484</v>
      </c>
      <c r="Q57" s="893"/>
      <c r="R57" s="492"/>
      <c r="W57" s="329" t="str">
        <f>IF(Q29&lt;(X39+X46+W55),CONCATENATE("! ATT.NE MAGGIOR CREDITO CONCESSO &lt; ",TEXT(X32,"0,00%")),"OK")</f>
        <v>OK</v>
      </c>
      <c r="X57" s="213"/>
    </row>
    <row r="58" spans="1:24" ht="15.75" thickBot="1" x14ac:dyDescent="0.3">
      <c r="A58" s="216" t="str">
        <f>+'CHECK_2.9'!F10</f>
        <v>Commercio, servizi e altro</v>
      </c>
      <c r="B58" s="208">
        <v>0.04</v>
      </c>
      <c r="C58" s="213"/>
      <c r="G58" s="301"/>
      <c r="H58" s="309">
        <f>+'CHECK_2.9'!D181</f>
        <v>0</v>
      </c>
      <c r="I58" s="298"/>
      <c r="J58" s="299">
        <f>+H58*J57</f>
        <v>0</v>
      </c>
      <c r="K58" s="307">
        <f>IF(J58&lt;=K57,J58,K57)</f>
        <v>0</v>
      </c>
      <c r="M58" s="267" t="str">
        <f>+'CHECK_2.9'!G20</f>
        <v>Lettera m) art13 DL Liquidità</v>
      </c>
      <c r="N58" s="268">
        <f>IF(OR(M58=VAR_1!U10,M58=VAR_1!U11,RULES!M58=VAR_1!U12,RULES!M58=VAR_1!U14,RULES!M58=VAR_1!U15,RULES!M58=VAR_1!U13,RULES!M58=VAR_1!U16),1,0)</f>
        <v>1</v>
      </c>
      <c r="P58" s="216" t="str">
        <f>+'CHECK_2.9'!E29</f>
        <v>DL LIQUIDITA ANTE CONVERSIONE</v>
      </c>
      <c r="Q58" s="213" t="s">
        <v>3486</v>
      </c>
      <c r="W58" s="225" t="s">
        <v>3578</v>
      </c>
      <c r="X58" s="537">
        <f>IF(OR(Q19=VAR_1!Q17,Q19=VAR_1!Q18),1,0)</f>
        <v>0</v>
      </c>
    </row>
    <row r="59" spans="1:24" ht="15.75" thickBot="1" x14ac:dyDescent="0.3">
      <c r="A59" s="221" t="s">
        <v>424</v>
      </c>
      <c r="B59" s="308" t="str">
        <f>IF(AND(A57="Ordinario",A58&lt;&gt;"Autotrasporto"),IF(C56&lt;B57,"! M.P./T.P. &lt; AL 5%","OK"),
IF(AND(A57="Ordinario",A58="Autotrasporto"),IF(C56&lt;B58,"! M.P./T.P. &lt; AL 4%","OK"),"OK - NO CTRL"))</f>
        <v>OK - NO CTRL</v>
      </c>
      <c r="C59" s="218"/>
      <c r="G59" s="301"/>
      <c r="H59" s="298"/>
      <c r="I59" s="298"/>
      <c r="J59" s="298"/>
      <c r="K59" s="302"/>
      <c r="P59" s="216">
        <f>IF(OR(P58="DL LIQUIDITA ANTE CONVERSIONE",'CHECK_2.9'!G56&lt;=RULES!P61),1,0)</f>
        <v>1</v>
      </c>
      <c r="Q59" s="213" t="s">
        <v>3487</v>
      </c>
      <c r="W59" s="536"/>
      <c r="X59" s="218"/>
    </row>
    <row r="60" spans="1:24" ht="15.75" thickBot="1" x14ac:dyDescent="0.3">
      <c r="G60" s="900" t="s">
        <v>2262</v>
      </c>
      <c r="H60" s="310">
        <f>IF(AND(K14=3,A58="Autotrasporto"),0.03,
IF(OR(K14=3,K14=2),0.05,0.03))</f>
        <v>0.03</v>
      </c>
      <c r="I60" s="293"/>
      <c r="J60" s="294">
        <v>0.5</v>
      </c>
      <c r="K60" s="311">
        <v>10000</v>
      </c>
      <c r="M60" s="892" t="s">
        <v>3426</v>
      </c>
      <c r="N60" s="893"/>
      <c r="P60" s="221" t="str">
        <f>IF(P58="DL LIQUIDITA ANTE CONVERSIONE",Q58,Q59)</f>
        <v>RENDISTATO con durata residua da 4 anni e 7 mesi a 6 anni e 6 mesi + 0,20</v>
      </c>
      <c r="Q60" s="218"/>
    </row>
    <row r="61" spans="1:24" ht="30.75" thickBot="1" x14ac:dyDescent="0.3">
      <c r="A61" s="892" t="s">
        <v>2293</v>
      </c>
      <c r="B61" s="894"/>
      <c r="C61" s="893"/>
      <c r="D61" s="892" t="s">
        <v>2294</v>
      </c>
      <c r="E61" s="893"/>
      <c r="G61" s="901"/>
      <c r="H61" s="310">
        <f>IF(AND(K14=3,A58="Autotrasporto"),0.07,
IF(OR(K14=3,K14=2),0.1,0.05))</f>
        <v>0.05</v>
      </c>
      <c r="I61" s="293"/>
      <c r="J61" s="294">
        <v>1</v>
      </c>
      <c r="K61" s="295">
        <v>20000</v>
      </c>
      <c r="M61" s="467" t="str">
        <f>'CHECK_2.9'!G28</f>
        <v>OPERAZIONE 'D.O. RIFORMA RATING'</v>
      </c>
      <c r="N61" s="213">
        <f>IF(OR(M61=VAR_1!AS3),1,0)</f>
        <v>1</v>
      </c>
      <c r="P61" s="211">
        <v>44000</v>
      </c>
    </row>
    <row r="62" spans="1:24" ht="15.75" thickBot="1" x14ac:dyDescent="0.3">
      <c r="A62" s="225" t="str">
        <f>IF('CHECK_2.9'!D170="","",'CHECK_2.9'!C170)</f>
        <v/>
      </c>
      <c r="B62" s="226" t="str">
        <f>IF('CHECK_2.9'!D170="","",'CHECK_2.9'!D170)</f>
        <v/>
      </c>
      <c r="C62" s="312" t="str">
        <f>IF('CHECK_2.9'!D170="","",B62/B50)</f>
        <v/>
      </c>
      <c r="D62" s="216">
        <f>IF(K14&lt;2,0.2,0.3)</f>
        <v>0.3</v>
      </c>
      <c r="E62" s="213">
        <f>IF(K14&lt;2,0.15,0.2)</f>
        <v>0.2</v>
      </c>
      <c r="G62" s="301"/>
      <c r="H62" s="298"/>
      <c r="I62" s="298"/>
      <c r="J62" s="298"/>
      <c r="K62" s="300">
        <f>IF(K14&gt;1,
IF(OR(C45=0,C45=""),0,
IF(AND(C45&gt;=H60,C45&lt;H61),K60,
IF(C45&gt;=H61,K61,0))),
IF(OR(C45=0,C45="",E45=0,E45=""),0,
IF(AND(C45&gt;=H60,C45&lt;H61,E45&gt;=H60,E45&lt;H61),K60,
IF(AND(C45&gt;=H61,E45&gt;=H61),K61,0))))</f>
        <v>0</v>
      </c>
      <c r="M62" s="216" t="str">
        <f>+'CHECK_2.9'!G20</f>
        <v>Lettera m) art13 DL Liquidità</v>
      </c>
      <c r="N62" s="213">
        <f>IF(OR(M62=VAR_1!U6,M62=VAR_1!U13),0,1)</f>
        <v>1</v>
      </c>
      <c r="P62" s="892" t="s">
        <v>3490</v>
      </c>
      <c r="Q62" s="893"/>
      <c r="W62" s="225" t="s">
        <v>3589</v>
      </c>
      <c r="X62" s="215"/>
    </row>
    <row r="63" spans="1:24" ht="15.75" thickBot="1" x14ac:dyDescent="0.3">
      <c r="A63" s="221">
        <v>0.3</v>
      </c>
      <c r="B63" s="308">
        <v>0.4</v>
      </c>
      <c r="C63" s="227" t="str">
        <f>IF(AND(A58="Autotrasporto",C62&gt;B63),CONCATENATE("! ESP/FATT OLTRE IL ",(B63*100),"%"),
IF(AND(A62="ENTRO 36 MESI",C62&gt;A63),CONCATENATE("! ESP/FATT OLTRE IL ",(A63*100),"%"),
IF(AND(A62="TOTALE",C62&gt;B63),CONCATENATE("! ESP/FATT OLTRE IL ",(B63*100),"%"),"OK")))</f>
        <v>OK</v>
      </c>
      <c r="D63" s="227" t="str">
        <f>IF(K14&lt;4,
IF(AND(A62="ENTRO 36 MESI",C62&gt;E62),CONCATENATE("! ESP/FATT OLTRE IL ",(E62*100),"%"),
IF(AND(A62="TOTALE",C62&gt;D62),CONCATENATE("! ESP/FATT OLTRE IL ",(D62*100),"%"),"OK")),"OK - NO CTRL")</f>
        <v>OK - NO CTRL</v>
      </c>
      <c r="E63" s="313" t="str">
        <f>IF(OR(K14&gt;3,AND(K14=3,A58="Autotrasporto")),C63,D63)</f>
        <v>OK</v>
      </c>
      <c r="G63" s="301"/>
      <c r="H63" s="298"/>
      <c r="I63" s="298"/>
      <c r="J63" s="298"/>
      <c r="K63" s="302"/>
      <c r="M63" s="221" t="s">
        <v>2511</v>
      </c>
      <c r="N63" s="218">
        <f>IF(AND(N62=1,N61=1),1,0)</f>
        <v>1</v>
      </c>
      <c r="P63" s="280">
        <f>MIN('CHECK_2.9'!C28,'CHECK_2.9'!G56)</f>
        <v>43976</v>
      </c>
      <c r="Q63" s="215" t="str">
        <f>IF(P63="","",
IF(AND(P63&gt;=DATE(2021,6,24)),"DL SOSTEGNI BIS",
IF(AND(P63&lt;DATE(2021,6,24),P63&gt;=DATE(2020,12,30)),"LEGGE DI BILANCIO ",
IF(AND(P63&lt;DATE(2020,12,29),P63&gt;=DATE(2020,6,19)),"DL LIQUIDITA POST CONVERSIONE",
IF(AND(P63&lt;DATE(2020,6,19),P63&gt;=DATE(2020,4,9)),"DL LIQUIDITA ANTE CONVERSIONE",
IF(AND(P63&lt;DATE(2020,4,9),P63&gt;=DATE(2020,3,17)),"DL CURA ITALIA","OPERAZIONE NON COVID-19"))))))</f>
        <v>DL LIQUIDITA ANTE CONVERSIONE</v>
      </c>
      <c r="W63" s="216" t="str">
        <f>+'CHECK_2.9'!C18</f>
        <v>T. FRAMEWORK 3.1</v>
      </c>
      <c r="X63" s="213"/>
    </row>
    <row r="64" spans="1:24" ht="15.75" thickBot="1" x14ac:dyDescent="0.3">
      <c r="G64" s="291" t="s">
        <v>2263</v>
      </c>
      <c r="H64" s="292" t="s">
        <v>2264</v>
      </c>
      <c r="I64" s="314">
        <v>40000</v>
      </c>
      <c r="J64" s="294"/>
      <c r="K64" s="302"/>
      <c r="P64" s="221" t="str">
        <f>+P58</f>
        <v>DL LIQUIDITA ANTE CONVERSIONE</v>
      </c>
      <c r="Q64" s="218" t="str">
        <f>(IF(Q63=P64,"OK",Q63))</f>
        <v>OK</v>
      </c>
      <c r="W64" s="216" t="str">
        <f>IF(AND(W63=VAR_1!CS5,('CHECK_2.9'!E99)&gt;180),"! DURATA COMPLESSIVA OLTRE 180 MESI","OK")</f>
        <v>OK</v>
      </c>
      <c r="X64" s="213"/>
    </row>
    <row r="65" spans="1:24" ht="15.75" thickBot="1" x14ac:dyDescent="0.3">
      <c r="A65" s="892" t="s">
        <v>2288</v>
      </c>
      <c r="B65" s="894"/>
      <c r="C65" s="893"/>
      <c r="G65" s="301"/>
      <c r="H65" s="292" t="str">
        <f>IF(K14&gt;1,"ACQUISITO CON LOCAZIONE","")</f>
        <v>ACQUISITO CON LOCAZIONE</v>
      </c>
      <c r="I65" s="314">
        <f>IF(K14&gt;1,20000,0)</f>
        <v>20000</v>
      </c>
      <c r="J65" s="294"/>
      <c r="K65" s="302"/>
      <c r="W65" s="221" t="str">
        <f>IF(AND(W63=VAR_1!CS6,('CHECK_2.9'!G55+'CHECK_2.9'!E99)&gt;96),"! DURATA COMPLESSIVA OLTRE 96 MESI","OK")</f>
        <v>OK</v>
      </c>
      <c r="X65" s="218"/>
    </row>
    <row r="66" spans="1:24" ht="15.75" thickBot="1" x14ac:dyDescent="0.3">
      <c r="A66" s="315">
        <f>+'CHECK_2.9'!C161</f>
        <v>0</v>
      </c>
      <c r="B66" s="208" t="str">
        <f>IF(A66=0,"",CONCATENATE(VLOOKUP(A66,VAR_1!$BG$4:$BH$12,2,0)," FASCIA"))</f>
        <v/>
      </c>
      <c r="C66" s="213">
        <f>IF(A58="Autotrasporto",B58,B57)</f>
        <v>0.05</v>
      </c>
      <c r="G66" s="301"/>
      <c r="H66" s="292" t="s">
        <v>2266</v>
      </c>
      <c r="I66" s="314">
        <f>IF(K14&gt;1,15000,10000)</f>
        <v>15000</v>
      </c>
      <c r="J66" s="294"/>
      <c r="K66" s="302"/>
      <c r="P66" s="892" t="s">
        <v>3496</v>
      </c>
      <c r="Q66" s="893"/>
      <c r="S66" s="892" t="s">
        <v>3608</v>
      </c>
      <c r="T66" s="894"/>
      <c r="U66" s="894"/>
      <c r="V66" s="893"/>
    </row>
    <row r="67" spans="1:24" ht="15.75" thickBot="1" x14ac:dyDescent="0.3">
      <c r="A67" s="216" t="str">
        <f>IF('CHECK_2.9'!C167="","",+'CHECK_2.9'!C167/'CHECK_2.9'!C168)</f>
        <v/>
      </c>
      <c r="B67" s="208" t="str">
        <f>IF('CHECK_2.9'!D167="","",'CHECK_2.9'!D167/'CHECK_2.9'!D168)</f>
        <v/>
      </c>
      <c r="C67" s="227" t="str">
        <f>IF(OR(A67="",B67=""),"",
IF(AND(A57="Ordinario",A58="Autotrasporto",A67&lt;B58,B67&lt;B58),CONCATENATE("M.P./T.P. 2 ES &lt; ",C66*100,"%"),
IF(AND(A57="Ordinario",A58&lt;&gt;"Autotrasporto",A67&lt;B57,B67&lt;B57),CONCATENATE("M.P./T.P. 2 ES &lt; ",C66*100,"%"),"OK M.P./T.P. 2 ES")))</f>
        <v/>
      </c>
      <c r="G67" s="291"/>
      <c r="H67" s="292" t="s">
        <v>240</v>
      </c>
      <c r="I67" s="314">
        <v>0</v>
      </c>
      <c r="J67" s="316" t="str">
        <f>IF('CHECK_2.9'!D183="",H67,'CHECK_2.9'!D183)</f>
        <v>SPECIFICARE</v>
      </c>
      <c r="K67" s="307">
        <f>VLOOKUP(J67,$H$64:$I$67,2,FALSE)</f>
        <v>0</v>
      </c>
      <c r="P67" s="225">
        <f>MONTH('CHECK_2.9'!G56)</f>
        <v>7</v>
      </c>
      <c r="Q67" s="215">
        <f>(IF(P67=1,12,P67-1))</f>
        <v>6</v>
      </c>
      <c r="S67" s="225" t="s">
        <v>3607</v>
      </c>
      <c r="T67" s="226">
        <f>MONTH('CHECK_2.9'!E100)</f>
        <v>1</v>
      </c>
      <c r="U67" s="326">
        <f>+'CHECK_2.9'!E99-'CHECK_2.9'!E103</f>
        <v>-4</v>
      </c>
      <c r="V67" s="215">
        <f>(IF(T67=1,12,T67-1))</f>
        <v>12</v>
      </c>
    </row>
    <row r="68" spans="1:24" ht="15.75" thickBot="1" x14ac:dyDescent="0.3">
      <c r="A68" s="227" t="str">
        <f>IF(AND(A58="Autotrasporto",B66&lt;&gt;"1 FASCIA",B51&lt;&gt;"Rating"),
IF(OR(A66="AB",A66="BB",A66="CA"),"OK AUTOTRASPORTO","KO AUTOTRASPORTO"),"OK - NO CTRL")</f>
        <v>OK - NO CTRL</v>
      </c>
      <c r="C68" s="213"/>
      <c r="G68" s="301"/>
      <c r="H68" s="298"/>
      <c r="I68" s="298"/>
      <c r="J68" s="298"/>
      <c r="K68" s="302"/>
      <c r="P68" s="221" t="s">
        <v>3494</v>
      </c>
      <c r="Q68" s="218">
        <f>VLOOKUP(Q67,Rendistato!$A$2:$D$14,4,0)</f>
        <v>1.061E-2</v>
      </c>
      <c r="S68" s="334" t="s">
        <v>3610</v>
      </c>
      <c r="V68" s="213">
        <f>IF(AND(U67&gt;=Rendistato!A39,U67&lt;=Rendistato!D39),1,
IF(AND(U67&gt;=Rendistato!F39,U67&lt;=Rendistato!I39),2,
IF(AND(U67&gt;=Rendistato!K39,U67&lt;=Rendistato!N39),3,
IF(AND(U67&gt;=Rendistato!P39,U67&lt;=Rendistato!S39),4,0))))</f>
        <v>0</v>
      </c>
    </row>
    <row r="69" spans="1:24" ht="15.75" thickBot="1" x14ac:dyDescent="0.3">
      <c r="A69" s="216" t="str">
        <f>IF(A66=0,"",VLOOKUP(A66,VAR_1!$BG$4:$BH$12,2,0))</f>
        <v/>
      </c>
      <c r="C69" s="213"/>
      <c r="G69" s="291" t="s">
        <v>2267</v>
      </c>
      <c r="H69" s="293" t="s">
        <v>2268</v>
      </c>
      <c r="I69" s="293"/>
      <c r="J69" s="294">
        <v>1</v>
      </c>
      <c r="K69" s="295">
        <v>20000</v>
      </c>
      <c r="S69" s="236">
        <f>IF('CHECK_2.9'!E100&gt;=RULES_TERMINI!B75,
IF(OR('CHECK_2.9'!C99=VAR_1!AP12,'CHECK_2.9'!C99=VAR_1!AP10),1,0),0)</f>
        <v>0</v>
      </c>
      <c r="V69" s="213"/>
    </row>
    <row r="70" spans="1:24" ht="15.75" thickBot="1" x14ac:dyDescent="0.3">
      <c r="A70" s="216" t="e">
        <f>VLOOKUP(B51,VAR_1!$U$3:$V$9,2,0)</f>
        <v>#N/A</v>
      </c>
      <c r="C70" s="213"/>
      <c r="G70" s="301"/>
      <c r="H70" s="298">
        <f>+'CHECK_2.9'!D184</f>
        <v>0</v>
      </c>
      <c r="I70" s="298"/>
      <c r="J70" s="298"/>
      <c r="K70" s="307">
        <f>IF(AND(H70="si",A58="Autotrasporto",K14&gt;2),K69,0)</f>
        <v>0</v>
      </c>
      <c r="P70" s="225">
        <f>+'CHECK_2.9'!G55</f>
        <v>72</v>
      </c>
      <c r="Q70" s="215">
        <f>IF(AND(P70&gt;=Rendistato!A20,P70&lt;=Rendistato!D20),1,
IF(AND(P70&gt;=Rendistato!F20,P70&lt;=Rendistato!I20),2,
IF(AND(P70&gt;=Rendistato!K20,P70&lt;=Rendistato!N20),3,
IF(AND(P70&gt;=Rendistato!P20,P70&lt;=Rendistato!S20),4,0))))</f>
        <v>1</v>
      </c>
      <c r="S70" s="221"/>
      <c r="T70" s="308"/>
      <c r="U70" s="308"/>
      <c r="V70" s="218">
        <f>IF(V67=12,V78,
IF(V68=0,VLOOKUP(V67,Rendistato!$V$40:$Y$51,4,0),
IF(V68=1,VLOOKUP(V67,Rendistato!$A$40:$D$51,4,0),
IF(V68=2,VLOOKUP(V67,Rendistato!$F$40:$I$51,4,0),
IF(V68=3,VLOOKUP(V67,Rendistato!$K$40:$N$51,4,0),VLOOKUP(V67,Rendistato!$P$40:$S$51,4,0))))))</f>
        <v>0</v>
      </c>
    </row>
    <row r="71" spans="1:24" ht="15.75" thickBot="1" x14ac:dyDescent="0.3">
      <c r="A71" s="216" t="e">
        <f>IF(A68="OK AUTOTRASPORTO",1,IF(AND(A70=1,A69=2),1,A69))</f>
        <v>#N/A</v>
      </c>
      <c r="B71" s="208">
        <f>IF(A58&lt;&gt;"Autotrasporto",1,
IF(B51&lt;&gt;"Semplificata",1,
IF(A66=0,"",VLOOKUP(A66,VAR_1!$BG$4:$BI$12,3,0))))</f>
        <v>1</v>
      </c>
      <c r="C71" s="213">
        <f>IF(OR(C67="OK M.P./T.P. 2 ES",C67=""),1,3)</f>
        <v>1</v>
      </c>
      <c r="G71" s="291"/>
      <c r="H71" s="298"/>
      <c r="I71" s="293"/>
      <c r="J71" s="298"/>
      <c r="K71" s="302"/>
      <c r="P71" s="221" t="s">
        <v>3503</v>
      </c>
      <c r="Q71" s="501">
        <f>IF(Q70=0,VLOOKUP(Q67,Rendistato!$V$21:$Y$32,4,0),
IF(Q70=1,VLOOKUP(Q67,Rendistato!$A$21:$D$32,4,0),
IF(Q70=2,VLOOKUP(Q67,Rendistato!$F$21:$I$32,4,0),
IF(Q70=3,VLOOKUP(Q67,Rendistato!$K$21:$N$32,4,0),VLOOKUP(Q67,Rendistato!$P$21:$S$32,4,0)))))</f>
        <v>1.061E-2</v>
      </c>
    </row>
    <row r="72" spans="1:24" ht="15.75" thickBot="1" x14ac:dyDescent="0.3">
      <c r="A72" s="358" t="e">
        <f>IF(AND(A71=1,B71=1,C71=1),"OK","! NON AMMISSIBILE")</f>
        <v>#N/A</v>
      </c>
      <c r="C72" s="213"/>
      <c r="G72" s="317" t="s">
        <v>2269</v>
      </c>
      <c r="H72" s="318" t="s">
        <v>2270</v>
      </c>
      <c r="I72" s="319"/>
      <c r="J72" s="319">
        <v>0.4</v>
      </c>
      <c r="K72" s="295">
        <f>IF(K14=1,75000,100000)</f>
        <v>100000</v>
      </c>
      <c r="S72" s="892" t="s">
        <v>3609</v>
      </c>
      <c r="T72" s="894"/>
      <c r="U72" s="894"/>
      <c r="V72" s="893"/>
    </row>
    <row r="73" spans="1:24" ht="15.75" thickBot="1" x14ac:dyDescent="0.3">
      <c r="A73" s="313" t="s">
        <v>2514</v>
      </c>
      <c r="B73" s="268">
        <f>IF(B51="Semplificata",1,
IF(OR(B51=VAR_1!U6,RULES!B51=VAR_1!U7),0,
IF(AND(K14&lt;4,'CHECK_2.9'!G34&lt;37),1,0)))</f>
        <v>0</v>
      </c>
      <c r="C73" s="218"/>
      <c r="G73" s="301"/>
      <c r="H73" s="298">
        <f>+'CHECK_2.9'!D185</f>
        <v>0</v>
      </c>
      <c r="I73" s="309">
        <f>SUM('CHECK_2.9'!E178:E184)+I47</f>
        <v>40000</v>
      </c>
      <c r="J73" s="298">
        <f>+RULES!I73*RULES!J72</f>
        <v>16000</v>
      </c>
      <c r="K73" s="320">
        <f>IF(AND(H73="si",'CHECK_2.9'!C4&lt;&gt;"Garanzia Diretta"),
IF(J73&lt;=K72,J73,K72),0)</f>
        <v>0</v>
      </c>
      <c r="P73" s="892" t="s">
        <v>3497</v>
      </c>
      <c r="Q73" s="893"/>
      <c r="S73" s="220">
        <v>44371</v>
      </c>
      <c r="T73" s="308">
        <f>IF('CHECK_2.9'!C28&gt;=RULES!S73,0,1)</f>
        <v>1</v>
      </c>
      <c r="U73" s="308"/>
      <c r="V73" s="218"/>
    </row>
    <row r="74" spans="1:24" ht="15.75" thickBot="1" x14ac:dyDescent="0.3">
      <c r="G74" s="321"/>
      <c r="H74" s="322"/>
      <c r="I74" s="322"/>
      <c r="J74" s="323" t="s">
        <v>2252</v>
      </c>
      <c r="K74" s="324">
        <f>+K73+K70+K67+K62+K58+K55+K52+K49</f>
        <v>20000</v>
      </c>
      <c r="P74" s="267">
        <f>YEAR('CHECK_2.9'!G56)</f>
        <v>2020</v>
      </c>
      <c r="Q74" s="227" t="str">
        <f>IF(OR(P58="DL LIQUIDITA ANTE CONVERSIONE",'CHECK_2.9'!G56&lt;=RULES!P61),
IF('CHECK_2.9'!C223&gt;('CHECK_2.9'!E223+P75),"! ATT.NE TASSO OLTRE SOGLIA","OK"),
IF('CHECK_2.9'!C223&gt;('CHECK_2.9'!E223),"! ATT.NE TASSO OLTRE SOGLIA","OK"))</f>
        <v>OK</v>
      </c>
    </row>
    <row r="75" spans="1:24" ht="15.75" thickBot="1" x14ac:dyDescent="0.3">
      <c r="A75" s="892" t="s">
        <v>2295</v>
      </c>
      <c r="B75" s="894"/>
      <c r="C75" s="894"/>
      <c r="D75" s="893"/>
      <c r="P75" s="208">
        <f>IF(OR('CHECK_2.9'!G223="",'CHECK_2.9'!G223=0,),0.0005,'CHECK_2.9'!G223)</f>
        <v>5.0000000000000001E-4</v>
      </c>
      <c r="S75" s="892" t="s">
        <v>3611</v>
      </c>
      <c r="T75" s="894"/>
      <c r="U75" s="894"/>
      <c r="V75" s="893"/>
    </row>
    <row r="76" spans="1:24" ht="15.75" thickBot="1" x14ac:dyDescent="0.3">
      <c r="A76" s="315">
        <f>+A66</f>
        <v>0</v>
      </c>
      <c r="B76" s="208" t="str">
        <f>+B66</f>
        <v/>
      </c>
      <c r="C76" s="208">
        <f>IF(AND(K14=3,A58="Autotrasporto"),B58,B57)</f>
        <v>0.05</v>
      </c>
      <c r="D76" s="213"/>
      <c r="G76" s="892" t="s">
        <v>2330</v>
      </c>
      <c r="H76" s="894"/>
      <c r="I76" s="894"/>
      <c r="J76" s="894"/>
      <c r="K76" s="893"/>
      <c r="P76" s="892" t="s">
        <v>3499</v>
      </c>
      <c r="Q76" s="893"/>
      <c r="S76" s="267">
        <f>IF(OR('CHECK_2.9'!C99=VAR_1!AP12,'CHECK_2.9'!C99=VAR_1!AP10,'CHECK_2.9'!C99=VAR_1!AP11),1,0)</f>
        <v>0</v>
      </c>
      <c r="T76" s="604"/>
      <c r="U76" s="604"/>
      <c r="V76" s="268"/>
    </row>
    <row r="77" spans="1:24" ht="15.75" thickBot="1" x14ac:dyDescent="0.3">
      <c r="A77" s="216" t="str">
        <f>IF('CHECK_2.9'!C167="","",+'CHECK_2.9'!C167/'CHECK_2.9'!C168)</f>
        <v/>
      </c>
      <c r="B77" s="227" t="str">
        <f>IF(A77="","",
IF(AND(A57="Ordinario",K14=3,A58="Autotrasporto",A77&lt;C76),CONCATENATE("M.P./T.P. &lt; ",C76*100,"%"),
IF(AND(A57="Ordinario",A77&lt;C76),CONCATENATE("M.P./T.P. &lt; ",C76*100),"OK MP/TP")))</f>
        <v/>
      </c>
      <c r="D77" s="213"/>
      <c r="G77" s="225">
        <f>+'CHECK_2.9'!C189</f>
        <v>0</v>
      </c>
      <c r="H77" s="325">
        <f>+'CHECK_2.9'!E189</f>
        <v>0</v>
      </c>
      <c r="I77" s="326">
        <f>+'CHECK_2.9'!G189</f>
        <v>0</v>
      </c>
      <c r="J77" s="327">
        <v>25000</v>
      </c>
      <c r="K77" s="215">
        <f>7*12</f>
        <v>84</v>
      </c>
      <c r="P77" s="225">
        <f>+P70</f>
        <v>72</v>
      </c>
      <c r="Q77" s="215">
        <f>IF(AND(P70&gt;=Rendistato!A39,P70&lt;=Rendistato!D39),1,
IF(AND(P70&gt;=Rendistato!F39,P70&lt;=Rendistato!I39),2,
IF(AND(P70&gt;=Rendistato!K39,P70&lt;=Rendistato!N39),3,
IF(AND(P70&gt;=Rendistato!P39,P70&lt;=Rendistato!S39),4,0))))</f>
        <v>1</v>
      </c>
    </row>
    <row r="78" spans="1:24" ht="15.75" thickBot="1" x14ac:dyDescent="0.3">
      <c r="A78" s="328">
        <f>IF(AND(K14=3,A58="Autotrasporto"),0.6,
IF(K14&lt;2,0.15,0.25))</f>
        <v>0.25</v>
      </c>
      <c r="B78" s="227" t="str">
        <f>IF(K14&lt;4,
IF(AND(A62="ENTRO 36 MESI",C62&gt;A78),CONCATENATE("! ESP/FATT OLTRE IL ",(A78*100),"%"),"OK"),"OK")</f>
        <v>OK</v>
      </c>
      <c r="D78" s="213"/>
      <c r="G78" s="329">
        <f>+'CHECK_2.9'!C190</f>
        <v>25000</v>
      </c>
      <c r="H78" s="208">
        <f>+'CHECK_2.9'!E190</f>
        <v>0</v>
      </c>
      <c r="I78" s="330">
        <f>+'CHECK_2.9'!G190</f>
        <v>0</v>
      </c>
      <c r="J78" s="331">
        <v>35000</v>
      </c>
      <c r="K78" s="213">
        <f>10*12</f>
        <v>120</v>
      </c>
      <c r="P78" s="221"/>
      <c r="Q78" s="218">
        <f>IF(Q67=12,Q71,
IF(Q77=0,VLOOKUP(Q67,Rendistato!$V$40:$Y$51,4,0),
IF(Q77=1,VLOOKUP(Q67,Rendistato!$A$40:$D$51,4,0),
IF(Q77=2,VLOOKUP(Q67,Rendistato!$F$40:$I$51,4,0),
IF(Q77=3,VLOOKUP(Q67,Rendistato!$K$40:$N$51,4,0),VLOOKUP(Q67,Rendistato!$P$40:$S$51,4,0))))))</f>
        <v>4.0599999999999994E-3</v>
      </c>
      <c r="S78" s="892" t="s">
        <v>3622</v>
      </c>
      <c r="T78" s="894"/>
      <c r="U78" s="894"/>
      <c r="V78" s="893"/>
    </row>
    <row r="79" spans="1:24" ht="15.75" thickBot="1" x14ac:dyDescent="0.3">
      <c r="A79" s="227" t="str">
        <f>IF(AND(A58="Autotrasporto",B66&lt;&gt;"1 FASCIA",B51&lt;&gt;"Rating"),
IF(OR(A66="AB",A66="BB",A66="CA"),"OK AUTOTRASPORTO","KO AUTOTRASPORTO"),"OK - NO CTRL")</f>
        <v>OK - NO CTRL</v>
      </c>
      <c r="D79" s="213"/>
      <c r="G79" s="216">
        <f>+'CHECK_2.9'!C191</f>
        <v>72</v>
      </c>
      <c r="H79" s="208">
        <f>+'CHECK_2.9'!E191</f>
        <v>0</v>
      </c>
      <c r="I79" s="208">
        <f>+'CHECK_2.9'!G191</f>
        <v>0</v>
      </c>
      <c r="J79" s="332">
        <f>+'CHECK_2.9'!G190</f>
        <v>0</v>
      </c>
      <c r="K79" s="276">
        <v>100000</v>
      </c>
      <c r="S79" s="353">
        <v>44706</v>
      </c>
      <c r="T79" s="208">
        <v>30</v>
      </c>
      <c r="U79" s="208">
        <v>24</v>
      </c>
      <c r="V79" s="213"/>
    </row>
    <row r="80" spans="1:24" ht="15.75" thickBot="1" x14ac:dyDescent="0.3">
      <c r="A80" s="216" t="str">
        <f>IF(A76=0,"",VLOOKUP(A76,VAR_1!$BG$4:$BH$12,2,0))</f>
        <v/>
      </c>
      <c r="D80" s="213"/>
      <c r="G80" s="216">
        <f>+'CHECK_2.9'!C192</f>
        <v>0</v>
      </c>
      <c r="H80" s="208">
        <f>+'CHECK_2.9'!F192</f>
        <v>0</v>
      </c>
      <c r="K80" s="213"/>
      <c r="P80" s="892" t="s">
        <v>3550</v>
      </c>
      <c r="Q80" s="893"/>
      <c r="S80" s="220">
        <f>+'CHECK_2.9'!C28</f>
        <v>43976</v>
      </c>
      <c r="T80" s="308">
        <f>IF(S80&lt;S79,U79,T79)</f>
        <v>24</v>
      </c>
      <c r="U80" s="308"/>
      <c r="V80" s="218"/>
    </row>
    <row r="81" spans="1:22" ht="15.75" thickBot="1" x14ac:dyDescent="0.3">
      <c r="A81" s="216" t="e">
        <f>VLOOKUP(B51,VAR_1!$U$3:$V$9,2,0)</f>
        <v>#N/A</v>
      </c>
      <c r="D81" s="213"/>
      <c r="G81" s="333">
        <f>+'CHECK_2.9'!C163</f>
        <v>0</v>
      </c>
      <c r="H81" s="210">
        <f>+'CHECK_2.9'!D163</f>
        <v>693597</v>
      </c>
      <c r="I81" s="210">
        <f>+'CHECK_2.9'!E163</f>
        <v>693232</v>
      </c>
      <c r="K81" s="213"/>
      <c r="P81" s="208" t="str">
        <f>IF(AND('CHECK_2.9'!E29=RULES_TERMINI!A66,'CHECK_2.9'!E218=5),"! FASCIA 5 NON AMMISSIBILE","OK")</f>
        <v>OK</v>
      </c>
    </row>
    <row r="82" spans="1:22" ht="15.75" thickBot="1" x14ac:dyDescent="0.3">
      <c r="A82" s="216" t="e">
        <f>IF(A79="OK AUTOTRASPORTO",1,IF(AND(A81=1,A80=2),1,A80))</f>
        <v>#N/A</v>
      </c>
      <c r="B82" s="208">
        <f>IF(AND(K14=3,A58="Autotrasporto",B51="Semplificata"),
VLOOKUP(A76,VAR_1!$BG$4:$BI$12,3,0),1)</f>
        <v>1</v>
      </c>
      <c r="C82" s="208">
        <f>IF(OR(B77="OK MP/TP",B77=""),1,3)</f>
        <v>1</v>
      </c>
      <c r="D82" s="213">
        <f>IF(OR(B78="",B78="OK"),1,3)</f>
        <v>1</v>
      </c>
      <c r="G82" s="238">
        <f>+'CHECK_2.9'!C164</f>
        <v>0</v>
      </c>
      <c r="H82" s="209">
        <f>+'CHECK_2.9'!D164</f>
        <v>0</v>
      </c>
      <c r="I82" s="209">
        <f>+'CHECK_2.9'!E164</f>
        <v>0</v>
      </c>
      <c r="J82" s="331">
        <v>200000</v>
      </c>
      <c r="K82" s="213"/>
      <c r="S82" s="232" t="s">
        <v>3623</v>
      </c>
      <c r="T82" s="604"/>
      <c r="U82" s="604"/>
      <c r="V82" s="224">
        <f>IF(V68=0,Rendistato!Y32,
IF(V68=1,Rendistato!D32,
IF(V68=2,Rendistato!I32,
IF(V68=3,Rendistato!N32,Rendistato!S32))))</f>
        <v>2.9999999999999992E-4</v>
      </c>
    </row>
    <row r="83" spans="1:22" ht="15.75" thickBot="1" x14ac:dyDescent="0.3">
      <c r="A83" s="227" t="e">
        <f>IF(AND(A82=1,B82=1,C82=1,D82=1),"OK","! NON AMMISSIBILE")</f>
        <v>#N/A</v>
      </c>
      <c r="D83" s="213"/>
      <c r="G83" s="334">
        <f>+'CHECK_2.9'!C168</f>
        <v>0</v>
      </c>
      <c r="H83" s="335">
        <f>+'CHECK_2.9'!D168</f>
        <v>0</v>
      </c>
      <c r="I83" s="335">
        <f>+'CHECK_2.9'!E168</f>
        <v>0</v>
      </c>
      <c r="J83" s="331">
        <v>300000</v>
      </c>
      <c r="K83" s="213"/>
    </row>
    <row r="84" spans="1:22" ht="45.75" thickBot="1" x14ac:dyDescent="0.3">
      <c r="A84" s="221"/>
      <c r="B84" s="308"/>
      <c r="C84" s="308"/>
      <c r="D84" s="218"/>
      <c r="G84" s="336" t="str">
        <f>IF('CHECK_2.9'!G159="Semplificato",
IF(G82=0,CONCATENATE("! INSERIRE DATI FATTURATO BIL ",TEXT(G81,"GG/MM/AA")),IF(G82&gt;$J$82,CONCATENATE("! PARAMETRI FATTURATO / TOT. BIL NON RISPETTATI PER L'ANNO ",TEXT(G81,"GG/MM/AA")),"OK")),
IF(OR(G82=0,G83=0),CONCATENATE("! INSERIRE DATI FATTURATO / TOT. BIL ",TEXT(G81,"GG/MM/AA")),
IF(OR(G82&gt;$J$82,G83&gt;$J$83),CONCATENATE("! PARAMETRI FATTURATO / TOT. BIL NON RISPETTATI PER L'ANNO ",TEXT(G81,"GG/MM/AA")),"OK")))</f>
        <v>! INSERIRE DATI FATTURATO / TOT. BIL 00/01/00</v>
      </c>
      <c r="H84" s="336" t="str">
        <f>IF(G86&gt;2,
IF('CHECK_2.9'!G159="Semplificato",
IF(H82=0,CONCATENATE("! INSERIRE DATI FATTURATO BIL ",TEXT(H81,"GG/MM/AA")),IF(H82&gt;$J$82,CONCATENATE("! PARAMETRI FATTURATO / TOT. BIL NON RISPETTATI PER L'ANNO ",TEXT(H81,"GG/MM/AA")),"OK")),
IF(OR(H82=0,H83=0),CONCATENATE("! INSERIRE DATI FATTURATO / TOT. BIL ",TEXT(H81,"GG/MM/AA")),
IF(OR(H82&gt;$J$82,H83&gt;$J$83),CONCATENATE("! PARAMETRI FATTURATO / TOT. BIL NON RISPETTATI PER L'ANNO ",TEXT(H81,"GG/MM/AA")),"OK"))),"")</f>
        <v>! INSERIRE DATI FATTURATO / TOT. BIL 31/12/98</v>
      </c>
      <c r="I84" s="336" t="str">
        <f>IF(G86&gt;3,
IF('CHECK_2.9'!G159="Semplificato",
IF(I82=0,CONCATENATE("! INSERIRE DATI FATTURATO BIL ",TEXT(I81,"GG/MM/AA")),IF(I82&gt;$J$82,CONCATENATE("! PARAMETRI FATTURATO / TOT. BIL NON RISPETTATI PER L'ANNO ",TEXT(I81,"GG/MM/AA")),"OK")),
IF(OR(I82=0,I83=0),CONCATENATE("! INSERIRE DATI FATTURATO / TOT. BIL ",TEXT(I81,"GG/MM/AA")),
IF(OR(I82&gt;$J$82,I83&gt;$J$83),CONCATENATE("! PARAMETRI FATTURATO / TOT. BIL NON RISPETTATI PER L'ANNO ",TEXT(I81,"GG/MM/AA")),"OK"))),"")</f>
        <v>! INSERIRE DATI FATTURATO / TOT. BIL 31/12/97</v>
      </c>
      <c r="K84" s="213"/>
    </row>
    <row r="85" spans="1:22" ht="15.75" thickBot="1" x14ac:dyDescent="0.3">
      <c r="G85" s="216"/>
      <c r="K85" s="213"/>
    </row>
    <row r="86" spans="1:22" ht="15.75" thickBot="1" x14ac:dyDescent="0.3">
      <c r="G86" s="329">
        <f>+('CHECK_2.9'!C28-H77)/365</f>
        <v>120.48219178082192</v>
      </c>
      <c r="H86" s="337" t="str">
        <f>IF(G86&lt;0,"! DATA P.IVA SUCCESSIVA A RICH. AMM.NE",
IF(TRUNC(G86)&gt;5,"! P.IVA ATTIVA DA OLTRE 5 ANNI","OK"))</f>
        <v>! P.IVA ATTIVA DA OLTRE 5 ANNI</v>
      </c>
      <c r="J86" s="227" t="str">
        <f>IF(OR(G80=0,H80=0),"! SPECIFICARE ALMENO 2 SERV.ZI AUSILIARI OFFERTI",
IF(OR(G80="NO - VEDI NOTE",H80="NO - VEDI NOTE"),"! VERIFICARE SERVIZI AUSILIARI",
IF(G80=H80,"! VERIFICARE SERVIZI AUSILIARI","OK")))</f>
        <v>! SPECIFICARE ALMENO 2 SERV.ZI AUSILIARI OFFERTI</v>
      </c>
      <c r="K86" s="213"/>
    </row>
    <row r="87" spans="1:22" ht="15.75" thickBot="1" x14ac:dyDescent="0.3">
      <c r="G87" s="329" t="str">
        <f>IF(G77=0,"SPECIFICARE TIPO IMPRESA",VLOOKUP(G77,VAR_1!$BT$3:$BU$9,2,0))</f>
        <v>SPECIFICARE TIPO IMPRESA</v>
      </c>
      <c r="H87" s="227" t="str">
        <f>IF(G87&gt;6,"! TIPOLOGIA IMPRESA NON AMM.LE MICROCREDITO","OK")</f>
        <v>! TIPOLOGIA IMPRESA NON AMM.LE MICROCREDITO</v>
      </c>
      <c r="J87" s="227" t="str">
        <f>IF(J79&gt;K79,"! INDEBITAMENTO OLTRE € 100K","OK")</f>
        <v>OK</v>
      </c>
      <c r="K87" s="213"/>
    </row>
    <row r="88" spans="1:22" ht="15.75" thickBot="1" x14ac:dyDescent="0.3">
      <c r="G88" s="216" t="str">
        <f>IF(G77=0,"SPECIFICARE TIPO IMPRESA",VLOOKUP(G77,VAR_1!$BT$3:$BV$9,3,0))</f>
        <v>SPECIFICARE TIPO IMPRESA</v>
      </c>
      <c r="H88" s="227" t="str">
        <f>IF(I77&gt;G88,"! NUMERO DIP. OLTRE LIMITE AMM.LE PER TIPOLOGIA IMPRESA","OK")</f>
        <v>OK</v>
      </c>
      <c r="K88" s="213"/>
    </row>
    <row r="89" spans="1:22" ht="15.75" thickBot="1" x14ac:dyDescent="0.3">
      <c r="G89" s="227" t="str">
        <f>IF(G78&gt;J77,
IF(AND(G78&lt;=J78,H78="SI"),"OK","! IMPORTO FIN.TO OLTRE LIMITE AMM.LE"),"OK")</f>
        <v>OK</v>
      </c>
      <c r="H89" s="227" t="str">
        <f>IF(G79&gt;K77,
IF(AND(G79&lt;=K78,I79="FORMAZIONE"),"OK","! DURATA FIN.TO NON AMM.LE"),"OK")</f>
        <v>OK</v>
      </c>
      <c r="K89" s="213"/>
    </row>
    <row r="90" spans="1:22" ht="15.75" thickBot="1" x14ac:dyDescent="0.3">
      <c r="G90" s="221" t="str">
        <f>IF(H79=0,"SPECIFICARE FREQ RATE",VLOOKUP(H79,VAR_1!$BX$3:$BY$7,2,0))</f>
        <v>SPECIFICARE FREQ RATE</v>
      </c>
      <c r="H90" s="227" t="str">
        <f>IF(G90&gt;3,"! FREQ.ZA RATE NON AMM.LE","OK")</f>
        <v>! FREQ.ZA RATE NON AMM.LE</v>
      </c>
      <c r="I90" s="308"/>
      <c r="J90" s="308"/>
      <c r="K90" s="218"/>
    </row>
  </sheetData>
  <sheetProtection algorithmName="SHA-512" hashValue="KgPWaOJuenV4ITBYB1gzD0V60HI0iaBQn9b7KzEdhIXxTW9kNH+RbjwAga2s5Mq8rM8q+dRfbf8xoj6c06IWJw==" saltValue="2zLOJEmBeiFBkVSQZ/824A==" spinCount="100000" sheet="1" objects="1" scenarios="1"/>
  <mergeCells count="61">
    <mergeCell ref="S78:V78"/>
    <mergeCell ref="P66:Q66"/>
    <mergeCell ref="P73:Q73"/>
    <mergeCell ref="P76:Q76"/>
    <mergeCell ref="R2:S2"/>
    <mergeCell ref="P62:Q62"/>
    <mergeCell ref="Q38:R38"/>
    <mergeCell ref="S66:V66"/>
    <mergeCell ref="S72:V72"/>
    <mergeCell ref="S75:V75"/>
    <mergeCell ref="R14:T14"/>
    <mergeCell ref="M2:N2"/>
    <mergeCell ref="M9:N9"/>
    <mergeCell ref="D1:E1"/>
    <mergeCell ref="A1:B1"/>
    <mergeCell ref="A9:B9"/>
    <mergeCell ref="J6:K6"/>
    <mergeCell ref="J10:K10"/>
    <mergeCell ref="J16:K16"/>
    <mergeCell ref="G1:H1"/>
    <mergeCell ref="G13:H13"/>
    <mergeCell ref="J2:K2"/>
    <mergeCell ref="J13:K13"/>
    <mergeCell ref="A75:D75"/>
    <mergeCell ref="A65:C65"/>
    <mergeCell ref="A49:C49"/>
    <mergeCell ref="D61:E61"/>
    <mergeCell ref="D49:E49"/>
    <mergeCell ref="A61:C61"/>
    <mergeCell ref="A55:C55"/>
    <mergeCell ref="M60:N60"/>
    <mergeCell ref="P57:Q57"/>
    <mergeCell ref="A40:B40"/>
    <mergeCell ref="D44:E44"/>
    <mergeCell ref="O12:P12"/>
    <mergeCell ref="M18:N18"/>
    <mergeCell ref="A23:B23"/>
    <mergeCell ref="D22:E22"/>
    <mergeCell ref="A44:C44"/>
    <mergeCell ref="G32:H32"/>
    <mergeCell ref="J19:K19"/>
    <mergeCell ref="J30:K30"/>
    <mergeCell ref="D26:E26"/>
    <mergeCell ref="P17:Q17"/>
    <mergeCell ref="P22:Q22"/>
    <mergeCell ref="W9:X9"/>
    <mergeCell ref="W14:X14"/>
    <mergeCell ref="P80:Q80"/>
    <mergeCell ref="G76:K76"/>
    <mergeCell ref="M51:N51"/>
    <mergeCell ref="G27:H27"/>
    <mergeCell ref="M12:N12"/>
    <mergeCell ref="M48:N48"/>
    <mergeCell ref="M36:N36"/>
    <mergeCell ref="G16:H16"/>
    <mergeCell ref="G21:H21"/>
    <mergeCell ref="J37:K37"/>
    <mergeCell ref="I42:I44"/>
    <mergeCell ref="G60:G61"/>
    <mergeCell ref="G46:K46"/>
    <mergeCell ref="M57:N57"/>
  </mergeCells>
  <phoneticPr fontId="39"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5"/>
  <dimension ref="A1:Q99"/>
  <sheetViews>
    <sheetView topLeftCell="A51" zoomScale="80" zoomScaleNormal="80" workbookViewId="0">
      <selection activeCell="F71" sqref="F71"/>
    </sheetView>
  </sheetViews>
  <sheetFormatPr defaultColWidth="9.140625" defaultRowHeight="15" x14ac:dyDescent="0.25"/>
  <cols>
    <col min="1" max="1" width="48.28515625" style="208" bestFit="1" customWidth="1"/>
    <col min="2" max="2" width="18.85546875" style="208" customWidth="1"/>
    <col min="3" max="3" width="20.140625" style="211" customWidth="1"/>
    <col min="4" max="4" width="13" style="208" customWidth="1"/>
    <col min="5" max="6" width="12.85546875" style="208" customWidth="1"/>
    <col min="7" max="7" width="10.85546875" style="208" customWidth="1"/>
    <col min="8" max="8" width="9.140625" style="208"/>
    <col min="9" max="9" width="51.42578125" style="208" bestFit="1" customWidth="1"/>
    <col min="10" max="10" width="80.85546875" style="208" bestFit="1" customWidth="1"/>
    <col min="11" max="11" width="9.140625" style="208"/>
    <col min="12" max="12" width="38.140625" style="208" bestFit="1" customWidth="1"/>
    <col min="13" max="13" width="62.28515625" style="208" customWidth="1"/>
    <col min="14" max="14" width="19.5703125" style="208" bestFit="1" customWidth="1"/>
    <col min="15" max="15" width="35.85546875" style="208" bestFit="1" customWidth="1"/>
    <col min="16" max="16" width="56.28515625" style="208" bestFit="1" customWidth="1"/>
    <col min="17" max="17" width="11.5703125" style="208" bestFit="1" customWidth="1"/>
    <col min="18" max="16384" width="9.140625" style="208"/>
  </cols>
  <sheetData>
    <row r="1" spans="1:17" ht="15.75" thickBot="1" x14ac:dyDescent="0.3">
      <c r="A1" s="206" t="s">
        <v>465</v>
      </c>
      <c r="B1" s="206" t="s">
        <v>464</v>
      </c>
      <c r="C1" s="207" t="s">
        <v>463</v>
      </c>
      <c r="I1" s="892" t="s">
        <v>462</v>
      </c>
      <c r="J1" s="893"/>
      <c r="L1" s="904" t="s">
        <v>461</v>
      </c>
      <c r="M1" s="906"/>
      <c r="O1" s="892" t="s">
        <v>2364</v>
      </c>
      <c r="P1" s="893"/>
    </row>
    <row r="2" spans="1:17" x14ac:dyDescent="0.25">
      <c r="A2" s="209" t="s">
        <v>460</v>
      </c>
      <c r="B2" s="209" t="s">
        <v>459</v>
      </c>
      <c r="C2" s="210">
        <f>IF('CHECK_2.9'!G99="",+'CHECK_2.9'!C58,
IF(M33="ok",IF('CHECK_2.9'!C108&lt;&gt;"SI",'CHECK_2.9'!C58,'CHECK_2.9'!G99),'CHECK_2.9'!C58))</f>
        <v>46205</v>
      </c>
      <c r="D2" s="211"/>
      <c r="I2" s="212" t="s">
        <v>422</v>
      </c>
      <c r="J2" s="213" t="str">
        <f>IF(C5&gt;(EDATE(C3,12)),"! AVVIO OLTRE 12M DA INADEMP.TO","OK")</f>
        <v>OK</v>
      </c>
      <c r="L2" s="214" t="s">
        <v>45</v>
      </c>
      <c r="M2" s="215">
        <f>IF('CHECK_2.9'!C115="","SPECIFICARE TIPO INA",
VLOOKUP('CHECK_2.9'!C115,VAR_1!$I$7:$J$9,2,0))</f>
        <v>2</v>
      </c>
      <c r="O2" s="216" t="str">
        <f>IF(AND('CHECK_2.9'!C102&gt;=RULES_TERMINI!D39,'CHECK_2.9'!C106="SI",'CHECK_2.9'!C4&lt;&gt;"Garanzia Diretta"),
IF('CHECK_2.9'!C102&gt;RULES_TERMINI!O3,"KO","OK"),"OK - NO CTRL")</f>
        <v>OK - NO CTRL</v>
      </c>
      <c r="P2" s="213"/>
    </row>
    <row r="3" spans="1:17" ht="15.75" thickBot="1" x14ac:dyDescent="0.3">
      <c r="A3" s="209" t="s">
        <v>39</v>
      </c>
      <c r="B3" s="209" t="s">
        <v>458</v>
      </c>
      <c r="C3" s="210">
        <f>+'CHECK_2.9'!E117</f>
        <v>45384</v>
      </c>
      <c r="I3" s="217" t="s">
        <v>457</v>
      </c>
      <c r="J3" s="218" t="str">
        <f>IF('CHECK_2.9'!C28&gt;=DATE(2015,12,14),
IF(C6&gt;(EDATE(C5,2)),"! COMUNICAZIONE AVVIO MCC OLTRE 2M","OK"),"OK - NO CTRL")</f>
        <v>OK</v>
      </c>
      <c r="L3" s="216" t="s">
        <v>53</v>
      </c>
      <c r="M3" s="219">
        <f>+'CHECK_2.9'!C106</f>
        <v>0</v>
      </c>
      <c r="O3" s="220">
        <f>(EDATE('CHECK_2.9'!E106,6))</f>
        <v>182</v>
      </c>
      <c r="P3" s="218"/>
    </row>
    <row r="4" spans="1:17" ht="15.75" thickBot="1" x14ac:dyDescent="0.3">
      <c r="A4" s="209" t="s">
        <v>456</v>
      </c>
      <c r="B4" s="209" t="s">
        <v>455</v>
      </c>
      <c r="C4" s="210">
        <f>+'CHECK_2.9'!C120</f>
        <v>45545</v>
      </c>
      <c r="L4" s="221" t="s">
        <v>454</v>
      </c>
      <c r="M4" s="222" t="str">
        <f>+'CHECK_2.9'!C110</f>
        <v>NO</v>
      </c>
    </row>
    <row r="5" spans="1:17" ht="15.75" thickBot="1" x14ac:dyDescent="0.3">
      <c r="A5" s="209" t="s">
        <v>453</v>
      </c>
      <c r="B5" s="209" t="s">
        <v>452</v>
      </c>
      <c r="C5" s="210">
        <f>+'CHECK_2.9'!E120</f>
        <v>45547</v>
      </c>
      <c r="I5" s="915" t="s">
        <v>451</v>
      </c>
      <c r="J5" s="916"/>
    </row>
    <row r="6" spans="1:17" ht="15.75" thickBot="1" x14ac:dyDescent="0.3">
      <c r="A6" s="209" t="s">
        <v>450</v>
      </c>
      <c r="B6" s="209" t="s">
        <v>449</v>
      </c>
      <c r="C6" s="210">
        <f>+'CHECK_2.9'!G120</f>
        <v>45511</v>
      </c>
      <c r="I6" s="216"/>
      <c r="J6" s="213"/>
      <c r="L6" s="892" t="s">
        <v>448</v>
      </c>
      <c r="M6" s="894"/>
      <c r="N6" s="223" t="s">
        <v>426</v>
      </c>
      <c r="O6" s="224" t="s">
        <v>424</v>
      </c>
      <c r="P6" s="351" t="s">
        <v>374</v>
      </c>
      <c r="Q6" s="352" t="s">
        <v>336</v>
      </c>
    </row>
    <row r="7" spans="1:17" ht="15.75" thickBot="1" x14ac:dyDescent="0.3">
      <c r="A7" s="209" t="s">
        <v>447</v>
      </c>
      <c r="B7" s="209" t="s">
        <v>446</v>
      </c>
      <c r="C7" s="210">
        <f>+'CHECK_2.9'!C102</f>
        <v>0</v>
      </c>
      <c r="I7" s="216" t="s">
        <v>445</v>
      </c>
      <c r="J7" s="219">
        <f>(EDATE(C3,12))</f>
        <v>45749</v>
      </c>
      <c r="L7" s="225" t="s">
        <v>424</v>
      </c>
      <c r="M7" s="226" t="str">
        <f>IF(AND(M3="NO",M4="no"),"OK","KO")</f>
        <v>KO</v>
      </c>
      <c r="N7" s="226"/>
      <c r="O7" s="215"/>
      <c r="P7" s="267" t="str">
        <f>IF(AND(M9&lt;=D36,O9&lt;=F36),A36,
IF(AND(M9&gt;=D37,C5&gt;=F37,M9&lt;D38),A37,
IF(AND(M9&gt;=D38,M9&lt;D39),A38,
IF(M9&gt;=D39,A39,A36))))</f>
        <v>N+3</v>
      </c>
      <c r="Q7" s="268">
        <f>VLOOKUP(P7,$A$35:$B$39,2,0)</f>
        <v>4</v>
      </c>
    </row>
    <row r="8" spans="1:17" ht="15.75" thickBot="1" x14ac:dyDescent="0.3">
      <c r="A8" s="209" t="s">
        <v>444</v>
      </c>
      <c r="B8" s="209" t="s">
        <v>443</v>
      </c>
      <c r="C8" s="210"/>
      <c r="I8" s="216" t="s">
        <v>442</v>
      </c>
      <c r="J8" s="213" t="str">
        <f>IF(C12&gt;J7,"! SOSPENSIONE TERMINI AVVIO RICHIESTA OLTRE I TERMINI","OK TERMINI RICHIESTA SOSPENSIONE")</f>
        <v>OK TERMINI RICHIESTA SOSPENSIONE</v>
      </c>
      <c r="L8" s="212" t="s">
        <v>422</v>
      </c>
      <c r="M8" s="208" t="str">
        <f>IF(C7&gt;(EDATE(Q9,12)),"! RICHIESTA PROLUNGAMENTO OLTRE 12M DA INADEMPIMENTO","OK")</f>
        <v>OK</v>
      </c>
      <c r="N8" s="208">
        <f>IF(M8="OK",0,1)</f>
        <v>0</v>
      </c>
      <c r="O8" s="227" t="str">
        <f>IF(AND(M2&gt;1,M7="ok"),IF(N8=0,"OK","KO"),"NON CONGRUENTE")</f>
        <v>NON CONGRUENTE</v>
      </c>
    </row>
    <row r="9" spans="1:17" x14ac:dyDescent="0.25">
      <c r="A9" s="209" t="s">
        <v>441</v>
      </c>
      <c r="B9" s="209" t="s">
        <v>440</v>
      </c>
      <c r="C9" s="210"/>
      <c r="I9" s="212" t="s">
        <v>439</v>
      </c>
      <c r="J9" s="213" t="str">
        <f>IF(C5&gt;C14,"! AVVIO OLTRE TERMINI SOSPENSIONE","OK")</f>
        <v>! AVVIO OLTRE TERMINI SOSPENSIONE</v>
      </c>
      <c r="L9" s="212" t="s">
        <v>2504</v>
      </c>
      <c r="M9" s="211">
        <f>+'CHECK_2.9'!C58</f>
        <v>46205</v>
      </c>
      <c r="N9" s="208" t="s">
        <v>278</v>
      </c>
      <c r="O9" s="219">
        <f>+'CHECK_2.9'!E106</f>
        <v>0</v>
      </c>
      <c r="P9" s="225" t="s">
        <v>2505</v>
      </c>
      <c r="Q9" s="244">
        <f>+'CHECK_2.9'!C101</f>
        <v>0</v>
      </c>
    </row>
    <row r="10" spans="1:17" ht="15.75" thickBot="1" x14ac:dyDescent="0.3">
      <c r="A10" s="209" t="s">
        <v>438</v>
      </c>
      <c r="B10" s="209" t="s">
        <v>390</v>
      </c>
      <c r="C10" s="210">
        <f>+'CHECK_2.9'!E102</f>
        <v>0</v>
      </c>
      <c r="I10" s="217" t="s">
        <v>437</v>
      </c>
      <c r="J10" s="218" t="str">
        <f>IF('CHECK_2.9'!C48&gt;=DATE(2015,12,14),
IF(C6&gt;(EDATE(C5,2)),"! COMUNICAZIONE AVVIO MCC OLTRE 2 M","OK"),"OK - NO CTRL")</f>
        <v>OK</v>
      </c>
      <c r="L10" s="212" t="s">
        <v>418</v>
      </c>
      <c r="M10" s="208" t="str">
        <f>IF(C7=Q9,IF(C7&gt;(EDATE(M9,1)),"! RICHIESTA PROLUNGAMENTO OLTRE 1M DA SCAD. FIN.TO","OK"),"! REVOCA &lt;&gt; INADEMPIMENTO - A3")</f>
        <v>OK</v>
      </c>
      <c r="N10" s="208">
        <f>IF(M10="OK",0,1)</f>
        <v>0</v>
      </c>
      <c r="O10" s="213" t="str">
        <f>IF(AND($M$7="OK",$M$2=1,N10=0),"OK","KO")</f>
        <v>KO</v>
      </c>
      <c r="P10" s="221" t="s">
        <v>269</v>
      </c>
      <c r="Q10" s="222">
        <f>+'CHECK_2.9'!G106</f>
        <v>0</v>
      </c>
    </row>
    <row r="11" spans="1:17" ht="15.75" thickBot="1" x14ac:dyDescent="0.3">
      <c r="A11" s="209" t="s">
        <v>436</v>
      </c>
      <c r="B11" s="209" t="s">
        <v>435</v>
      </c>
      <c r="C11" s="210">
        <f>IF('CHECK_2.9'!C108="NO",'CHECK_2.9'!C58,'CHECK_2.9'!G99)</f>
        <v>0</v>
      </c>
      <c r="L11" s="212" t="s">
        <v>415</v>
      </c>
      <c r="M11" s="208" t="str">
        <f>IF(C7&gt;(EDATE(M9,1)),"! RICHIESTA PROLUNGAMENTO OLTRE 1M DA SCAD. FIN.TO","OK")</f>
        <v>OK</v>
      </c>
      <c r="N11" s="208">
        <f>IF(M11="OK",0,1)</f>
        <v>0</v>
      </c>
      <c r="O11" s="228" t="str">
        <f>IF(AND($M$7="OK",$M$2=1,N11=0),"OK","KO")</f>
        <v>KO</v>
      </c>
    </row>
    <row r="12" spans="1:17" ht="15.75" thickBot="1" x14ac:dyDescent="0.3">
      <c r="A12" s="209" t="s">
        <v>434</v>
      </c>
      <c r="B12" s="209" t="s">
        <v>433</v>
      </c>
      <c r="C12" s="210">
        <f>+'CHECK_2.9'!E110</f>
        <v>0</v>
      </c>
      <c r="I12" s="892" t="s">
        <v>432</v>
      </c>
      <c r="J12" s="893"/>
      <c r="L12" s="212" t="s">
        <v>412</v>
      </c>
      <c r="M12" s="208" t="str">
        <f>IF(C7&gt;(EDATE(M9,3)),"! RICHIESTA PROLUNGAMENTO OLTRE 3M DA SCAD. FIN.TO","OK")</f>
        <v>OK</v>
      </c>
      <c r="N12" s="208">
        <f>IF(M12="OK",0,1)</f>
        <v>0</v>
      </c>
      <c r="O12" s="213" t="str">
        <f>IF(AND($M$7="OK",$M$2=1,N12=0),"OK","KO")</f>
        <v>KO</v>
      </c>
    </row>
    <row r="13" spans="1:17" ht="15.75" thickBot="1" x14ac:dyDescent="0.3">
      <c r="A13" s="209" t="s">
        <v>431</v>
      </c>
      <c r="B13" s="209" t="s">
        <v>430</v>
      </c>
      <c r="C13" s="210"/>
      <c r="I13" s="212" t="s">
        <v>418</v>
      </c>
      <c r="J13" s="213" t="str">
        <f>IF(C5=C3,IF(C5&gt;(EDATE(C2,1)),"! AVVIO OLTRE 1M DA SCAD. FIN.TO","OK"),"! REVOCA ≠ INADEMPIMENTO - A3")</f>
        <v>! REVOCA ≠ INADEMPIMENTO - A3</v>
      </c>
      <c r="L13" s="917" t="s">
        <v>408</v>
      </c>
      <c r="M13" s="918"/>
      <c r="N13" s="918"/>
      <c r="O13" s="227" t="str">
        <f>IF(AND(M7="ok",M2=1),IF(Q7=1,O10,IF(Q7=2,O11,O12)),"NON CONGRUENTE")</f>
        <v>NON CONGRUENTE</v>
      </c>
    </row>
    <row r="14" spans="1:17" ht="15.75" thickBot="1" x14ac:dyDescent="0.3">
      <c r="A14" s="209" t="s">
        <v>47</v>
      </c>
      <c r="B14" s="209" t="s">
        <v>247</v>
      </c>
      <c r="C14" s="210">
        <f>+'CHECK_2.9'!G110</f>
        <v>0</v>
      </c>
      <c r="I14" s="212" t="s">
        <v>417</v>
      </c>
      <c r="J14" s="213" t="str">
        <f>IF(C6&gt;(EDATE(C2,3)),"! COMUNICAZIONE AVVIO MCC OLTRE 3M SCAD. FIN.TO","OK")</f>
        <v>OK</v>
      </c>
    </row>
    <row r="15" spans="1:17" ht="15.75" thickBot="1" x14ac:dyDescent="0.3">
      <c r="A15" s="209" t="s">
        <v>429</v>
      </c>
      <c r="B15" s="209"/>
      <c r="C15" s="210">
        <f>+IF('CHECK_2.9'!E118="",'CHECK_2.9'!G117,'CHECK_2.9'!E118)</f>
        <v>45475</v>
      </c>
      <c r="D15" s="211"/>
      <c r="I15" s="212" t="s">
        <v>428</v>
      </c>
      <c r="J15" s="213" t="str">
        <f>IF(AND(C5&lt;&gt;C3,C5&gt;(EDATE(C3,12))),"! REVOCA ≠ INADEMPIMENTO - AVVIO OLTRE 12M DA INADEMPIMENTO","OK")</f>
        <v>OK</v>
      </c>
      <c r="L15" s="892" t="s">
        <v>427</v>
      </c>
      <c r="M15" s="894"/>
      <c r="N15" s="223" t="s">
        <v>426</v>
      </c>
      <c r="O15" s="894" t="s">
        <v>424</v>
      </c>
      <c r="P15" s="893"/>
    </row>
    <row r="16" spans="1:17" x14ac:dyDescent="0.25">
      <c r="A16" s="209" t="s">
        <v>425</v>
      </c>
      <c r="B16" s="209"/>
      <c r="C16" s="210">
        <f>+IF('CHECK_2.9'!G118="",'CHECK_2.9'!G120,'CHECK_2.9'!G118)</f>
        <v>45511</v>
      </c>
      <c r="D16" s="211"/>
      <c r="I16" s="216"/>
      <c r="J16" s="229"/>
      <c r="L16" s="225" t="s">
        <v>424</v>
      </c>
      <c r="M16" s="226" t="str">
        <f>IF(AND(M3="SI",M4="no"),"OK","KO")</f>
        <v>KO</v>
      </c>
      <c r="N16" s="226"/>
      <c r="O16" s="226"/>
      <c r="P16" s="215"/>
    </row>
    <row r="17" spans="1:16" x14ac:dyDescent="0.25">
      <c r="A17" s="209" t="s">
        <v>423</v>
      </c>
      <c r="B17" s="209"/>
      <c r="C17" s="210">
        <f>+'CHECK_2.9'!G117</f>
        <v>45475</v>
      </c>
      <c r="I17" s="212" t="s">
        <v>415</v>
      </c>
      <c r="J17" s="213" t="str">
        <f>IF(C5&gt;(EDATE(C2,1)),"! AVVIO OLTRE 1M DA SCAD. FIN.TO","OK")</f>
        <v>OK</v>
      </c>
      <c r="L17" s="212" t="s">
        <v>422</v>
      </c>
      <c r="M17" s="208" t="str">
        <f>IF(O9&gt;(EDATE(Q9,12)),"! AVVIO OLTRE 12M DA INADEMP.TO","OK")</f>
        <v>OK</v>
      </c>
      <c r="N17" s="208">
        <f>IF(M17="OK",0,1)</f>
        <v>0</v>
      </c>
      <c r="O17" s="208" t="str">
        <f>IF(AND(M2&gt;1,N17=0),"OK",M17)</f>
        <v>OK</v>
      </c>
      <c r="P17" s="213"/>
    </row>
    <row r="18" spans="1:16" ht="15.75" thickBot="1" x14ac:dyDescent="0.3">
      <c r="A18" s="209" t="s">
        <v>421</v>
      </c>
      <c r="B18" s="209"/>
      <c r="C18" s="210">
        <f>+'CHECK_2.9'!G120</f>
        <v>45511</v>
      </c>
      <c r="I18" s="212" t="s">
        <v>414</v>
      </c>
      <c r="J18" s="213" t="str">
        <f>IF(C6&gt;(EDATE(C2,3)),"! COMUNICAZIONE AVVIO MCC OLTRE 3M SCAD. FIN.TO","OK")</f>
        <v>OK</v>
      </c>
      <c r="L18" s="212" t="s">
        <v>420</v>
      </c>
      <c r="M18" s="208" t="str">
        <f>IF('CHECK_2.9'!C28&gt;=DATE(2015,12,14),
IF(Q10&gt;(EDATE(O9,2)),"! COMUNICAZIONE AVVIO MCC OLTRE 2M","OK"),"OK")</f>
        <v>OK</v>
      </c>
      <c r="N18" s="208">
        <f>IF(OR(M18="OK",M18="OK - NO CTRL"),0,1)</f>
        <v>0</v>
      </c>
      <c r="O18" s="208" t="str">
        <f>IF(AND($M$16="OK",$M$2=1,N18=0),"OK",M18)</f>
        <v>OK</v>
      </c>
      <c r="P18" s="213"/>
    </row>
    <row r="19" spans="1:16" ht="15.75" thickBot="1" x14ac:dyDescent="0.3">
      <c r="I19" s="216"/>
      <c r="J19" s="213"/>
      <c r="L19" s="923" t="s">
        <v>419</v>
      </c>
      <c r="M19" s="924"/>
      <c r="N19" s="924"/>
      <c r="O19" s="227" t="str">
        <f>IF(AND(M2&gt;1,M16="ok"),
IF(AND(O17="OK",O18="OK"),"OK","KO"),"NON CONGRUENTE")</f>
        <v>NON CONGRUENTE</v>
      </c>
      <c r="P19" s="213"/>
    </row>
    <row r="20" spans="1:16" x14ac:dyDescent="0.25">
      <c r="A20" s="209" t="s">
        <v>284</v>
      </c>
      <c r="B20" s="209" t="s">
        <v>284</v>
      </c>
      <c r="C20" s="210">
        <v>43388</v>
      </c>
      <c r="I20" s="212" t="s">
        <v>412</v>
      </c>
      <c r="J20" s="213" t="str">
        <f>IF(C5&gt;(EDATE(C2,3)),"! AVVIO OLTRE 3M DA SCAD. FIN.TO","OK")</f>
        <v>OK</v>
      </c>
      <c r="L20" s="216"/>
      <c r="P20" s="213"/>
    </row>
    <row r="21" spans="1:16" ht="15.75" thickBot="1" x14ac:dyDescent="0.3">
      <c r="B21" s="209" t="s">
        <v>2515</v>
      </c>
      <c r="C21" s="210">
        <v>43539</v>
      </c>
      <c r="I21" s="217" t="s">
        <v>410</v>
      </c>
      <c r="J21" s="218" t="str">
        <f>IF(C6&gt;(EDATE(C5,2)),"! COMUNICAZIONE AVVIO MCC OLTRE 2M DA AVVIO","OK")</f>
        <v>OK</v>
      </c>
      <c r="L21" s="212" t="s">
        <v>418</v>
      </c>
      <c r="M21" s="208" t="str">
        <f>IF(O9=Q9,IF(O9&gt;(EDATE(M9,1)),"! AVVIO OLTRE 1M DA SCAD. FIN.TO","OK"),"! REVOCA ≠ INADEMPIMENTO - A3")</f>
        <v>OK</v>
      </c>
      <c r="N21" s="208">
        <f t="shared" ref="N21:N26" si="0">IF(M21="OK",0,1)</f>
        <v>0</v>
      </c>
      <c r="O21" s="208" t="str">
        <f t="shared" ref="O21:O26" si="1">IF(AND($M$16="OK",$M$2=1,N21=0),"OK",M21)</f>
        <v>OK</v>
      </c>
      <c r="P21" s="912" t="str">
        <f>+IF(AND(O21="OK",O22="OK"),"OK","KO")</f>
        <v>OK</v>
      </c>
    </row>
    <row r="22" spans="1:16" ht="15.75" thickBot="1" x14ac:dyDescent="0.3">
      <c r="A22" s="209" t="s">
        <v>27</v>
      </c>
      <c r="B22" s="209"/>
      <c r="C22" s="210">
        <f>+'CHECK_2.9'!G139</f>
        <v>0</v>
      </c>
      <c r="L22" s="212" t="s">
        <v>417</v>
      </c>
      <c r="M22" s="208" t="str">
        <f>IF(Q10&gt;(EDATE(M9,3)),"! COMUNICAZIONE AVVIO MCC OLTRE 3M SCAD. FIN.TO","OK")</f>
        <v>OK</v>
      </c>
      <c r="N22" s="208">
        <f t="shared" si="0"/>
        <v>0</v>
      </c>
      <c r="O22" s="208" t="str">
        <f t="shared" si="1"/>
        <v>OK</v>
      </c>
      <c r="P22" s="912"/>
    </row>
    <row r="23" spans="1:16" s="231" customFormat="1" ht="15.75" thickBot="1" x14ac:dyDescent="0.3">
      <c r="A23" s="230" t="s">
        <v>24</v>
      </c>
      <c r="B23" s="230"/>
      <c r="C23" s="230">
        <f>+'CHECK_2.9'!E140</f>
        <v>0</v>
      </c>
      <c r="I23" s="915" t="s">
        <v>416</v>
      </c>
      <c r="J23" s="916"/>
      <c r="L23" s="212" t="s">
        <v>415</v>
      </c>
      <c r="M23" s="208" t="str">
        <f>IF(O9&gt;(EDATE(M9,1)),"! AVVIO OLTRE 1M DA SCAD. FIN.TO","OK")</f>
        <v>OK</v>
      </c>
      <c r="N23" s="208">
        <f t="shared" si="0"/>
        <v>0</v>
      </c>
      <c r="O23" s="208" t="str">
        <f t="shared" si="1"/>
        <v>OK</v>
      </c>
      <c r="P23" s="912" t="str">
        <f>+IF(AND(O23="OK",O24="OK"),"OK","KO")</f>
        <v>OK</v>
      </c>
    </row>
    <row r="24" spans="1:16" x14ac:dyDescent="0.25">
      <c r="A24" s="209" t="s">
        <v>21</v>
      </c>
      <c r="B24" s="209"/>
      <c r="C24" s="210">
        <f>+'CHECK_2.9'!C142</f>
        <v>0</v>
      </c>
      <c r="I24" s="216"/>
      <c r="J24" s="213"/>
      <c r="L24" s="212" t="s">
        <v>414</v>
      </c>
      <c r="M24" s="208" t="str">
        <f>IF(Q10&gt;(EDATE(M9,3)),"! COMUNICAZIONE AVVIO MCC OLTRE 3M SCAD. FIN.TO","OK")</f>
        <v>OK</v>
      </c>
      <c r="N24" s="208">
        <f t="shared" si="0"/>
        <v>0</v>
      </c>
      <c r="O24" s="208" t="str">
        <f t="shared" si="1"/>
        <v>OK</v>
      </c>
      <c r="P24" s="912"/>
    </row>
    <row r="25" spans="1:16" x14ac:dyDescent="0.25">
      <c r="A25" s="209" t="s">
        <v>20</v>
      </c>
      <c r="B25" s="209"/>
      <c r="C25" s="210">
        <f>+'CHECK_2.9'!E142</f>
        <v>0</v>
      </c>
      <c r="I25" s="216" t="s">
        <v>413</v>
      </c>
      <c r="J25" s="219">
        <f>+(EDATE(C2,1))</f>
        <v>46236</v>
      </c>
      <c r="L25" s="212" t="s">
        <v>412</v>
      </c>
      <c r="M25" s="208" t="str">
        <f>IF(O9&gt;(EDATE(M9,3)),"! AVVIO OLTRE 3M DA SCAD. FIN.TO","OK")</f>
        <v>OK</v>
      </c>
      <c r="N25" s="208">
        <f t="shared" si="0"/>
        <v>0</v>
      </c>
      <c r="O25" s="208" t="str">
        <f t="shared" si="1"/>
        <v>OK</v>
      </c>
      <c r="P25" s="912" t="str">
        <f>+IF(AND(O25="OK",O26="OK"),"OK","KO")</f>
        <v>OK</v>
      </c>
    </row>
    <row r="26" spans="1:16" ht="15.75" thickBot="1" x14ac:dyDescent="0.3">
      <c r="A26" s="209" t="s">
        <v>411</v>
      </c>
      <c r="B26" s="209"/>
      <c r="C26" s="210">
        <f>+'CHECK_2.9'!G142</f>
        <v>0</v>
      </c>
      <c r="I26" s="216"/>
      <c r="J26" s="213"/>
      <c r="L26" s="212" t="s">
        <v>410</v>
      </c>
      <c r="M26" s="208" t="str">
        <f>IF(Q10&gt;(EDATE(O9,2)),"! COMUNICAZIONE AVVIO MCC OLTRE 2M DA AVVIO","OK")</f>
        <v>OK</v>
      </c>
      <c r="N26" s="208">
        <f t="shared" si="0"/>
        <v>0</v>
      </c>
      <c r="O26" s="208" t="str">
        <f t="shared" si="1"/>
        <v>OK</v>
      </c>
      <c r="P26" s="912"/>
    </row>
    <row r="27" spans="1:16" ht="15.75" thickBot="1" x14ac:dyDescent="0.3">
      <c r="A27" s="209" t="s">
        <v>19</v>
      </c>
      <c r="B27" s="209"/>
      <c r="C27" s="210">
        <f>+'CHECK_2.9'!C144</f>
        <v>45978</v>
      </c>
      <c r="I27" s="216" t="s">
        <v>409</v>
      </c>
      <c r="J27" s="213" t="str">
        <f>IF(C12&gt;J25,"! SOSPENSIONE AVVIO RICHIESTA OLTRE I TERMINI","OK TERMINI RICHIESTA")</f>
        <v>OK TERMINI RICHIESTA</v>
      </c>
      <c r="L27" s="917" t="s">
        <v>408</v>
      </c>
      <c r="M27" s="918"/>
      <c r="N27" s="918"/>
      <c r="O27" s="925"/>
      <c r="P27" s="227" t="str">
        <f>IF(AND(M16="ok",M2=1),IF(Q7=1,P21,IF(Q7=2,P23,P25)),"NON CONGRUENTE")</f>
        <v>NON CONGRUENTE</v>
      </c>
    </row>
    <row r="28" spans="1:16" ht="15.75" thickBot="1" x14ac:dyDescent="0.3">
      <c r="I28" s="216" t="s">
        <v>407</v>
      </c>
      <c r="J28" s="213" t="str">
        <f>IF(C5&lt;&gt;C3,IF(C12&gt;(EDATE(C3,12)),"! REVOCA ≠ INADEMPIMENTO - SOSPENSIONE AVVIO RICHIESTA OLTRE I TERMINI","OK"),"! REVOCA = INADEMPIMENTO - CH A1/C1")</f>
        <v>OK</v>
      </c>
    </row>
    <row r="29" spans="1:16" ht="15.75" thickBot="1" x14ac:dyDescent="0.3">
      <c r="A29" s="209" t="s">
        <v>3512</v>
      </c>
      <c r="B29" s="209"/>
      <c r="C29" s="210">
        <v>43449</v>
      </c>
      <c r="I29" s="212" t="s">
        <v>406</v>
      </c>
      <c r="J29" s="213" t="str">
        <f>IF(C5&gt;C14,"! AVVIO OLTRE TERMINI SOSPENSIONE","OK")</f>
        <v>! AVVIO OLTRE TERMINI SOSPENSIONE</v>
      </c>
      <c r="L29" s="892" t="s">
        <v>405</v>
      </c>
      <c r="M29" s="893"/>
    </row>
    <row r="30" spans="1:16" ht="15.75" thickBot="1" x14ac:dyDescent="0.3">
      <c r="A30" s="209" t="s">
        <v>3513</v>
      </c>
      <c r="B30" s="209"/>
      <c r="C30" s="210">
        <v>43419</v>
      </c>
      <c r="I30" s="212" t="s">
        <v>404</v>
      </c>
      <c r="J30" s="213" t="str">
        <f>IF(C6&gt;(EDATE(C5,3)),"! COMUNICAZIONE AVVIO OLTRE 3M DA SOSPENSIONE","OK")</f>
        <v>OK</v>
      </c>
      <c r="L30" s="921" t="s">
        <v>403</v>
      </c>
      <c r="M30" s="922"/>
    </row>
    <row r="31" spans="1:16" ht="15.75" thickBot="1" x14ac:dyDescent="0.3">
      <c r="A31" s="209" t="s">
        <v>2518</v>
      </c>
      <c r="B31" s="209"/>
      <c r="C31" s="210">
        <v>43419</v>
      </c>
      <c r="I31" s="212" t="s">
        <v>402</v>
      </c>
      <c r="J31" s="213" t="str">
        <f>IF(C5&gt;C14,"! AVVIO OLTRE TERMINI SOSPENSIONE","OK")</f>
        <v>! AVVIO OLTRE TERMINI SOSPENSIONE</v>
      </c>
      <c r="L31" s="921" t="s">
        <v>401</v>
      </c>
      <c r="M31" s="922"/>
    </row>
    <row r="32" spans="1:16" ht="15.75" thickBot="1" x14ac:dyDescent="0.3">
      <c r="A32" s="209" t="s">
        <v>2544</v>
      </c>
      <c r="B32" s="209"/>
      <c r="C32" s="210" t="str">
        <f>+RULES!E40</f>
        <v>E</v>
      </c>
      <c r="I32" s="216"/>
      <c r="J32" s="213"/>
    </row>
    <row r="33" spans="1:16" ht="15.75" thickBot="1" x14ac:dyDescent="0.3">
      <c r="A33" s="209" t="s">
        <v>3621</v>
      </c>
      <c r="B33" s="209"/>
      <c r="C33" s="210">
        <v>44742</v>
      </c>
      <c r="I33" s="216" t="s">
        <v>400</v>
      </c>
      <c r="J33" s="219">
        <f>(EDATE(C2,3))</f>
        <v>46297</v>
      </c>
      <c r="L33" s="232" t="s">
        <v>399</v>
      </c>
      <c r="M33" s="224" t="str">
        <f>IF(P54="NON CONGRUENTE",
IF(OR(O8="KO",O13="KO",O19="KO",P27="KO",O2="KO",P51="KO"),"! RICHIESTA PROUNGAMENTO IMPROCEDIBLE/INEFFICACE","OK"),P62)</f>
        <v>OK</v>
      </c>
    </row>
    <row r="34" spans="1:16" ht="15.75" thickBot="1" x14ac:dyDescent="0.3">
      <c r="I34" s="216" t="s">
        <v>398</v>
      </c>
      <c r="J34" s="213" t="str">
        <f>IF(C12&gt;J33,"! SOSPENSIONE AVVIO RICHIESTA OLTRE I TERMINI","OK TERMINI RICHIESTA")</f>
        <v>OK TERMINI RICHIESTA</v>
      </c>
      <c r="L34" s="231"/>
      <c r="M34" s="231"/>
    </row>
    <row r="35" spans="1:16" ht="45.75" thickBot="1" x14ac:dyDescent="0.3">
      <c r="A35" s="233" t="s">
        <v>397</v>
      </c>
      <c r="B35" s="233" t="s">
        <v>336</v>
      </c>
      <c r="C35" s="234" t="s">
        <v>396</v>
      </c>
      <c r="D35" s="233" t="s">
        <v>395</v>
      </c>
      <c r="E35" s="235" t="s">
        <v>394</v>
      </c>
      <c r="F35" s="235" t="s">
        <v>393</v>
      </c>
      <c r="G35" s="233" t="s">
        <v>354</v>
      </c>
      <c r="I35" s="212" t="s">
        <v>392</v>
      </c>
      <c r="J35" s="213" t="str">
        <f>IF(C5&gt;C14,"! AVVIO OLTRE TERMINI SOSPENSIONE","OK")</f>
        <v>! AVVIO OLTRE TERMINI SOSPENSIONE</v>
      </c>
      <c r="L35" s="902" t="s">
        <v>391</v>
      </c>
      <c r="M35" s="903"/>
      <c r="O35" s="892" t="s">
        <v>2512</v>
      </c>
      <c r="P35" s="893"/>
    </row>
    <row r="36" spans="1:16" ht="15.75" thickBot="1" x14ac:dyDescent="0.3">
      <c r="A36" s="209" t="s">
        <v>390</v>
      </c>
      <c r="B36" s="209">
        <v>1</v>
      </c>
      <c r="C36" s="210" t="s">
        <v>342</v>
      </c>
      <c r="D36" s="210">
        <v>41249</v>
      </c>
      <c r="E36" s="209" t="s">
        <v>342</v>
      </c>
      <c r="F36" s="210">
        <v>41249</v>
      </c>
      <c r="G36" s="209" t="s">
        <v>389</v>
      </c>
      <c r="I36" s="217" t="s">
        <v>388</v>
      </c>
      <c r="J36" s="218" t="str">
        <f>IF(C6&gt;(EDATE(C5,2)),"! COMUNICAZIONE AVVIO MCC OLTRE 2M DA AVVIO","OK")</f>
        <v>OK</v>
      </c>
      <c r="L36" s="236" t="s">
        <v>387</v>
      </c>
      <c r="M36" s="237">
        <v>120</v>
      </c>
      <c r="N36" s="231"/>
      <c r="O36" s="216"/>
      <c r="P36" s="213"/>
    </row>
    <row r="37" spans="1:16" x14ac:dyDescent="0.25">
      <c r="A37" s="209" t="s">
        <v>386</v>
      </c>
      <c r="B37" s="209">
        <v>2</v>
      </c>
      <c r="C37" s="210" t="s">
        <v>343</v>
      </c>
      <c r="D37" s="210">
        <v>41250</v>
      </c>
      <c r="E37" s="209" t="s">
        <v>343</v>
      </c>
      <c r="F37" s="210">
        <v>41250</v>
      </c>
      <c r="G37" s="209" t="s">
        <v>385</v>
      </c>
      <c r="L37" s="238" t="s">
        <v>384</v>
      </c>
      <c r="M37" s="239">
        <v>180</v>
      </c>
      <c r="O37" s="216"/>
      <c r="P37" s="213"/>
    </row>
    <row r="38" spans="1:16" x14ac:dyDescent="0.25">
      <c r="A38" s="209" t="s">
        <v>383</v>
      </c>
      <c r="B38" s="209">
        <v>3</v>
      </c>
      <c r="C38" s="210" t="s">
        <v>343</v>
      </c>
      <c r="D38" s="210">
        <v>41708</v>
      </c>
      <c r="E38" s="209"/>
      <c r="F38" s="209"/>
      <c r="G38" s="209" t="s">
        <v>380</v>
      </c>
      <c r="L38" s="238" t="s">
        <v>382</v>
      </c>
      <c r="M38" s="239">
        <v>3</v>
      </c>
      <c r="O38" s="216"/>
      <c r="P38" s="213"/>
    </row>
    <row r="39" spans="1:16" ht="15.75" thickBot="1" x14ac:dyDescent="0.3">
      <c r="A39" s="209" t="s">
        <v>381</v>
      </c>
      <c r="B39" s="209">
        <v>4</v>
      </c>
      <c r="C39" s="210" t="s">
        <v>343</v>
      </c>
      <c r="D39" s="210">
        <v>42352</v>
      </c>
      <c r="E39" s="209"/>
      <c r="F39" s="209"/>
      <c r="G39" s="209" t="s">
        <v>380</v>
      </c>
      <c r="L39" s="240" t="s">
        <v>379</v>
      </c>
      <c r="M39" s="241">
        <f>+(DATE(YEAR(C5),MONTH(C5),DAY(C5)+M36))</f>
        <v>45667</v>
      </c>
      <c r="O39" s="353">
        <f>+(DATE(YEAR(O9),MONTH(O9),DAY(O9)+M36))</f>
        <v>120</v>
      </c>
      <c r="P39" s="213"/>
    </row>
    <row r="40" spans="1:16" ht="15.75" thickBot="1" x14ac:dyDescent="0.3">
      <c r="A40" s="209"/>
      <c r="B40" s="209"/>
      <c r="C40" s="210"/>
      <c r="D40" s="209"/>
      <c r="E40" s="209"/>
      <c r="F40" s="209"/>
      <c r="G40" s="209"/>
      <c r="I40" s="892" t="s">
        <v>378</v>
      </c>
      <c r="J40" s="893"/>
      <c r="L40" s="238" t="s">
        <v>377</v>
      </c>
      <c r="M40" s="241">
        <f>+(DATE(YEAR(C5),MONTH(C5),DAY(C5)+M37))</f>
        <v>45727</v>
      </c>
      <c r="O40" s="353">
        <f>+(DATE(YEAR(O9),MONTH(O9),DAY(O9)+M37))</f>
        <v>180</v>
      </c>
      <c r="P40" s="213"/>
    </row>
    <row r="41" spans="1:16" x14ac:dyDescent="0.25">
      <c r="I41" s="225" t="s">
        <v>376</v>
      </c>
      <c r="J41" s="215" t="str">
        <f>IF(C5&gt;=C20,"OK","! EDR NON APPLICABILE")</f>
        <v>OK</v>
      </c>
      <c r="L41" s="238" t="s">
        <v>375</v>
      </c>
      <c r="M41" s="241">
        <f>(EDATE(C26,M38))</f>
        <v>91</v>
      </c>
      <c r="O41" s="216"/>
      <c r="P41" s="213"/>
    </row>
    <row r="42" spans="1:16" x14ac:dyDescent="0.25">
      <c r="A42" s="233" t="s">
        <v>374</v>
      </c>
      <c r="B42" s="233" t="s">
        <v>336</v>
      </c>
      <c r="I42" s="216" t="s">
        <v>373</v>
      </c>
      <c r="J42" s="213" t="str">
        <f>IF(C17&lt;C20,"EDR TRANSITORIO","EDR")</f>
        <v>EDR</v>
      </c>
      <c r="L42" s="238" t="s">
        <v>372</v>
      </c>
      <c r="M42" s="241">
        <v>42352</v>
      </c>
      <c r="O42" s="216"/>
      <c r="P42" s="213"/>
    </row>
    <row r="43" spans="1:16" x14ac:dyDescent="0.25">
      <c r="A43" s="209" t="str">
        <f>IF(C5&lt;D37,A36,
IF(AND(C2&lt;=D36,C5&lt;=F36),A36,
IF(C5&lt;D38,A37,
IF(AND(C2&gt;=D37,C5&gt;=F37,C2&lt;D38),A37,
IF(AND(C2&gt;=D38,C2&lt;D39),A38,
IF(C2&gt;=D39,A39,A36))))))</f>
        <v>N+3</v>
      </c>
      <c r="B43" s="209">
        <f>VLOOKUP(A43,$A$35:$B$39,2,0)</f>
        <v>4</v>
      </c>
      <c r="I43" s="911" t="s">
        <v>371</v>
      </c>
      <c r="J43" s="912"/>
      <c r="L43" s="242" t="s">
        <v>350</v>
      </c>
      <c r="M43" s="239" t="str">
        <f>IF(C27&gt;M39,"! ATTIVAZIONE OLTRE 120 GG DA AVVIO","OK")</f>
        <v>! ATTIVAZIONE OLTRE 120 GG DA AVVIO</v>
      </c>
      <c r="O43" s="216" t="str">
        <f>IF(C7&gt;O39,"! ATTIVAZIONE OLTRE 120 GG DA AVVIO","OK")</f>
        <v>OK</v>
      </c>
      <c r="P43" s="213" t="str">
        <f>IF(O43&lt;&gt;"OK","KO","OK")</f>
        <v>OK</v>
      </c>
    </row>
    <row r="44" spans="1:16" x14ac:dyDescent="0.25">
      <c r="I44" s="216" t="s">
        <v>370</v>
      </c>
      <c r="J44" s="219">
        <f>+(DATE(YEAR(C20),MONTH(C20)-12,DAY(C20)))</f>
        <v>43023</v>
      </c>
      <c r="L44" s="242" t="s">
        <v>369</v>
      </c>
      <c r="M44" s="239" t="str">
        <f>IF(C27&gt;M41,"! ATTIVAZIONE OLTRE 3M DA IMPEGNO/VERSAMENTO","OK")</f>
        <v>! ATTIVAZIONE OLTRE 3M DA IMPEGNO/VERSAMENTO</v>
      </c>
      <c r="O44" s="216"/>
      <c r="P44" s="213"/>
    </row>
    <row r="45" spans="1:16" x14ac:dyDescent="0.25">
      <c r="A45" s="209" t="s">
        <v>368</v>
      </c>
      <c r="B45" s="210">
        <f>+'CHECK_2.9'!C58</f>
        <v>46205</v>
      </c>
      <c r="I45" s="216" t="s">
        <v>367</v>
      </c>
      <c r="J45" s="219">
        <f>+(DATE(YEAR(C20),MONTH(C20)-3,DAY(C20)))</f>
        <v>43296</v>
      </c>
      <c r="L45" s="242" t="s">
        <v>346</v>
      </c>
      <c r="M45" s="239" t="str">
        <f>IF(AND(M43="OK",C5&lt;M42),IF(C27&gt;M40,"! ATTIVAZIONE OLTRE 180 GG DA AVVIO","OK"),"! 180 GG NON APPLICABILI - ATTIVAZIONE OLTRE 120 GG DA AVVIO")</f>
        <v>! 180 GG NON APPLICABILI - ATTIVAZIONE OLTRE 120 GG DA AVVIO</v>
      </c>
      <c r="O45" s="216" t="str">
        <f>IF(AND(O43="OK",O9&lt;M42),IF(C7&gt;O40,"! ATTIVAZIONE OLTRE 180 GG DA AVVIO","OK"),"! 180 GG NON APPLICABILI - ATTIVAZIONE OLTRE 120 GG DA AVVIO")</f>
        <v>OK</v>
      </c>
      <c r="P45" s="213" t="str">
        <f>IF(O45&lt;&gt;"OK","KO","OK")</f>
        <v>OK</v>
      </c>
    </row>
    <row r="46" spans="1:16" x14ac:dyDescent="0.25">
      <c r="A46" s="233" t="s">
        <v>366</v>
      </c>
      <c r="B46" s="233" t="s">
        <v>336</v>
      </c>
      <c r="I46" s="216" t="s">
        <v>365</v>
      </c>
      <c r="J46" s="219">
        <f>+(DATE(YEAR(C20),MONTH(C20)+3,DAY(C20)))</f>
        <v>43480</v>
      </c>
      <c r="L46" s="242" t="s">
        <v>341</v>
      </c>
      <c r="M46" s="239" t="str">
        <f>+IF(C27&gt;M40,"! ATTIVAZIONE OLTRE 180 GG DA AVVIO","OK")</f>
        <v>! ATTIVAZIONE OLTRE 180 GG DA AVVIO</v>
      </c>
      <c r="O46" s="216" t="str">
        <f>+IF(C7&gt;O40,"! ATTIVAZIONE OLTRE 180 GG DA AVVIO","OK")</f>
        <v>OK</v>
      </c>
      <c r="P46" s="213" t="str">
        <f>IF(O46&lt;&gt;"OK","KO","OK")</f>
        <v>OK</v>
      </c>
    </row>
    <row r="47" spans="1:16" x14ac:dyDescent="0.25">
      <c r="A47" s="209" t="str">
        <f>IF(AND(B45&lt;=D36,C5&lt;=F36),A36,
IF(AND(B45&gt;=D37,C5&gt;=F37,B45&lt;D38),A37,
IF(AND(B45&gt;=D38,B45&lt;D39),A38,
IF(B45&gt;=D39,A39,A36))))</f>
        <v>N+3</v>
      </c>
      <c r="B47" s="209">
        <f>VLOOKUP(A47,$A$35:$B$39,2,0)</f>
        <v>4</v>
      </c>
      <c r="I47" s="216"/>
      <c r="J47" s="213"/>
      <c r="L47" s="216"/>
      <c r="M47" s="213"/>
      <c r="O47" s="216"/>
      <c r="P47" s="213"/>
    </row>
    <row r="48" spans="1:16" ht="30.75" thickBot="1" x14ac:dyDescent="0.3">
      <c r="I48" s="238" t="s">
        <v>364</v>
      </c>
      <c r="J48" s="239" t="str">
        <f>IF(C3&lt;J44,"! EDR - TRANSITORIO KO","OK")</f>
        <v>OK</v>
      </c>
      <c r="L48" s="221" t="s">
        <v>363</v>
      </c>
      <c r="M48" s="243">
        <f>IF(AND('CHECK_2.9'!C4&lt;&gt;VAR_1!E4,C32="A",C23&lt;&gt;"SI"),1,0)</f>
        <v>0</v>
      </c>
      <c r="O48" s="354" t="s">
        <v>337</v>
      </c>
      <c r="P48" s="355" t="s">
        <v>336</v>
      </c>
    </row>
    <row r="49" spans="1:16" x14ac:dyDescent="0.25">
      <c r="I49" s="238" t="s">
        <v>362</v>
      </c>
      <c r="J49" s="239" t="str">
        <f>IF(C2&lt;J45,"! EDR - TRANSITORIO KO","OK")</f>
        <v>OK</v>
      </c>
      <c r="O49" s="216" t="str">
        <f>IF(AND(O9&lt;=D53,C7&lt;=F53),A53,
IF(AND(O9&lt;=D54,C7&lt;=F54),A54,
IF(AND(O9&gt;D55,C7&lt;=F55),A55,A53)))</f>
        <v>T</v>
      </c>
      <c r="P49" s="213">
        <f>VLOOKUP(O49,$A$52:$B$55,2,0)</f>
        <v>1</v>
      </c>
    </row>
    <row r="50" spans="1:16" ht="15.75" thickBot="1" x14ac:dyDescent="0.3">
      <c r="I50" s="238" t="s">
        <v>361</v>
      </c>
      <c r="J50" s="239" t="str">
        <f>IF(C15&lt;J44,"! EDR - TRANSITORIO KO","OK")</f>
        <v>OK</v>
      </c>
      <c r="O50" s="216"/>
      <c r="P50" s="213"/>
    </row>
    <row r="51" spans="1:16" ht="15.75" thickBot="1" x14ac:dyDescent="0.3">
      <c r="I51" s="238" t="s">
        <v>360</v>
      </c>
      <c r="J51" s="239" t="str">
        <f>IF(C3&lt;J44,"! EDR - TRANSITORIO KO","OK")</f>
        <v>OK</v>
      </c>
      <c r="L51" s="902" t="s">
        <v>359</v>
      </c>
      <c r="M51" s="903"/>
      <c r="O51" s="221" t="s">
        <v>424</v>
      </c>
      <c r="P51" s="227" t="str">
        <f>IF('CHECK_2.9'!C4="Controgaranzia","OK - NO CTRL",
IF(M3="SI",
IF(P49=1,P43,IF(P49&gt;2,P46,P45)),"NON CONGRUENTE"))</f>
        <v>NON CONGRUENTE</v>
      </c>
    </row>
    <row r="52" spans="1:16" ht="45.75" thickBot="1" x14ac:dyDescent="0.3">
      <c r="A52" s="233" t="s">
        <v>358</v>
      </c>
      <c r="B52" s="233" t="s">
        <v>336</v>
      </c>
      <c r="C52" s="234" t="s">
        <v>357</v>
      </c>
      <c r="D52" s="233" t="s">
        <v>53</v>
      </c>
      <c r="E52" s="233" t="s">
        <v>356</v>
      </c>
      <c r="F52" s="233" t="s">
        <v>355</v>
      </c>
      <c r="G52" s="233" t="s">
        <v>354</v>
      </c>
      <c r="I52" s="238" t="s">
        <v>353</v>
      </c>
      <c r="J52" s="239" t="str">
        <f>IF(C15&lt;J44,"! EDR - TRANSITORIO KO","OK")</f>
        <v>OK</v>
      </c>
      <c r="L52" s="225" t="s">
        <v>352</v>
      </c>
      <c r="M52" s="244">
        <f>+'CHECK_2.9'!G139</f>
        <v>0</v>
      </c>
    </row>
    <row r="53" spans="1:16" ht="15.75" thickBot="1" x14ac:dyDescent="0.3">
      <c r="A53" s="209" t="s">
        <v>351</v>
      </c>
      <c r="B53" s="209">
        <v>1</v>
      </c>
      <c r="C53" s="210" t="s">
        <v>342</v>
      </c>
      <c r="D53" s="210">
        <v>42351</v>
      </c>
      <c r="E53" s="209" t="s">
        <v>342</v>
      </c>
      <c r="F53" s="210">
        <v>42351</v>
      </c>
      <c r="G53" s="209" t="s">
        <v>350</v>
      </c>
      <c r="I53" s="245" t="s">
        <v>349</v>
      </c>
      <c r="J53" s="239" t="str">
        <f>IF(C15&lt;J44,"! EDR - TRANSITORIO KO","OK")</f>
        <v>OK</v>
      </c>
      <c r="L53" s="221" t="s">
        <v>348</v>
      </c>
      <c r="M53" s="218" t="str">
        <f>+IF(C27&gt;M52,"! RICHIESTA DI ESCUSSIONE SUCCESSIVA A TERMINE SOSPENSIONE","OK")</f>
        <v>! RICHIESTA DI ESCUSSIONE SUCCESSIVA A TERMINE SOSPENSIONE</v>
      </c>
      <c r="O53" s="892" t="s">
        <v>2506</v>
      </c>
      <c r="P53" s="893"/>
    </row>
    <row r="54" spans="1:16" ht="15.75" thickBot="1" x14ac:dyDescent="0.3">
      <c r="A54" s="209" t="s">
        <v>347</v>
      </c>
      <c r="B54" s="209">
        <v>2</v>
      </c>
      <c r="C54" s="210" t="s">
        <v>342</v>
      </c>
      <c r="D54" s="210">
        <v>42351</v>
      </c>
      <c r="E54" s="209" t="s">
        <v>342</v>
      </c>
      <c r="F54" s="210">
        <v>43387</v>
      </c>
      <c r="G54" s="246" t="s">
        <v>346</v>
      </c>
      <c r="I54" s="245" t="s">
        <v>345</v>
      </c>
      <c r="J54" s="239" t="str">
        <f>IF(C2&lt;J45,"! EDR - TRANSITORIO KO","OK")</f>
        <v>OK</v>
      </c>
      <c r="O54" s="225" t="s">
        <v>424</v>
      </c>
      <c r="P54" s="213" t="str">
        <f>IF(AND('CHECK_2.9'!C100="DATA EVENTO",'CHECK_2.9'!C102&gt;=RULES_TERMINI!C20),"OK","NON CONGRUENTE")</f>
        <v>NON CONGRUENTE</v>
      </c>
    </row>
    <row r="55" spans="1:16" ht="15.75" thickBot="1" x14ac:dyDescent="0.3">
      <c r="A55" s="209" t="s">
        <v>344</v>
      </c>
      <c r="B55" s="209">
        <v>3</v>
      </c>
      <c r="C55" s="210" t="s">
        <v>343</v>
      </c>
      <c r="D55" s="210">
        <v>42352</v>
      </c>
      <c r="E55" s="209" t="s">
        <v>342</v>
      </c>
      <c r="F55" s="210">
        <v>43387</v>
      </c>
      <c r="G55" s="246" t="s">
        <v>341</v>
      </c>
      <c r="I55" s="238" t="s">
        <v>340</v>
      </c>
      <c r="J55" s="239" t="str">
        <f>IF(C16&gt;J46,"! EDR - TRANSITORIO KO","OK")</f>
        <v>! EDR - TRANSITORIO KO</v>
      </c>
      <c r="L55" s="892" t="s">
        <v>339</v>
      </c>
      <c r="M55" s="893"/>
      <c r="O55" s="238" t="s">
        <v>2507</v>
      </c>
      <c r="P55" s="219">
        <f>EDATE(Q9,M56)</f>
        <v>274</v>
      </c>
    </row>
    <row r="56" spans="1:16" x14ac:dyDescent="0.25">
      <c r="I56" s="216"/>
      <c r="J56" s="213"/>
      <c r="L56" s="247" t="s">
        <v>338</v>
      </c>
      <c r="M56" s="248">
        <v>9</v>
      </c>
      <c r="O56" s="238" t="s">
        <v>2508</v>
      </c>
      <c r="P56" s="219">
        <f>EDATE(Q9,M57)</f>
        <v>547</v>
      </c>
    </row>
    <row r="57" spans="1:16" x14ac:dyDescent="0.25">
      <c r="A57" s="233" t="s">
        <v>337</v>
      </c>
      <c r="B57" s="233" t="s">
        <v>336</v>
      </c>
      <c r="I57" s="911" t="s">
        <v>335</v>
      </c>
      <c r="J57" s="912"/>
      <c r="L57" s="238" t="s">
        <v>334</v>
      </c>
      <c r="M57" s="239">
        <v>18</v>
      </c>
      <c r="O57" s="216" t="s">
        <v>2509</v>
      </c>
      <c r="P57" s="213" t="str">
        <f>+'CHECK_2.9'!E55</f>
        <v>Con piano</v>
      </c>
    </row>
    <row r="58" spans="1:16" x14ac:dyDescent="0.25">
      <c r="A58" s="209" t="str">
        <f>IF(AND(C5&lt;=D53,C27&lt;=F53),A53,
IF(AND(C5&lt;=D54,C27&lt;=F54),A54,
IF(AND(C5&gt;D55,C27&lt;=F55),A55,A55)))</f>
        <v>T+2</v>
      </c>
      <c r="B58" s="209">
        <f>VLOOKUP(A58,$A$52:$B$55,2,0)</f>
        <v>3</v>
      </c>
      <c r="I58" s="216"/>
      <c r="J58" s="213"/>
      <c r="L58" s="238" t="s">
        <v>333</v>
      </c>
      <c r="M58" s="241">
        <f>(EDATE(C17,M56))</f>
        <v>45749</v>
      </c>
      <c r="O58" s="242" t="s">
        <v>329</v>
      </c>
      <c r="P58" s="213" t="str">
        <f>IF(C7&gt;M58,"! ATTENZIONE PRESENTAZIONE OLTRE 9M DA EVENTO","OK")</f>
        <v>OK</v>
      </c>
    </row>
    <row r="59" spans="1:16" x14ac:dyDescent="0.25">
      <c r="I59" s="238" t="s">
        <v>332</v>
      </c>
      <c r="J59" s="239" t="str">
        <f>IF('CHECK_2.9'!C4=VAR_1!E4,
IF(AND(C17&gt;=C29,J64=8,J61&lt;&gt;"EVENTO MODIFICATO IN CONCORSUALI"),IF(C18&gt;(EDATE(C17,6)),"! COMUNICAZIONE EDR OLTRE 6M","OK"),
IF(C15&lt;C20,J55,
IF(RULES_TERMINI!C16&gt;(EDATE(C15,3)),"! COMUNICAZIONE EDR OLTRE 3M","OK"))),
IF(AND(C17&gt;=C30,J64=8,J61&lt;&gt;"EVENTO MODIFICATO IN CONCORSUALI"),IF(C18&gt;(EDATE(C17,7)),"! COMUNICAZIONE EDR OLTRE 7M","OK"),
IF(C15&lt;C20,J55,
IF(RULES_TERMINI!C16&gt;(EDATE(C15,4)),"! COMUNICAZIONE EDR OLTRE 4M","OK"))))</f>
        <v>OK</v>
      </c>
      <c r="L59" s="238" t="s">
        <v>331</v>
      </c>
      <c r="M59" s="241">
        <f>(EDATE(C17,M57))</f>
        <v>46024</v>
      </c>
      <c r="O59" s="242" t="s">
        <v>327</v>
      </c>
      <c r="P59" s="213" t="str">
        <f>IF(C7&gt;M59,"! ATTENZIONE PRESENTAZIONE OLTRE 18M DA EVENTO","OK")</f>
        <v>OK</v>
      </c>
    </row>
    <row r="60" spans="1:16" x14ac:dyDescent="0.25">
      <c r="I60" s="216"/>
      <c r="J60" s="213"/>
      <c r="L60" s="216"/>
      <c r="M60" s="213"/>
      <c r="O60" s="216"/>
      <c r="P60" s="213"/>
    </row>
    <row r="61" spans="1:16" ht="15.75" thickBot="1" x14ac:dyDescent="0.3">
      <c r="I61" s="238" t="s">
        <v>330</v>
      </c>
      <c r="J61" s="239" t="str">
        <f>+IF(AND('CHECK_2.9'!G118&lt;&gt;"",'CHECK_2.9'!E118&lt;&gt;"",'CHECK_2.9'!F115="AMM.NE PROC. CONCORSUALI"),"EVENTO MODIFICATO IN CONCORSUALI","EDR NON MODIFICATO IN CONCORSUALI" )</f>
        <v>EDR NON MODIFICATO IN CONCORSUALI</v>
      </c>
      <c r="L61" s="242" t="s">
        <v>329</v>
      </c>
      <c r="M61" s="239" t="str">
        <f>IF(AND(C23="si",C17&lt;C21,M58&gt;=C21),IF(C27&gt;M71,"! ATTENZIONE ESCUSSIONE OLTRE 15M DA EVENTO","OK"),
IF( AND(C23="si",C17&gt;=C21),IF(C27&gt;M71,"! ATTENZIONE ESCUSSIONE OLTRE 15M DA EVENTO","OK"),
IF(C27&gt;M58,"! ATTENZIONE ESCUSSIONE OLTRE 9M DA EVENTO","OK")))</f>
        <v>! ATTENZIONE ESCUSSIONE OLTRE 9M DA EVENTO</v>
      </c>
      <c r="O61" s="216" t="s">
        <v>2510</v>
      </c>
      <c r="P61" s="213" t="str">
        <f>IF(P57="Con piano",P59,P58)</f>
        <v>OK</v>
      </c>
    </row>
    <row r="62" spans="1:16" ht="15.75" thickBot="1" x14ac:dyDescent="0.3">
      <c r="I62" s="238" t="s">
        <v>328</v>
      </c>
      <c r="J62" s="239" t="str">
        <f>IF(J61="EVENTO MODIFICATO IN CONCORSUALI",
IF(AND('CHECK_2.9'!C4=VAR_1!E4,C17&lt;C29,RULES_TERMINI!C18&gt;(EDATE(C17,3))),"! COMUNICAZIONE EDR OLTRE 3M",
IF(AND('CHECK_2.9'!C4=VAR_1!E4,RULES_TERMINI!C18&gt;(EDATE(C17,6))),"! COMUNICAZIONE EDR OLTRE 6M",
IF(AND('CHECK_2.9'!C4&lt;&gt;VAR_1!E4,C17&lt;C30,RULES_TERMINI!C18&gt;(EDATE(C17,4))),"! COMUNICAZIONE EDR OLTRE 4M",
IF(AND('CHECK_2.9'!C4&lt;&gt;VAR_1!E4,RULES_TERMINI!C18&gt;(EDATE(C17,7))),"! COMUNICAZIONE EDR OLTRE 7M","OK")))),"OK -NO CTRL")</f>
        <v>OK -NO CTRL</v>
      </c>
      <c r="L62" s="242" t="s">
        <v>327</v>
      </c>
      <c r="M62" s="239" t="str">
        <f>IF(AND(C23="si",C17&lt;C21,M59&gt;=C21),IF(C27&gt;M72,"! ATTENZIONE ESCUSSIONE OLTRE 24M DA EVENTO","OK"),
IF(AND(C23="si",C17&gt;=C21),IF(C27&gt;M72,"! ATTENZIONE ESCUSSIONE OLTRE 24M DA EVENTO","OK"),
IF(C27&gt;M59,"! ATTENZIONE ESCUSSIONE OLTRE 18M DA EVENTO","OK")))</f>
        <v>OK</v>
      </c>
      <c r="O62" s="221" t="s">
        <v>2511</v>
      </c>
      <c r="P62" s="227" t="str">
        <f>IF(P61&lt;&gt;"OK","! RICHIESTA PROUNGAMENTO IMPROCEDIBLE/INEFFICACE","OK")</f>
        <v>OK</v>
      </c>
    </row>
    <row r="63" spans="1:16" ht="15.75" thickBot="1" x14ac:dyDescent="0.3">
      <c r="I63" s="216"/>
      <c r="J63" s="213"/>
      <c r="L63" s="242" t="s">
        <v>326</v>
      </c>
      <c r="M63" s="239">
        <f>IF(AND(RULES!E34="E",RULES_TERMINI!M2=1,RULES!H18&lt;&gt;10),1,0)</f>
        <v>0</v>
      </c>
    </row>
    <row r="64" spans="1:16" ht="15.75" thickBot="1" x14ac:dyDescent="0.3">
      <c r="I64" s="216" t="s">
        <v>325</v>
      </c>
      <c r="J64" s="213">
        <f>IF('CHECK_2.9'!F115="","SPECIFICARE TIPO EVENTO",(VLOOKUP('CHECK_2.9'!F115,VAR_1!$AV$1:$AW$12,2,0)))</f>
        <v>1</v>
      </c>
      <c r="L64" s="249" t="s">
        <v>324</v>
      </c>
      <c r="M64" s="250">
        <f>IF(RULES!H18=10,1,
IF(AND(RULES!E34="E",RULES_TERMINI!M2&gt;1),1,0))</f>
        <v>1</v>
      </c>
      <c r="O64" s="892" t="s">
        <v>2548</v>
      </c>
      <c r="P64" s="893"/>
    </row>
    <row r="65" spans="1:16" x14ac:dyDescent="0.25">
      <c r="A65" s="233" t="s">
        <v>3451</v>
      </c>
      <c r="B65" s="233" t="s">
        <v>336</v>
      </c>
      <c r="C65" s="234"/>
      <c r="D65" s="233" t="s">
        <v>3459</v>
      </c>
      <c r="E65" s="233"/>
      <c r="F65" s="233" t="s">
        <v>3459</v>
      </c>
      <c r="G65" s="233" t="s">
        <v>125</v>
      </c>
      <c r="I65" s="216" t="s">
        <v>323</v>
      </c>
      <c r="J65" s="213" t="str">
        <f>IF(AND(J42="EDR TRANSITORIO",J64=8),IF(C5&gt;(EDATE(C20,4)),"! EDR TRANSITORIO - AVVIO OLTRE 4 MESI D.O. EDR","OK"),"")</f>
        <v/>
      </c>
      <c r="O65" s="225" t="s">
        <v>2549</v>
      </c>
      <c r="P65" s="244">
        <f>+'CHECK_2.9'!E102</f>
        <v>0</v>
      </c>
    </row>
    <row r="66" spans="1:16" ht="15.75" thickBot="1" x14ac:dyDescent="0.3">
      <c r="A66" s="209" t="s">
        <v>3452</v>
      </c>
      <c r="B66" s="209">
        <v>1</v>
      </c>
      <c r="C66" s="210" t="s">
        <v>343</v>
      </c>
      <c r="D66" s="210">
        <v>43907</v>
      </c>
      <c r="E66" s="209" t="s">
        <v>342</v>
      </c>
      <c r="F66" s="210">
        <v>43929</v>
      </c>
      <c r="G66" s="209" t="s">
        <v>3551</v>
      </c>
      <c r="I66" s="221" t="s">
        <v>322</v>
      </c>
      <c r="J66" s="218" t="str">
        <f>IF(AND(J42&lt;&gt;"EDR TRANSITORIO",J64=8),
IF(AND('CHECK_2.9'!C4=VAR_1!E4,C17&gt;=C31,C5&gt;(EDATE(C17,6))),"! AVVIO OLTRE 6 MESI EDR",
IF(AND('CHECK_2.9'!C4&lt;&gt;VAR_1!E4,C17&gt;=C31,C5&gt;(EDATE(C17,7))),"! AVVIO OLTRE 7 MESI EDR",
IF(AND(C17&lt;C31,C5&gt;(EDATE(C17,4))),"! AVVIO OLTRE 4 MESI EDR","OK"))),"")</f>
        <v/>
      </c>
      <c r="O66" s="216">
        <v>3</v>
      </c>
      <c r="P66" s="219">
        <f>EDATE(P65,O66)</f>
        <v>91</v>
      </c>
    </row>
    <row r="67" spans="1:16" ht="15.75" thickBot="1" x14ac:dyDescent="0.3">
      <c r="A67" s="209" t="s">
        <v>3453</v>
      </c>
      <c r="B67" s="209">
        <v>2</v>
      </c>
      <c r="C67" s="210" t="s">
        <v>343</v>
      </c>
      <c r="D67" s="210">
        <v>43930</v>
      </c>
      <c r="E67" s="209" t="s">
        <v>342</v>
      </c>
      <c r="F67" s="210">
        <v>44000</v>
      </c>
      <c r="G67" s="246" t="s">
        <v>3552</v>
      </c>
      <c r="L67" s="892" t="s">
        <v>2516</v>
      </c>
      <c r="M67" s="893"/>
      <c r="O67" s="221" t="s">
        <v>2551</v>
      </c>
      <c r="P67" s="218" t="str">
        <f>IF(C18&gt;P66,"! EDR COMUNICATO OLTRE 3M","OK")</f>
        <v>! EDR COMUNICATO OLTRE 3M</v>
      </c>
    </row>
    <row r="68" spans="1:16" ht="15.75" thickBot="1" x14ac:dyDescent="0.3">
      <c r="A68" s="209" t="s">
        <v>3454</v>
      </c>
      <c r="B68" s="209">
        <v>3</v>
      </c>
      <c r="C68" s="210" t="s">
        <v>343</v>
      </c>
      <c r="D68" s="210">
        <v>44001</v>
      </c>
      <c r="E68" s="209" t="s">
        <v>342</v>
      </c>
      <c r="F68" s="210"/>
      <c r="G68" s="246" t="s">
        <v>3553</v>
      </c>
      <c r="I68" s="904" t="s">
        <v>2520</v>
      </c>
      <c r="J68" s="906"/>
      <c r="L68" s="913" t="s">
        <v>2517</v>
      </c>
      <c r="M68" s="914"/>
    </row>
    <row r="69" spans="1:16" x14ac:dyDescent="0.25">
      <c r="A69" s="209" t="s">
        <v>3455</v>
      </c>
      <c r="B69" s="209">
        <v>4</v>
      </c>
      <c r="C69" s="210" t="s">
        <v>343</v>
      </c>
      <c r="D69" s="210">
        <v>44195</v>
      </c>
      <c r="E69" s="209" t="s">
        <v>342</v>
      </c>
      <c r="F69" s="209"/>
      <c r="G69" s="209" t="s">
        <v>3554</v>
      </c>
      <c r="I69" s="225" t="s">
        <v>321</v>
      </c>
      <c r="J69" s="215" t="str">
        <f>IF(AND(J64=8,M2=1,'CHECK_2.9'!C118="NO"),
IF(RULES_TERMINI!C17&gt;RULES_TERMINI!C2,"! MACATA COMUNICAZIONE PRIMO EDR","OK"),"OK - NO CTRL")</f>
        <v>OK - NO CTRL</v>
      </c>
      <c r="L69" s="209" t="s">
        <v>338</v>
      </c>
      <c r="M69" s="209">
        <v>15</v>
      </c>
    </row>
    <row r="70" spans="1:16" ht="15.75" thickBot="1" x14ac:dyDescent="0.3">
      <c r="A70" s="209" t="s">
        <v>3555</v>
      </c>
      <c r="B70" s="209">
        <v>5</v>
      </c>
      <c r="C70" s="210" t="s">
        <v>343</v>
      </c>
      <c r="D70" s="210"/>
      <c r="E70" s="209" t="s">
        <v>342</v>
      </c>
      <c r="F70" s="209"/>
      <c r="G70" s="209" t="s">
        <v>3556</v>
      </c>
      <c r="I70" s="221" t="s">
        <v>320</v>
      </c>
      <c r="J70" s="218">
        <f>+IF(AND(J64=8,M2=1,'CHECK_2.9'!C118="NO"),1,0)</f>
        <v>0</v>
      </c>
      <c r="L70" s="209" t="s">
        <v>334</v>
      </c>
      <c r="M70" s="209">
        <v>24</v>
      </c>
    </row>
    <row r="71" spans="1:16" x14ac:dyDescent="0.25">
      <c r="A71" s="209" t="s">
        <v>3504</v>
      </c>
      <c r="B71" s="209">
        <v>6</v>
      </c>
      <c r="C71" s="210" t="s">
        <v>343</v>
      </c>
      <c r="D71" s="210">
        <v>44371</v>
      </c>
      <c r="E71" s="209" t="s">
        <v>342</v>
      </c>
      <c r="F71" s="210">
        <v>44735</v>
      </c>
      <c r="G71" s="209"/>
      <c r="L71" s="209" t="s">
        <v>333</v>
      </c>
      <c r="M71" s="210">
        <f>(EDATE(C17,M69))</f>
        <v>45932</v>
      </c>
    </row>
    <row r="72" spans="1:16" x14ac:dyDescent="0.25">
      <c r="A72" s="208" t="s">
        <v>3479</v>
      </c>
      <c r="B72" s="211">
        <v>43937</v>
      </c>
      <c r="F72" s="208" t="s">
        <v>3643</v>
      </c>
      <c r="L72" s="209" t="s">
        <v>331</v>
      </c>
      <c r="M72" s="210">
        <f>(EDATE(C17,M70))</f>
        <v>46205</v>
      </c>
    </row>
    <row r="73" spans="1:16" ht="15.75" thickBot="1" x14ac:dyDescent="0.3">
      <c r="A73" s="208" t="s">
        <v>3456</v>
      </c>
      <c r="B73" s="211">
        <v>43948</v>
      </c>
    </row>
    <row r="74" spans="1:16" x14ac:dyDescent="0.25">
      <c r="A74" s="208" t="s">
        <v>3480</v>
      </c>
      <c r="B74" s="211">
        <v>44001</v>
      </c>
      <c r="I74" s="919" t="s">
        <v>2545</v>
      </c>
      <c r="J74" s="920"/>
    </row>
    <row r="75" spans="1:16" ht="15.75" thickBot="1" x14ac:dyDescent="0.3">
      <c r="A75" s="208" t="s">
        <v>3481</v>
      </c>
      <c r="B75" s="211">
        <v>44209</v>
      </c>
      <c r="I75" s="285" t="s">
        <v>2546</v>
      </c>
      <c r="J75" s="250" t="str">
        <f>IF(C32="E",
IF(OR(C3&gt;C17,C3&gt;C18,C17&gt;C18),"! VERIFICARE DATE COMUNICAZIONE INAD.TO / EVENTO (E)",
IF(OR(C3&gt;C4,C3&gt;C5,C4&gt;C5),"! VERIFICARE DATE INA.TO / AVVIO (E)",
IF(OR(C17&gt;C27,C5&gt;C27,AND('CHECK_2.9'!C4="Controgaranzia",RULES_TERMINI!C24&gt;RULES_TERMINI!C26),AND('CHECK_2.9'!C4="Controgaranzia",RULES_TERMINI!C26&gt;RULES_TERMINI!C27)),"! VERIFICARE DATE ATTIVAZIONE / ESCUSSIONE FDG (E)","OK"))),
IF(OR(RULES_TERMINI!C3&gt;RULES_TERMINI!C4,RULES_TERMINI!C3&gt;RULES_TERMINI!C5,RULES_TERMINI!C4&gt;RULES_TERMINI!C5,RULES_TERMINI!C5&gt;RULES_TERMINI!C6,RULES_TERMINI!C3&gt;RULES_TERMINI!C6),"! VERIFICARE DATE INA.TO / AVVIO (A)",
IF(OR(RULES_TERMINI!C4&gt;RULES_TERMINI!C27,RULES_TERMINI!C5&gt;RULES_TERMINI!C27,RULES_TERMINI!C6&gt;RULES_TERMINI!C27,AND('CHECK_2.9'!C4="Controgaranzia",RULES_TERMINI!C26&gt;RULES_TERMINI!C27),AND('CHECK_2.9'!C4="Controgaranzia",RULES_TERMINI!C24&gt;RULES_TERMINI!C27),AND('CHECK_2.9'!C4="Controgaranzia",RULES_TERMINI!C24&gt;RULES_TERMINI!C26)),"! VERIFICARE DATE ATTIVAZIONE / ESCUSSIONE FDG (A)","OK")))</f>
        <v>OK</v>
      </c>
    </row>
    <row r="76" spans="1:16" ht="15.75" thickBot="1" x14ac:dyDescent="0.3">
      <c r="A76" s="208" t="s">
        <v>3457</v>
      </c>
      <c r="B76" s="211">
        <v>44255</v>
      </c>
      <c r="L76" s="895" t="s">
        <v>2578</v>
      </c>
      <c r="M76" s="896"/>
      <c r="N76" s="227" t="s">
        <v>234</v>
      </c>
      <c r="O76" s="227" t="s">
        <v>215</v>
      </c>
    </row>
    <row r="77" spans="1:16" ht="15.75" thickBot="1" x14ac:dyDescent="0.3">
      <c r="A77" s="208" t="s">
        <v>3458</v>
      </c>
      <c r="B77" s="211">
        <v>44256</v>
      </c>
      <c r="I77" s="892" t="s">
        <v>3482</v>
      </c>
      <c r="J77" s="893"/>
      <c r="L77" s="221" t="s">
        <v>2577</v>
      </c>
      <c r="M77" s="222">
        <v>43907</v>
      </c>
      <c r="N77" s="222">
        <f>EDATE(M77,-3)</f>
        <v>43816</v>
      </c>
      <c r="O77" s="222">
        <f>EDATE(N77,-1)</f>
        <v>43786</v>
      </c>
    </row>
    <row r="78" spans="1:16" ht="15.75" thickBot="1" x14ac:dyDescent="0.3">
      <c r="I78" s="280">
        <v>43861</v>
      </c>
      <c r="J78" s="244" t="e">
        <f>+'CHECK_2.9'!#REF!</f>
        <v>#REF!</v>
      </c>
      <c r="N78" s="208">
        <f>IF(C17&gt;=N77,1,0)</f>
        <v>1</v>
      </c>
      <c r="O78" s="208">
        <f>IF(C17&gt;=O77,1,0)</f>
        <v>1</v>
      </c>
    </row>
    <row r="79" spans="1:16" ht="15.75" thickBot="1" x14ac:dyDescent="0.3">
      <c r="A79" s="209" t="s">
        <v>3467</v>
      </c>
      <c r="B79" s="210">
        <f>+'CHECK_2.9'!C28</f>
        <v>43976</v>
      </c>
      <c r="I79" s="216"/>
      <c r="J79" s="213" t="e">
        <f>IF(B90=G84,
IF(J78&lt;=I78,"! NON AMM.LE CR SCAD / INA PROB ANTECENDETI A 31/01/2020","OK"),
IF(B90&lt;&gt;G84,
IF(J78&lt;=I78,"! AMM.LE SOLO CON DICHIARAZIONE CR SCAD / INA PROB","OK"),""))</f>
        <v>#REF!</v>
      </c>
      <c r="L79" s="596" t="s">
        <v>3514</v>
      </c>
      <c r="M79" s="268" t="str">
        <f>IF('CHECK_2.9'!C4=VAR_1!E4,
IF(AND(C17&gt;=C29,J64=8,J61&lt;&gt;"EVENTO MODIFICATO IN CONCORSUALI"),IF(C18&gt;(EDATE(C17,9)),"! COMUNICAZIONE EDR OLTRE 6M + 3M C-19","OK - +3M C-19"),
IF(C15&lt;C20,J55,
IF(C15&gt;=N77,
IF(RULES_TERMINI!C16&gt;(EDATE(C15,6)),"! COMUNICAZIONE EDR OLTRE 3M + 3M C-19","OK - +3M C-19"),
IF(RULES_TERMINI!C16&gt;(EDATE(C15,3)),"! COMUNICAZIONE EDR OLTRE 3M","OK - +3M C-19")))),
IF(AND(C17&gt;=C30,J64=8,J61&lt;&gt;"EVENTO MODIFICATO IN CONCORSUALI"),IF(C18&gt;(EDATE(C17,10)),"! COMUNICAZIONE EDR OLTRE 7M + 3M C-19","OK - +3M C-19"),
IF(C15&lt;C20,J55,
IF(C15&gt;=N77,
IF(RULES_TERMINI!C16&gt;(EDATE(C15,7)),"! COMUNICAZIONE EDR OLTRE 4M + 3M C-19","OK - +3M C-19"),
IF(RULES_TERMINI!C16&gt;(EDATE(C15,4)),"! COMUNICAZIONE EDR OLTRE 4M","OK - +3M C-19")))))</f>
        <v>OK - +3M C-19</v>
      </c>
      <c r="N79" s="597" t="s">
        <v>329</v>
      </c>
      <c r="O79" s="227" t="str">
        <f>IF(OR(AND(C23&lt;&gt;"SI",M58&gt;=M77),AND(C23="SI",M71&gt;=M77)),
IF(AND(C23="si",C17&lt;C21,M58&gt;=C21),IF(C27&gt;EDATE(M71,3),"! ATTENZIONE ESCUSSIONE OLTRE 15M DA EVENTO + 3 C-19","OK ESCUSSIONE ENTRO PROROGA +3 M C-19"),
IF(AND(C23="si",C17&gt;=C21),IF(C27&gt;EDATE(M71,3),"! ATTENZIONE ESCUSSIONE OLTRE 15M DA EVENTO + 3 C-19","OK ESCUSSIONE ENTRO PROROGA +3 M C-19"),
IF(C27&gt;EDATE(M58,3),"! ATTENZIONE ESCUSSIONE OLTRE 9M DA EVENTO + 3 C-19","OK ESCUSSIONE ENTRO PROROGA +3 M C-19"))),"NO PROROGA C-19")</f>
        <v>! ATTENZIONE ESCUSSIONE OLTRE 9M DA EVENTO + 3 C-19</v>
      </c>
      <c r="P79" s="617" t="str">
        <f>IF(OR('CHECK_2.9'!C118="NO",'CHECK_2.9'!C118=""),"1 EDR","EDR&gt;1")</f>
        <v>1 EDR</v>
      </c>
    </row>
    <row r="80" spans="1:16" ht="15.75" thickBot="1" x14ac:dyDescent="0.3">
      <c r="A80" s="208" t="s">
        <v>99</v>
      </c>
      <c r="B80" s="211" t="str">
        <f>+'CHECK_2.9'!G20</f>
        <v>Lettera m) art13 DL Liquidità</v>
      </c>
      <c r="I80" s="216" t="s">
        <v>3483</v>
      </c>
      <c r="J80" s="213"/>
      <c r="N80" s="598" t="s">
        <v>327</v>
      </c>
      <c r="O80" s="227" t="str">
        <f>IF(OR(AND(C23&lt;&gt;"SI",M59&gt;=M77),AND(C23="SI",M72&gt;=M77)),
IF(AND(C23="si",C17&lt;C21,M59&gt;=C21),IF(C27&gt;EDATE(M72,3),"! ATTENZIONE ESCUSSIONE OLTRE 24M DA EVENTO + 3 C-19","OK ESCUSSIONE ENTRO PROROGA +3 M C-19"),
IF(AND(C23="si",C17&gt;=C21),IF(C27&gt;EDATE(M72,3),"! ATTENZIONE ESCUSSIONE OLTRE 24M DA EVENTO + 3 C-19","OK ESCUSSIONE ENTRO PROROGA +3 M C-19"),
IF(C27&gt;EDATE(M59,3),"! ATTENZIONE ESCUSSIONE OLTRE 18M DA EVENTO + 3 C-19","OK ESCUSSIONE ENTRO PROROGA +3 M C-19"))),"NO PROROGA C-19")</f>
        <v>OK ESCUSSIONE ENTRO PROROGA +3 M C-19</v>
      </c>
      <c r="P80" s="439" t="str">
        <f>IF(P79="1 EDR",IF(C17&lt;=C33,"SI PROROGA","NO PROROGA"),IF(C15&lt;=C33,"SI PROROGA","NO PROROGA"))</f>
        <v>NO PROROGA</v>
      </c>
    </row>
    <row r="81" spans="1:13" ht="15.75" thickBot="1" x14ac:dyDescent="0.3">
      <c r="I81" s="216"/>
      <c r="J81" s="213"/>
    </row>
    <row r="82" spans="1:13" ht="15.75" thickBot="1" x14ac:dyDescent="0.3">
      <c r="I82" s="216">
        <f>IF(B80&lt;&gt;VAR_1!U16,1,0)</f>
        <v>0</v>
      </c>
      <c r="J82" s="213" t="str">
        <f>IF(AND(RULES_TERMINI!C153&lt;RULES_TERMINI!I78,RULES_TERMINI!C154&lt;RULES_TERMINI!I78),"! AMM.LE SOLO CON DICHIARAZIONE CR SCAD / INA PROB","! NON AMM.LE CR SCAD / INA PROB ANTECENDETI A 31/01/2020")</f>
        <v>! AMM.LE SOLO CON DICHIARAZIONE CR SCAD / INA PROB</v>
      </c>
      <c r="L82" s="892" t="s">
        <v>3560</v>
      </c>
      <c r="M82" s="893"/>
    </row>
    <row r="83" spans="1:13" x14ac:dyDescent="0.25">
      <c r="A83" s="233" t="s">
        <v>3460</v>
      </c>
      <c r="B83" s="233" t="s">
        <v>336</v>
      </c>
      <c r="C83" s="234"/>
      <c r="D83" s="233" t="s">
        <v>3459</v>
      </c>
      <c r="E83" s="233"/>
      <c r="F83" s="233" t="s">
        <v>3459</v>
      </c>
      <c r="G83" s="233" t="s">
        <v>125</v>
      </c>
      <c r="I83" s="216" t="str">
        <f>+'CHECK_2.9'!E29</f>
        <v>DL LIQUIDITA ANTE CONVERSIONE</v>
      </c>
      <c r="J83" s="213">
        <f>VLOOKUP(I83,VAR_1!$CV$3:$CW$7,2,0)</f>
        <v>2</v>
      </c>
      <c r="L83" s="216" t="str">
        <f>VLOOKUP(B80,VAR_1!$U$10:$V$16,2,0)</f>
        <v>X</v>
      </c>
      <c r="M83" s="213" t="str">
        <f>IF(AND(L83="X",B79&lt;L84),"! PROCESS NON COERENTE CON DATA AMMISSIONE","")</f>
        <v/>
      </c>
    </row>
    <row r="84" spans="1:13" ht="15.75" thickBot="1" x14ac:dyDescent="0.3">
      <c r="A84" s="209" t="s">
        <v>3461</v>
      </c>
      <c r="B84" s="209">
        <v>1</v>
      </c>
      <c r="C84" s="210" t="s">
        <v>343</v>
      </c>
      <c r="D84" s="210">
        <v>43937</v>
      </c>
      <c r="E84" s="209" t="s">
        <v>342</v>
      </c>
      <c r="F84" s="210">
        <v>44000</v>
      </c>
      <c r="G84" s="209" t="s">
        <v>3464</v>
      </c>
      <c r="I84" s="221"/>
      <c r="J84" s="250" t="str">
        <f>IF(J83&gt;2,
IF(OR('CHECK_2.9'!G205&lt;=RULES_TERMINI!I78,'CHECK_2.9'!E205&lt;=RULES_TERMINI!I78,),"! AMM.LE SOLO CON DICHIARAZIONE CR SCAD / INA PROB","OK"),
IF(J83=2,
IF(OR('CHECK_2.9'!G205&lt;=RULES_TERMINI!I78,'CHECK_2.9'!E205&lt;=RULES_TERMINI!I78,),"! NON AMM.LE CR SCAD / INA PROB ANTECENDETI A 31/01/2020","OK"),"NO CTRL"))</f>
        <v>! NON AMM.LE CR SCAD / INA PROB ANTECENDETI A 31/01/2020</v>
      </c>
      <c r="L84" s="220">
        <v>43539</v>
      </c>
      <c r="M84" s="218"/>
    </row>
    <row r="85" spans="1:13" ht="15.75" thickBot="1" x14ac:dyDescent="0.3">
      <c r="A85" s="209" t="s">
        <v>3462</v>
      </c>
      <c r="B85" s="209">
        <v>2</v>
      </c>
      <c r="C85" s="210" t="s">
        <v>343</v>
      </c>
      <c r="D85" s="210">
        <v>44001</v>
      </c>
      <c r="E85" s="209" t="s">
        <v>342</v>
      </c>
      <c r="F85" s="210">
        <v>44208</v>
      </c>
      <c r="G85" s="246" t="s">
        <v>3465</v>
      </c>
      <c r="I85" s="216"/>
      <c r="J85" s="213"/>
    </row>
    <row r="86" spans="1:13" ht="15.75" thickBot="1" x14ac:dyDescent="0.3">
      <c r="A86" s="209" t="s">
        <v>3463</v>
      </c>
      <c r="B86" s="209">
        <v>3</v>
      </c>
      <c r="C86" s="210" t="s">
        <v>343</v>
      </c>
      <c r="D86" s="210">
        <v>44209</v>
      </c>
      <c r="E86" s="209" t="s">
        <v>342</v>
      </c>
      <c r="F86" s="210"/>
      <c r="G86" s="246" t="s">
        <v>3466</v>
      </c>
      <c r="I86" s="909" t="s">
        <v>3507</v>
      </c>
      <c r="J86" s="910"/>
      <c r="L86" s="492"/>
      <c r="M86" s="492"/>
    </row>
    <row r="87" spans="1:13" ht="15.75" thickBot="1" x14ac:dyDescent="0.3">
      <c r="A87" s="209"/>
      <c r="B87" s="209"/>
      <c r="C87" s="210"/>
      <c r="D87" s="209"/>
      <c r="E87" s="209"/>
      <c r="F87" s="209"/>
      <c r="G87" s="209"/>
      <c r="I87" s="502">
        <v>43830</v>
      </c>
      <c r="J87" s="268" t="str">
        <f>IF('CHECK_2.9'!C205&lt;=I87,"! NON AMM.LE / PROCEDURE CONCORSUALI ANTECEDENTI AL 31/12/2019","OK")</f>
        <v>! NON AMM.LE / PROCEDURE CONCORSUALI ANTECEDENTI AL 31/12/2019</v>
      </c>
    </row>
    <row r="88" spans="1:13" ht="15.75" thickBot="1" x14ac:dyDescent="0.3">
      <c r="I88" s="216"/>
      <c r="J88" s="213"/>
      <c r="L88" s="892" t="s">
        <v>3592</v>
      </c>
      <c r="M88" s="893"/>
    </row>
    <row r="89" spans="1:13" x14ac:dyDescent="0.25">
      <c r="A89" s="233" t="s">
        <v>3468</v>
      </c>
      <c r="B89" s="233" t="s">
        <v>336</v>
      </c>
      <c r="C89" s="233" t="s">
        <v>3469</v>
      </c>
      <c r="I89" s="216" t="s">
        <v>3508</v>
      </c>
      <c r="J89" s="219">
        <v>43930</v>
      </c>
      <c r="L89" s="216" t="s">
        <v>3593</v>
      </c>
      <c r="M89" s="213">
        <f>VLOOKUP(I97,VAR_1!$I$7:$J$9,2,0)</f>
        <v>2</v>
      </c>
    </row>
    <row r="90" spans="1:13" ht="15.75" thickBot="1" x14ac:dyDescent="0.3">
      <c r="A90" s="209" t="str">
        <f>IF(AND(B79&gt;=D84,B79&lt;=F84),A84,
IF(AND(B79&gt;=D85,B79&lt;=F85),A85,
IF(B79&gt;=D86,A86,"NO LETT.M")))</f>
        <v>25 K 72 M</v>
      </c>
      <c r="B90" s="209" t="str">
        <f>VLOOKUP(A90,A84:G86,7,0)</f>
        <v>M1</v>
      </c>
      <c r="C90" s="471">
        <f>IF(AND(B80="Lettera m) art13 DL Liquidità",'CHECK_2.9'!C28&gt;=DATE(2020,4,16)),1,0)</f>
        <v>1</v>
      </c>
      <c r="I90" s="220">
        <f>+'CHECK_2.9'!C28</f>
        <v>43976</v>
      </c>
      <c r="J90" s="218">
        <f xml:space="preserve">
IF(AND('CHECK_2.9'!D203="ASSENTI",'CHECK_2.9'!D204="ASSENTI"),0,
IF(I90&gt;=J89,1,0))</f>
        <v>0</v>
      </c>
      <c r="L90" s="216" t="str">
        <f>+'CHECK_2.9'!F115</f>
        <v>RATA SCADUTA</v>
      </c>
      <c r="M90" s="213">
        <f>VLOOKUP(L90,VAR_1!$AV$3:$AW$12,2,0)</f>
        <v>1</v>
      </c>
    </row>
    <row r="91" spans="1:13" ht="15.75" thickBot="1" x14ac:dyDescent="0.3">
      <c r="L91" s="216"/>
      <c r="M91" s="213"/>
    </row>
    <row r="92" spans="1:13" x14ac:dyDescent="0.25">
      <c r="I92" s="904" t="s">
        <v>3509</v>
      </c>
      <c r="J92" s="906"/>
      <c r="L92" s="216" t="str">
        <f>+'CHECK_2.9'!C118</f>
        <v>NO</v>
      </c>
      <c r="M92" s="213">
        <f>VLOOKUP(L92,VAR_1!$BA$3:$BB$11,2,0)</f>
        <v>0</v>
      </c>
    </row>
    <row r="93" spans="1:13" ht="15.75" thickBot="1" x14ac:dyDescent="0.3">
      <c r="I93" s="221">
        <f xml:space="preserve">
IF(AND('CHECK_2.9'!G205="",'CHECK_2.9'!E205=""),0,
+IF(OR('CHECK_2.9'!G205&lt;=RULES_TERMINI!I78,'CHECK_2.9'!E205&lt;=RULES_TERMINI!I78),1,0))</f>
        <v>0</v>
      </c>
      <c r="J93" s="218"/>
      <c r="L93" s="216"/>
      <c r="M93" s="213"/>
    </row>
    <row r="94" spans="1:13" ht="15.75" thickBot="1" x14ac:dyDescent="0.3">
      <c r="L94" s="221" t="str">
        <f>IF(M89=1,
IF(AND(M90=8,M92&lt;5),"! 2 EDR NON CONGRUENTE CON TIPO OPERAZIONE","OK"),
IF(AND(M90=8,OR(M92=5,M92=6)),"! 2 EDR NON CONGRUENTE CON TIPO OPERAZIONE",
IF(AND(M90&lt;5,OR(M92=5,M92=6)),"! 2 EDR NON CONGRUENTE CON TIPO OPERAZIONE","OK")))</f>
        <v>OK</v>
      </c>
      <c r="M94" s="218"/>
    </row>
    <row r="95" spans="1:13" ht="15.75" thickBot="1" x14ac:dyDescent="0.3"/>
    <row r="96" spans="1:13" ht="15.75" thickBot="1" x14ac:dyDescent="0.3">
      <c r="I96" s="892" t="s">
        <v>3591</v>
      </c>
      <c r="J96" s="893"/>
    </row>
    <row r="97" spans="9:10" x14ac:dyDescent="0.25">
      <c r="I97" s="225" t="str">
        <f>+'CHECK_2.9'!C115</f>
        <v>Con piano</v>
      </c>
      <c r="J97" s="215"/>
    </row>
    <row r="98" spans="9:10" x14ac:dyDescent="0.25">
      <c r="I98" s="216">
        <f>IF(C23="SI",
IF(J98=1,18,27),
IF(J98=1,12,21))</f>
        <v>21</v>
      </c>
      <c r="J98" s="213">
        <f>VLOOKUP(I97,VAR_1!$I$7:$J$9,2,0)</f>
        <v>2</v>
      </c>
    </row>
    <row r="99" spans="9:10" ht="15.75" thickBot="1" x14ac:dyDescent="0.3">
      <c r="I99" s="221">
        <f>IF(C23="SI",
IF(J98=1,15,24),
IF(J98=1,9,18))</f>
        <v>18</v>
      </c>
      <c r="J99" s="218" t="str">
        <f>IF(EDATE('CHECK_2.9'!E118,RULES_TERMINI!I99)&gt;=D66,
IF(EDATE('CHECK_2.9'!E118,(RULES_TERMINI!I98))&lt;'CHECK_2.9'!G120,"! SECONDO EDR COMUNICATO OLTRE TERMINE SCADENZA ATTIVAZIONE PRIMO EDR","OK"),
IF(EDATE('CHECK_2.9'!E118,RULES_TERMINI!I99)&lt;'CHECK_2.9'!G120,"! SECONDO EDR COMUNICATO OLTRE TERMINE SCADENZA ATTIVAZIONE PRIMO EDR","OK"))</f>
        <v>! SECONDO EDR COMUNICATO OLTRE TERMINE SCADENZA ATTIVAZIONE PRIMO EDR</v>
      </c>
    </row>
  </sheetData>
  <sheetProtection algorithmName="SHA-512" hashValue="fm2DaJFcOgXYRNPn3OzQcRQuVZfvN0hK39c1n0b7v1UrE6yAwwE/LEWrDA5fQGUVFI45IU0kb44WHKU8mX+xYQ==" saltValue="/YyNo3djeT9td5K3cSE0AQ==" spinCount="100000" sheet="1" objects="1" scenarios="1"/>
  <mergeCells count="38">
    <mergeCell ref="O64:P64"/>
    <mergeCell ref="I74:J74"/>
    <mergeCell ref="L30:M30"/>
    <mergeCell ref="L31:M31"/>
    <mergeCell ref="L19:N19"/>
    <mergeCell ref="P21:P22"/>
    <mergeCell ref="P23:P24"/>
    <mergeCell ref="P25:P26"/>
    <mergeCell ref="L29:M29"/>
    <mergeCell ref="L27:O27"/>
    <mergeCell ref="O35:P35"/>
    <mergeCell ref="O53:P53"/>
    <mergeCell ref="I68:J68"/>
    <mergeCell ref="L35:M35"/>
    <mergeCell ref="L55:M55"/>
    <mergeCell ref="L51:M51"/>
    <mergeCell ref="O1:P1"/>
    <mergeCell ref="O15:P15"/>
    <mergeCell ref="L1:M1"/>
    <mergeCell ref="L6:M6"/>
    <mergeCell ref="L13:N13"/>
    <mergeCell ref="L15:M15"/>
    <mergeCell ref="I1:J1"/>
    <mergeCell ref="I5:J5"/>
    <mergeCell ref="I12:J12"/>
    <mergeCell ref="I23:J23"/>
    <mergeCell ref="I43:J43"/>
    <mergeCell ref="I57:J57"/>
    <mergeCell ref="L82:M82"/>
    <mergeCell ref="I40:J40"/>
    <mergeCell ref="L67:M67"/>
    <mergeCell ref="L68:M68"/>
    <mergeCell ref="I96:J96"/>
    <mergeCell ref="L88:M88"/>
    <mergeCell ref="I86:J86"/>
    <mergeCell ref="I92:J92"/>
    <mergeCell ref="L76:M76"/>
    <mergeCell ref="I77:J77"/>
  </mergeCells>
  <conditionalFormatting sqref="G59">
    <cfRule type="expression" priority="2">
      <formula>J42="EDR"</formula>
    </cfRule>
  </conditionalFormatting>
  <conditionalFormatting sqref="C60">
    <cfRule type="expression" dxfId="0" priority="1">
      <formula>$J$42="EDR TRANSITORIO"</formula>
    </cfRule>
  </conditionalFormatting>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6"/>
  <dimension ref="A1:U1724"/>
  <sheetViews>
    <sheetView zoomScale="90" zoomScaleNormal="90" workbookViewId="0">
      <pane ySplit="1" topLeftCell="A1684" activePane="bottomLeft" state="frozen"/>
      <selection activeCell="G20" sqref="G20"/>
      <selection pane="bottomLeft" activeCell="D63" sqref="D63:D69"/>
    </sheetView>
  </sheetViews>
  <sheetFormatPr defaultColWidth="9.140625" defaultRowHeight="15" x14ac:dyDescent="0.25"/>
  <cols>
    <col min="1" max="1" width="9.140625" style="69"/>
    <col min="2" max="2" width="9.140625" style="68"/>
    <col min="3" max="3" width="94.85546875" style="68" customWidth="1"/>
    <col min="4" max="4" width="78" style="68" customWidth="1"/>
    <col min="5" max="5" width="20.28515625" style="68" customWidth="1"/>
    <col min="6" max="6" width="22.140625" style="68" customWidth="1"/>
    <col min="7" max="14" width="22.28515625" style="68" customWidth="1"/>
    <col min="15" max="15" width="12.7109375" style="68" customWidth="1"/>
    <col min="16" max="21" width="9.140625" style="68"/>
    <col min="22" max="22" width="11.140625" style="68" bestFit="1" customWidth="1"/>
    <col min="23" max="16384" width="9.140625" style="68"/>
  </cols>
  <sheetData>
    <row r="1" spans="1:21" x14ac:dyDescent="0.25">
      <c r="A1" s="87" t="s">
        <v>2192</v>
      </c>
      <c r="B1" s="86" t="s">
        <v>2191</v>
      </c>
      <c r="C1" s="86" t="s">
        <v>2190</v>
      </c>
      <c r="D1" s="85">
        <v>662</v>
      </c>
      <c r="E1" s="86" t="s">
        <v>179</v>
      </c>
      <c r="F1" s="85" t="s">
        <v>2189</v>
      </c>
      <c r="G1" s="84" t="s">
        <v>2188</v>
      </c>
      <c r="H1" s="84" t="s">
        <v>111</v>
      </c>
      <c r="I1" s="84" t="s">
        <v>2523</v>
      </c>
      <c r="O1" s="926" t="s">
        <v>2187</v>
      </c>
      <c r="P1" s="927"/>
      <c r="Q1" s="927"/>
      <c r="R1" s="927"/>
      <c r="S1" s="927"/>
      <c r="T1" s="927"/>
      <c r="U1" s="928"/>
    </row>
    <row r="2" spans="1:21" x14ac:dyDescent="0.25">
      <c r="A2" s="71">
        <v>10000</v>
      </c>
      <c r="B2" s="71">
        <v>2007</v>
      </c>
      <c r="C2" s="71" t="s">
        <v>2186</v>
      </c>
      <c r="D2" s="484" t="s">
        <v>3477</v>
      </c>
      <c r="E2" s="71" t="s">
        <v>468</v>
      </c>
      <c r="F2" s="71" t="s">
        <v>174</v>
      </c>
      <c r="G2" s="70" t="s">
        <v>2108</v>
      </c>
      <c r="H2" s="70" t="s">
        <v>2108</v>
      </c>
      <c r="I2" s="363">
        <v>1</v>
      </c>
      <c r="J2" s="64"/>
      <c r="K2" s="64"/>
      <c r="L2" s="64"/>
      <c r="O2" s="83" t="s">
        <v>2185</v>
      </c>
      <c r="P2" s="68" t="s">
        <v>2184</v>
      </c>
      <c r="U2" s="77"/>
    </row>
    <row r="3" spans="1:21" x14ac:dyDescent="0.25">
      <c r="A3" s="71">
        <v>11000</v>
      </c>
      <c r="B3" s="71">
        <v>2007</v>
      </c>
      <c r="C3" s="71" t="s">
        <v>2183</v>
      </c>
      <c r="D3" s="484" t="s">
        <v>3477</v>
      </c>
      <c r="E3" s="71" t="s">
        <v>468</v>
      </c>
      <c r="F3" s="71" t="s">
        <v>174</v>
      </c>
      <c r="G3" s="70" t="s">
        <v>2108</v>
      </c>
      <c r="H3" s="70" t="s">
        <v>2108</v>
      </c>
      <c r="I3" s="363">
        <v>1</v>
      </c>
      <c r="J3" s="64"/>
      <c r="K3" s="64"/>
      <c r="L3" s="64"/>
      <c r="O3" s="83" t="s">
        <v>2182</v>
      </c>
      <c r="P3" s="68" t="s">
        <v>2181</v>
      </c>
      <c r="U3" s="77"/>
    </row>
    <row r="4" spans="1:21" x14ac:dyDescent="0.25">
      <c r="A4" s="71">
        <v>11100</v>
      </c>
      <c r="B4" s="71">
        <v>2007</v>
      </c>
      <c r="C4" s="71" t="s">
        <v>2180</v>
      </c>
      <c r="D4" s="484" t="s">
        <v>3477</v>
      </c>
      <c r="E4" s="71" t="s">
        <v>468</v>
      </c>
      <c r="F4" s="71" t="s">
        <v>174</v>
      </c>
      <c r="G4" s="70" t="s">
        <v>2108</v>
      </c>
      <c r="H4" s="70" t="s">
        <v>2108</v>
      </c>
      <c r="I4" s="363">
        <v>1</v>
      </c>
      <c r="J4" s="64"/>
      <c r="K4" s="64"/>
      <c r="L4" s="64"/>
      <c r="O4" s="83" t="s">
        <v>2179</v>
      </c>
      <c r="P4" s="68" t="s">
        <v>2178</v>
      </c>
      <c r="U4" s="77"/>
    </row>
    <row r="5" spans="1:21" ht="15.75" thickBot="1" x14ac:dyDescent="0.3">
      <c r="A5" s="71">
        <v>11110</v>
      </c>
      <c r="B5" s="71">
        <v>2007</v>
      </c>
      <c r="C5" s="71" t="s">
        <v>2177</v>
      </c>
      <c r="D5" s="484" t="s">
        <v>3477</v>
      </c>
      <c r="E5" s="71" t="s">
        <v>468</v>
      </c>
      <c r="F5" s="71" t="s">
        <v>174</v>
      </c>
      <c r="G5" s="70" t="s">
        <v>2108</v>
      </c>
      <c r="H5" s="70" t="s">
        <v>2108</v>
      </c>
      <c r="I5" s="363">
        <v>1</v>
      </c>
      <c r="J5" s="64"/>
      <c r="K5" s="64"/>
      <c r="L5" s="64"/>
      <c r="O5" s="82" t="s">
        <v>2176</v>
      </c>
      <c r="P5" s="75" t="s">
        <v>2175</v>
      </c>
      <c r="Q5" s="75"/>
      <c r="R5" s="75"/>
      <c r="S5" s="75"/>
      <c r="T5" s="75"/>
      <c r="U5" s="74"/>
    </row>
    <row r="6" spans="1:21" x14ac:dyDescent="0.25">
      <c r="A6" s="71">
        <v>11120</v>
      </c>
      <c r="B6" s="71">
        <v>2007</v>
      </c>
      <c r="C6" s="71" t="s">
        <v>2174</v>
      </c>
      <c r="D6" s="484" t="s">
        <v>3477</v>
      </c>
      <c r="E6" s="71" t="s">
        <v>468</v>
      </c>
      <c r="F6" s="71" t="s">
        <v>174</v>
      </c>
      <c r="G6" s="70" t="s">
        <v>2108</v>
      </c>
      <c r="H6" s="70" t="s">
        <v>2108</v>
      </c>
      <c r="I6" s="363">
        <v>1</v>
      </c>
      <c r="J6" s="64"/>
      <c r="K6" s="64"/>
      <c r="L6" s="64"/>
    </row>
    <row r="7" spans="1:21" ht="15.75" thickBot="1" x14ac:dyDescent="0.3">
      <c r="A7" s="71">
        <v>11130</v>
      </c>
      <c r="B7" s="71">
        <v>2007</v>
      </c>
      <c r="C7" s="71" t="s">
        <v>2173</v>
      </c>
      <c r="D7" s="484" t="s">
        <v>3477</v>
      </c>
      <c r="E7" s="71" t="s">
        <v>468</v>
      </c>
      <c r="F7" s="71" t="s">
        <v>174</v>
      </c>
      <c r="G7" s="70" t="s">
        <v>2108</v>
      </c>
      <c r="H7" s="70" t="s">
        <v>2108</v>
      </c>
      <c r="I7" s="363">
        <v>1</v>
      </c>
      <c r="J7" s="64"/>
      <c r="K7" s="64"/>
      <c r="L7" s="64"/>
    </row>
    <row r="8" spans="1:21" x14ac:dyDescent="0.25">
      <c r="A8" s="71">
        <v>11140</v>
      </c>
      <c r="B8" s="71">
        <v>2007</v>
      </c>
      <c r="C8" s="71" t="s">
        <v>2172</v>
      </c>
      <c r="D8" s="484" t="s">
        <v>3477</v>
      </c>
      <c r="E8" s="71" t="s">
        <v>468</v>
      </c>
      <c r="F8" s="71" t="s">
        <v>174</v>
      </c>
      <c r="G8" s="70" t="s">
        <v>2108</v>
      </c>
      <c r="H8" s="70" t="s">
        <v>2108</v>
      </c>
      <c r="I8" s="363">
        <v>1</v>
      </c>
      <c r="J8" s="64"/>
      <c r="K8" s="64"/>
      <c r="L8" s="64"/>
      <c r="O8" s="81" t="s">
        <v>2171</v>
      </c>
      <c r="P8" s="80"/>
      <c r="Q8" s="80"/>
      <c r="R8" s="79"/>
    </row>
    <row r="9" spans="1:21" x14ac:dyDescent="0.25">
      <c r="A9" s="71">
        <v>11200</v>
      </c>
      <c r="B9" s="71">
        <v>2007</v>
      </c>
      <c r="C9" s="71" t="s">
        <v>2170</v>
      </c>
      <c r="D9" s="484" t="s">
        <v>3477</v>
      </c>
      <c r="E9" s="71" t="s">
        <v>468</v>
      </c>
      <c r="F9" s="71" t="s">
        <v>174</v>
      </c>
      <c r="G9" s="70" t="s">
        <v>2108</v>
      </c>
      <c r="H9" s="70" t="s">
        <v>2108</v>
      </c>
      <c r="I9" s="363">
        <v>1</v>
      </c>
      <c r="J9" s="64"/>
      <c r="K9" s="64"/>
      <c r="L9" s="64"/>
      <c r="O9" s="78" t="s">
        <v>2169</v>
      </c>
      <c r="Q9" s="68" t="s">
        <v>2168</v>
      </c>
      <c r="R9" s="77"/>
    </row>
    <row r="10" spans="1:21" x14ac:dyDescent="0.25">
      <c r="A10" s="71">
        <v>11300</v>
      </c>
      <c r="B10" s="71">
        <v>2007</v>
      </c>
      <c r="C10" s="71" t="s">
        <v>2167</v>
      </c>
      <c r="D10" s="484" t="s">
        <v>3477</v>
      </c>
      <c r="E10" s="71" t="s">
        <v>468</v>
      </c>
      <c r="F10" s="71" t="s">
        <v>174</v>
      </c>
      <c r="G10" s="70" t="s">
        <v>2108</v>
      </c>
      <c r="H10" s="70" t="s">
        <v>2108</v>
      </c>
      <c r="I10" s="363">
        <v>1</v>
      </c>
      <c r="J10" s="64"/>
      <c r="K10" s="64"/>
      <c r="L10" s="64"/>
      <c r="O10" s="78" t="s">
        <v>2166</v>
      </c>
      <c r="Q10" s="68" t="s">
        <v>2165</v>
      </c>
      <c r="R10" s="77"/>
    </row>
    <row r="11" spans="1:21" x14ac:dyDescent="0.25">
      <c r="A11" s="71">
        <v>11310</v>
      </c>
      <c r="B11" s="71">
        <v>2007</v>
      </c>
      <c r="C11" s="71" t="s">
        <v>2164</v>
      </c>
      <c r="D11" s="484" t="s">
        <v>3477</v>
      </c>
      <c r="E11" s="71" t="s">
        <v>468</v>
      </c>
      <c r="F11" s="71" t="s">
        <v>174</v>
      </c>
      <c r="G11" s="70" t="s">
        <v>2108</v>
      </c>
      <c r="H11" s="70" t="s">
        <v>2108</v>
      </c>
      <c r="I11" s="363">
        <v>1</v>
      </c>
      <c r="J11" s="64"/>
      <c r="K11" s="64"/>
      <c r="L11" s="64"/>
      <c r="O11" s="78" t="s">
        <v>2163</v>
      </c>
      <c r="Q11" s="68" t="s">
        <v>2162</v>
      </c>
      <c r="R11" s="77"/>
    </row>
    <row r="12" spans="1:21" ht="15.75" thickBot="1" x14ac:dyDescent="0.3">
      <c r="A12" s="71">
        <v>11320</v>
      </c>
      <c r="B12" s="71">
        <v>2007</v>
      </c>
      <c r="C12" s="71" t="s">
        <v>2161</v>
      </c>
      <c r="D12" s="484" t="s">
        <v>3477</v>
      </c>
      <c r="E12" s="71" t="s">
        <v>468</v>
      </c>
      <c r="F12" s="71" t="s">
        <v>174</v>
      </c>
      <c r="G12" s="70" t="s">
        <v>2108</v>
      </c>
      <c r="H12" s="70" t="s">
        <v>2108</v>
      </c>
      <c r="I12" s="363">
        <v>1</v>
      </c>
      <c r="J12" s="64"/>
      <c r="K12" s="64"/>
      <c r="L12" s="64"/>
      <c r="O12" s="76" t="s">
        <v>2160</v>
      </c>
      <c r="P12" s="75"/>
      <c r="Q12" s="75" t="s">
        <v>2159</v>
      </c>
      <c r="R12" s="74"/>
    </row>
    <row r="13" spans="1:21" x14ac:dyDescent="0.25">
      <c r="A13" s="71">
        <v>11330</v>
      </c>
      <c r="B13" s="71">
        <v>2007</v>
      </c>
      <c r="C13" s="71" t="s">
        <v>2158</v>
      </c>
      <c r="D13" s="484" t="s">
        <v>3477</v>
      </c>
      <c r="E13" s="71" t="s">
        <v>468</v>
      </c>
      <c r="F13" s="71" t="s">
        <v>174</v>
      </c>
      <c r="G13" s="70" t="s">
        <v>2108</v>
      </c>
      <c r="H13" s="70" t="s">
        <v>2108</v>
      </c>
      <c r="I13" s="363">
        <v>1</v>
      </c>
      <c r="J13" s="64"/>
      <c r="K13" s="64"/>
      <c r="L13" s="64"/>
    </row>
    <row r="14" spans="1:21" x14ac:dyDescent="0.25">
      <c r="A14" s="71">
        <v>11340</v>
      </c>
      <c r="B14" s="71">
        <v>2007</v>
      </c>
      <c r="C14" s="71" t="s">
        <v>2157</v>
      </c>
      <c r="D14" s="484" t="s">
        <v>3477</v>
      </c>
      <c r="E14" s="71" t="s">
        <v>468</v>
      </c>
      <c r="F14" s="71" t="s">
        <v>174</v>
      </c>
      <c r="G14" s="70" t="s">
        <v>2108</v>
      </c>
      <c r="H14" s="70" t="s">
        <v>2108</v>
      </c>
      <c r="I14" s="363">
        <v>1</v>
      </c>
      <c r="J14" s="64"/>
      <c r="K14" s="64"/>
      <c r="L14" s="64"/>
    </row>
    <row r="15" spans="1:21" x14ac:dyDescent="0.25">
      <c r="A15" s="71">
        <v>11400</v>
      </c>
      <c r="B15" s="71">
        <v>2007</v>
      </c>
      <c r="C15" s="71" t="s">
        <v>2156</v>
      </c>
      <c r="D15" s="484" t="s">
        <v>3477</v>
      </c>
      <c r="E15" s="71" t="s">
        <v>468</v>
      </c>
      <c r="F15" s="71" t="s">
        <v>174</v>
      </c>
      <c r="G15" s="70" t="s">
        <v>2108</v>
      </c>
      <c r="H15" s="70" t="s">
        <v>2108</v>
      </c>
      <c r="I15" s="363">
        <v>1</v>
      </c>
      <c r="J15" s="64"/>
      <c r="K15" s="64"/>
      <c r="L15" s="64"/>
    </row>
    <row r="16" spans="1:21" x14ac:dyDescent="0.25">
      <c r="A16" s="71">
        <v>11500</v>
      </c>
      <c r="B16" s="71">
        <v>2007</v>
      </c>
      <c r="C16" s="71" t="s">
        <v>2155</v>
      </c>
      <c r="D16" s="484" t="s">
        <v>3477</v>
      </c>
      <c r="E16" s="71" t="s">
        <v>468</v>
      </c>
      <c r="F16" s="71" t="s">
        <v>174</v>
      </c>
      <c r="G16" s="70" t="s">
        <v>2108</v>
      </c>
      <c r="H16" s="70" t="s">
        <v>2108</v>
      </c>
      <c r="I16" s="363">
        <v>1</v>
      </c>
      <c r="J16" s="64"/>
      <c r="K16" s="64"/>
      <c r="L16" s="64"/>
    </row>
    <row r="17" spans="1:12" x14ac:dyDescent="0.25">
      <c r="A17" s="71">
        <v>11600</v>
      </c>
      <c r="B17" s="71">
        <v>2007</v>
      </c>
      <c r="C17" s="71" t="s">
        <v>2154</v>
      </c>
      <c r="D17" s="484" t="s">
        <v>3477</v>
      </c>
      <c r="E17" s="71" t="s">
        <v>468</v>
      </c>
      <c r="F17" s="71" t="s">
        <v>174</v>
      </c>
      <c r="G17" s="70" t="s">
        <v>2108</v>
      </c>
      <c r="H17" s="70" t="s">
        <v>2108</v>
      </c>
      <c r="I17" s="363">
        <v>1</v>
      </c>
      <c r="J17" s="64"/>
      <c r="K17" s="64"/>
      <c r="L17" s="64"/>
    </row>
    <row r="18" spans="1:12" x14ac:dyDescent="0.25">
      <c r="A18" s="71">
        <v>11900</v>
      </c>
      <c r="B18" s="71">
        <v>2007</v>
      </c>
      <c r="C18" s="71" t="s">
        <v>2153</v>
      </c>
      <c r="D18" s="484" t="s">
        <v>3477</v>
      </c>
      <c r="E18" s="71" t="s">
        <v>468</v>
      </c>
      <c r="F18" s="71" t="s">
        <v>174</v>
      </c>
      <c r="G18" s="70" t="s">
        <v>2108</v>
      </c>
      <c r="H18" s="70" t="s">
        <v>2108</v>
      </c>
      <c r="I18" s="363">
        <v>1</v>
      </c>
      <c r="J18" s="64"/>
      <c r="K18" s="64"/>
      <c r="L18" s="64"/>
    </row>
    <row r="19" spans="1:12" x14ac:dyDescent="0.25">
      <c r="A19" s="71">
        <v>11910</v>
      </c>
      <c r="B19" s="71">
        <v>2007</v>
      </c>
      <c r="C19" s="71" t="s">
        <v>2152</v>
      </c>
      <c r="D19" s="484" t="s">
        <v>3477</v>
      </c>
      <c r="E19" s="71" t="s">
        <v>468</v>
      </c>
      <c r="F19" s="71" t="s">
        <v>174</v>
      </c>
      <c r="G19" s="70" t="s">
        <v>2108</v>
      </c>
      <c r="H19" s="70" t="s">
        <v>2108</v>
      </c>
      <c r="I19" s="363">
        <v>1</v>
      </c>
      <c r="J19" s="64"/>
      <c r="K19" s="64"/>
      <c r="L19" s="64"/>
    </row>
    <row r="20" spans="1:12" x14ac:dyDescent="0.25">
      <c r="A20" s="71">
        <v>11920</v>
      </c>
      <c r="B20" s="71">
        <v>2007</v>
      </c>
      <c r="C20" s="71" t="s">
        <v>2151</v>
      </c>
      <c r="D20" s="484" t="s">
        <v>3477</v>
      </c>
      <c r="E20" s="71" t="s">
        <v>468</v>
      </c>
      <c r="F20" s="71" t="s">
        <v>174</v>
      </c>
      <c r="G20" s="70" t="s">
        <v>2108</v>
      </c>
      <c r="H20" s="70" t="s">
        <v>2108</v>
      </c>
      <c r="I20" s="363">
        <v>1</v>
      </c>
      <c r="J20" s="64"/>
      <c r="K20" s="64"/>
      <c r="L20" s="64"/>
    </row>
    <row r="21" spans="1:12" x14ac:dyDescent="0.25">
      <c r="A21" s="71">
        <v>11990</v>
      </c>
      <c r="B21" s="71">
        <v>2007</v>
      </c>
      <c r="C21" s="71" t="s">
        <v>2150</v>
      </c>
      <c r="D21" s="484" t="s">
        <v>3477</v>
      </c>
      <c r="E21" s="71" t="s">
        <v>468</v>
      </c>
      <c r="F21" s="71" t="s">
        <v>174</v>
      </c>
      <c r="G21" s="70" t="s">
        <v>2108</v>
      </c>
      <c r="H21" s="70" t="s">
        <v>2108</v>
      </c>
      <c r="I21" s="363">
        <v>1</v>
      </c>
      <c r="J21" s="64"/>
      <c r="K21" s="64"/>
      <c r="L21" s="64"/>
    </row>
    <row r="22" spans="1:12" x14ac:dyDescent="0.25">
      <c r="A22" s="71">
        <v>12000</v>
      </c>
      <c r="B22" s="71">
        <v>2007</v>
      </c>
      <c r="C22" s="71" t="s">
        <v>2149</v>
      </c>
      <c r="D22" s="484" t="s">
        <v>3477</v>
      </c>
      <c r="E22" s="71" t="s">
        <v>468</v>
      </c>
      <c r="F22" s="71" t="s">
        <v>174</v>
      </c>
      <c r="G22" s="70" t="s">
        <v>2108</v>
      </c>
      <c r="H22" s="70" t="s">
        <v>2108</v>
      </c>
      <c r="I22" s="363">
        <v>1</v>
      </c>
      <c r="J22" s="64"/>
      <c r="K22" s="64"/>
      <c r="L22" s="64"/>
    </row>
    <row r="23" spans="1:12" x14ac:dyDescent="0.25">
      <c r="A23" s="71">
        <v>12100</v>
      </c>
      <c r="B23" s="71">
        <v>2007</v>
      </c>
      <c r="C23" s="71" t="s">
        <v>2148</v>
      </c>
      <c r="D23" s="484" t="s">
        <v>3477</v>
      </c>
      <c r="E23" s="71" t="s">
        <v>468</v>
      </c>
      <c r="F23" s="71" t="s">
        <v>174</v>
      </c>
      <c r="G23" s="70" t="s">
        <v>2108</v>
      </c>
      <c r="H23" s="70" t="s">
        <v>2108</v>
      </c>
      <c r="I23" s="363">
        <v>1</v>
      </c>
      <c r="J23" s="64"/>
      <c r="K23" s="64"/>
      <c r="L23" s="64"/>
    </row>
    <row r="24" spans="1:12" x14ac:dyDescent="0.25">
      <c r="A24" s="71">
        <v>12200</v>
      </c>
      <c r="B24" s="71">
        <v>2007</v>
      </c>
      <c r="C24" s="71" t="s">
        <v>2147</v>
      </c>
      <c r="D24" s="484" t="s">
        <v>3477</v>
      </c>
      <c r="E24" s="71" t="s">
        <v>468</v>
      </c>
      <c r="F24" s="71" t="s">
        <v>174</v>
      </c>
      <c r="G24" s="70" t="s">
        <v>2108</v>
      </c>
      <c r="H24" s="70" t="s">
        <v>2108</v>
      </c>
      <c r="I24" s="363">
        <v>1</v>
      </c>
      <c r="J24" s="64"/>
      <c r="K24" s="64"/>
      <c r="L24" s="64"/>
    </row>
    <row r="25" spans="1:12" x14ac:dyDescent="0.25">
      <c r="A25" s="71">
        <v>12300</v>
      </c>
      <c r="B25" s="71">
        <v>2007</v>
      </c>
      <c r="C25" s="71" t="s">
        <v>2146</v>
      </c>
      <c r="D25" s="484" t="s">
        <v>3477</v>
      </c>
      <c r="E25" s="71" t="s">
        <v>468</v>
      </c>
      <c r="F25" s="71" t="s">
        <v>174</v>
      </c>
      <c r="G25" s="70" t="s">
        <v>2108</v>
      </c>
      <c r="H25" s="70" t="s">
        <v>2108</v>
      </c>
      <c r="I25" s="363">
        <v>1</v>
      </c>
      <c r="J25" s="64"/>
      <c r="K25" s="64"/>
      <c r="L25" s="64"/>
    </row>
    <row r="26" spans="1:12" x14ac:dyDescent="0.25">
      <c r="A26" s="71">
        <v>12400</v>
      </c>
      <c r="B26" s="71">
        <v>2007</v>
      </c>
      <c r="C26" s="71" t="s">
        <v>2145</v>
      </c>
      <c r="D26" s="484" t="s">
        <v>3477</v>
      </c>
      <c r="E26" s="71" t="s">
        <v>468</v>
      </c>
      <c r="F26" s="71" t="s">
        <v>174</v>
      </c>
      <c r="G26" s="70" t="s">
        <v>2108</v>
      </c>
      <c r="H26" s="70" t="s">
        <v>2108</v>
      </c>
      <c r="I26" s="363">
        <v>1</v>
      </c>
      <c r="J26" s="64"/>
      <c r="K26" s="64"/>
      <c r="L26" s="64"/>
    </row>
    <row r="27" spans="1:12" x14ac:dyDescent="0.25">
      <c r="A27" s="71">
        <v>12500</v>
      </c>
      <c r="B27" s="71">
        <v>2007</v>
      </c>
      <c r="C27" s="71" t="s">
        <v>2144</v>
      </c>
      <c r="D27" s="484" t="s">
        <v>3477</v>
      </c>
      <c r="E27" s="71" t="s">
        <v>468</v>
      </c>
      <c r="F27" s="71" t="s">
        <v>174</v>
      </c>
      <c r="G27" s="70" t="s">
        <v>2108</v>
      </c>
      <c r="H27" s="70" t="s">
        <v>2108</v>
      </c>
      <c r="I27" s="363">
        <v>1</v>
      </c>
      <c r="J27" s="64"/>
      <c r="K27" s="64"/>
      <c r="L27" s="64"/>
    </row>
    <row r="28" spans="1:12" x14ac:dyDescent="0.25">
      <c r="A28" s="71">
        <v>12600</v>
      </c>
      <c r="B28" s="71">
        <v>2007</v>
      </c>
      <c r="C28" s="71" t="s">
        <v>2143</v>
      </c>
      <c r="D28" s="484" t="s">
        <v>3477</v>
      </c>
      <c r="E28" s="71" t="s">
        <v>468</v>
      </c>
      <c r="F28" s="71" t="s">
        <v>174</v>
      </c>
      <c r="G28" s="70" t="s">
        <v>2108</v>
      </c>
      <c r="H28" s="70" t="s">
        <v>2108</v>
      </c>
      <c r="I28" s="363">
        <v>1</v>
      </c>
      <c r="J28" s="64"/>
      <c r="K28" s="64"/>
      <c r="L28" s="64"/>
    </row>
    <row r="29" spans="1:12" x14ac:dyDescent="0.25">
      <c r="A29" s="71">
        <v>12700</v>
      </c>
      <c r="B29" s="71">
        <v>2007</v>
      </c>
      <c r="C29" s="71" t="s">
        <v>2142</v>
      </c>
      <c r="D29" s="484" t="s">
        <v>3477</v>
      </c>
      <c r="E29" s="71" t="s">
        <v>468</v>
      </c>
      <c r="F29" s="71" t="s">
        <v>174</v>
      </c>
      <c r="G29" s="70" t="s">
        <v>2108</v>
      </c>
      <c r="H29" s="70" t="s">
        <v>2108</v>
      </c>
      <c r="I29" s="363">
        <v>1</v>
      </c>
      <c r="J29" s="64"/>
      <c r="K29" s="64"/>
      <c r="L29" s="64"/>
    </row>
    <row r="30" spans="1:12" x14ac:dyDescent="0.25">
      <c r="A30" s="71">
        <v>12800</v>
      </c>
      <c r="B30" s="71">
        <v>2007</v>
      </c>
      <c r="C30" s="71" t="s">
        <v>2141</v>
      </c>
      <c r="D30" s="484" t="s">
        <v>3477</v>
      </c>
      <c r="E30" s="71" t="s">
        <v>468</v>
      </c>
      <c r="F30" s="71" t="s">
        <v>174</v>
      </c>
      <c r="G30" s="70" t="s">
        <v>2108</v>
      </c>
      <c r="H30" s="70" t="s">
        <v>2108</v>
      </c>
      <c r="I30" s="363">
        <v>1</v>
      </c>
      <c r="J30" s="64"/>
      <c r="K30" s="64"/>
      <c r="L30" s="64"/>
    </row>
    <row r="31" spans="1:12" x14ac:dyDescent="0.25">
      <c r="A31" s="71">
        <v>12900</v>
      </c>
      <c r="B31" s="71">
        <v>2007</v>
      </c>
      <c r="C31" s="71" t="s">
        <v>2140</v>
      </c>
      <c r="D31" s="484" t="s">
        <v>3477</v>
      </c>
      <c r="E31" s="71" t="s">
        <v>468</v>
      </c>
      <c r="F31" s="71" t="s">
        <v>174</v>
      </c>
      <c r="G31" s="70" t="s">
        <v>2108</v>
      </c>
      <c r="H31" s="70" t="s">
        <v>2108</v>
      </c>
      <c r="I31" s="363">
        <v>1</v>
      </c>
      <c r="J31" s="64"/>
      <c r="K31" s="64"/>
      <c r="L31" s="64"/>
    </row>
    <row r="32" spans="1:12" x14ac:dyDescent="0.25">
      <c r="A32" s="71">
        <v>13000</v>
      </c>
      <c r="B32" s="71">
        <v>2007</v>
      </c>
      <c r="C32" s="71" t="s">
        <v>2139</v>
      </c>
      <c r="D32" s="484" t="s">
        <v>3477</v>
      </c>
      <c r="E32" s="71" t="s">
        <v>468</v>
      </c>
      <c r="F32" s="71" t="s">
        <v>174</v>
      </c>
      <c r="G32" s="70" t="s">
        <v>2108</v>
      </c>
      <c r="H32" s="70" t="s">
        <v>2108</v>
      </c>
      <c r="I32" s="363">
        <v>1</v>
      </c>
      <c r="J32" s="64"/>
      <c r="K32" s="64"/>
      <c r="L32" s="64"/>
    </row>
    <row r="33" spans="1:12" x14ac:dyDescent="0.25">
      <c r="A33" s="71">
        <v>14000</v>
      </c>
      <c r="B33" s="71">
        <v>2007</v>
      </c>
      <c r="C33" s="71" t="s">
        <v>2138</v>
      </c>
      <c r="D33" s="484" t="s">
        <v>3477</v>
      </c>
      <c r="E33" s="71" t="s">
        <v>468</v>
      </c>
      <c r="F33" s="71" t="s">
        <v>174</v>
      </c>
      <c r="G33" s="70" t="s">
        <v>2108</v>
      </c>
      <c r="H33" s="70" t="s">
        <v>2108</v>
      </c>
      <c r="I33" s="363">
        <v>1</v>
      </c>
      <c r="J33" s="64"/>
      <c r="K33" s="64"/>
      <c r="L33" s="64"/>
    </row>
    <row r="34" spans="1:12" x14ac:dyDescent="0.25">
      <c r="A34" s="71">
        <v>14100</v>
      </c>
      <c r="B34" s="71">
        <v>2007</v>
      </c>
      <c r="C34" s="71" t="s">
        <v>2137</v>
      </c>
      <c r="D34" s="484" t="s">
        <v>3477</v>
      </c>
      <c r="E34" s="71" t="s">
        <v>468</v>
      </c>
      <c r="F34" s="71" t="s">
        <v>174</v>
      </c>
      <c r="G34" s="70" t="s">
        <v>2108</v>
      </c>
      <c r="H34" s="70" t="s">
        <v>2108</v>
      </c>
      <c r="I34" s="363">
        <v>1</v>
      </c>
      <c r="J34" s="64"/>
      <c r="K34" s="64"/>
      <c r="L34" s="64"/>
    </row>
    <row r="35" spans="1:12" x14ac:dyDescent="0.25">
      <c r="A35" s="71">
        <v>14200</v>
      </c>
      <c r="B35" s="71">
        <v>2007</v>
      </c>
      <c r="C35" s="71" t="s">
        <v>2136</v>
      </c>
      <c r="D35" s="484" t="s">
        <v>3477</v>
      </c>
      <c r="E35" s="71" t="s">
        <v>468</v>
      </c>
      <c r="F35" s="71" t="s">
        <v>174</v>
      </c>
      <c r="G35" s="70" t="s">
        <v>2108</v>
      </c>
      <c r="H35" s="70" t="s">
        <v>2108</v>
      </c>
      <c r="I35" s="363">
        <v>1</v>
      </c>
      <c r="J35" s="64"/>
      <c r="K35" s="64"/>
      <c r="L35" s="64"/>
    </row>
    <row r="36" spans="1:12" x14ac:dyDescent="0.25">
      <c r="A36" s="71">
        <v>14300</v>
      </c>
      <c r="B36" s="71">
        <v>2007</v>
      </c>
      <c r="C36" s="71" t="s">
        <v>2135</v>
      </c>
      <c r="D36" s="484" t="s">
        <v>3477</v>
      </c>
      <c r="E36" s="71" t="s">
        <v>468</v>
      </c>
      <c r="F36" s="71" t="s">
        <v>174</v>
      </c>
      <c r="G36" s="70" t="s">
        <v>2108</v>
      </c>
      <c r="H36" s="70" t="s">
        <v>2108</v>
      </c>
      <c r="I36" s="363">
        <v>1</v>
      </c>
      <c r="J36" s="64"/>
      <c r="K36" s="64"/>
      <c r="L36" s="64"/>
    </row>
    <row r="37" spans="1:12" x14ac:dyDescent="0.25">
      <c r="A37" s="71">
        <v>14400</v>
      </c>
      <c r="B37" s="71">
        <v>2007</v>
      </c>
      <c r="C37" s="71" t="s">
        <v>2134</v>
      </c>
      <c r="D37" s="484" t="s">
        <v>3477</v>
      </c>
      <c r="E37" s="71" t="s">
        <v>468</v>
      </c>
      <c r="F37" s="71" t="s">
        <v>174</v>
      </c>
      <c r="G37" s="70" t="s">
        <v>2108</v>
      </c>
      <c r="H37" s="70" t="s">
        <v>2108</v>
      </c>
      <c r="I37" s="363">
        <v>1</v>
      </c>
      <c r="J37" s="64"/>
      <c r="K37" s="64"/>
      <c r="L37" s="64"/>
    </row>
    <row r="38" spans="1:12" x14ac:dyDescent="0.25">
      <c r="A38" s="71">
        <v>14500</v>
      </c>
      <c r="B38" s="71">
        <v>2007</v>
      </c>
      <c r="C38" s="71" t="s">
        <v>2133</v>
      </c>
      <c r="D38" s="484" t="s">
        <v>3477</v>
      </c>
      <c r="E38" s="71" t="s">
        <v>468</v>
      </c>
      <c r="F38" s="71" t="s">
        <v>174</v>
      </c>
      <c r="G38" s="70" t="s">
        <v>2108</v>
      </c>
      <c r="H38" s="70" t="s">
        <v>2108</v>
      </c>
      <c r="I38" s="363">
        <v>1</v>
      </c>
      <c r="J38" s="64"/>
      <c r="K38" s="64"/>
      <c r="L38" s="64"/>
    </row>
    <row r="39" spans="1:12" x14ac:dyDescent="0.25">
      <c r="A39" s="71">
        <v>14600</v>
      </c>
      <c r="B39" s="71">
        <v>2007</v>
      </c>
      <c r="C39" s="71" t="s">
        <v>2132</v>
      </c>
      <c r="D39" s="484" t="s">
        <v>3477</v>
      </c>
      <c r="E39" s="71" t="s">
        <v>468</v>
      </c>
      <c r="F39" s="71" t="s">
        <v>174</v>
      </c>
      <c r="G39" s="70" t="s">
        <v>2108</v>
      </c>
      <c r="H39" s="70" t="s">
        <v>2108</v>
      </c>
      <c r="I39" s="363">
        <v>1</v>
      </c>
      <c r="J39" s="64"/>
      <c r="K39" s="64"/>
      <c r="L39" s="64"/>
    </row>
    <row r="40" spans="1:12" x14ac:dyDescent="0.25">
      <c r="A40" s="71">
        <v>14700</v>
      </c>
      <c r="B40" s="71">
        <v>2007</v>
      </c>
      <c r="C40" s="71" t="s">
        <v>2131</v>
      </c>
      <c r="D40" s="484" t="s">
        <v>3477</v>
      </c>
      <c r="E40" s="71" t="s">
        <v>468</v>
      </c>
      <c r="F40" s="71" t="s">
        <v>174</v>
      </c>
      <c r="G40" s="70" t="s">
        <v>2108</v>
      </c>
      <c r="H40" s="70" t="s">
        <v>2108</v>
      </c>
      <c r="I40" s="363">
        <v>1</v>
      </c>
      <c r="J40" s="64"/>
      <c r="K40" s="64"/>
      <c r="L40" s="64"/>
    </row>
    <row r="41" spans="1:12" x14ac:dyDescent="0.25">
      <c r="A41" s="71">
        <v>14900</v>
      </c>
      <c r="B41" s="71">
        <v>2007</v>
      </c>
      <c r="C41" s="71" t="s">
        <v>2130</v>
      </c>
      <c r="D41" s="484" t="s">
        <v>3477</v>
      </c>
      <c r="E41" s="71" t="s">
        <v>468</v>
      </c>
      <c r="F41" s="71" t="s">
        <v>174</v>
      </c>
      <c r="G41" s="70" t="s">
        <v>2108</v>
      </c>
      <c r="H41" s="70" t="s">
        <v>2108</v>
      </c>
      <c r="I41" s="363">
        <v>1</v>
      </c>
      <c r="J41" s="64"/>
      <c r="K41" s="64"/>
      <c r="L41" s="64"/>
    </row>
    <row r="42" spans="1:12" x14ac:dyDescent="0.25">
      <c r="A42" s="71">
        <v>14910</v>
      </c>
      <c r="B42" s="71">
        <v>2007</v>
      </c>
      <c r="C42" s="71" t="s">
        <v>2129</v>
      </c>
      <c r="D42" s="484" t="s">
        <v>3477</v>
      </c>
      <c r="E42" s="71" t="s">
        <v>468</v>
      </c>
      <c r="F42" s="71" t="s">
        <v>174</v>
      </c>
      <c r="G42" s="70" t="s">
        <v>2108</v>
      </c>
      <c r="H42" s="70" t="s">
        <v>2108</v>
      </c>
      <c r="I42" s="363">
        <v>1</v>
      </c>
      <c r="J42" s="64"/>
      <c r="K42" s="64"/>
      <c r="L42" s="64"/>
    </row>
    <row r="43" spans="1:12" x14ac:dyDescent="0.25">
      <c r="A43" s="71">
        <v>14920</v>
      </c>
      <c r="B43" s="71">
        <v>2007</v>
      </c>
      <c r="C43" s="71" t="s">
        <v>2128</v>
      </c>
      <c r="D43" s="484" t="s">
        <v>3477</v>
      </c>
      <c r="E43" s="71" t="s">
        <v>468</v>
      </c>
      <c r="F43" s="71" t="s">
        <v>174</v>
      </c>
      <c r="G43" s="70" t="s">
        <v>2108</v>
      </c>
      <c r="H43" s="70" t="s">
        <v>2108</v>
      </c>
      <c r="I43" s="363">
        <v>1</v>
      </c>
      <c r="J43" s="64"/>
      <c r="K43" s="64"/>
      <c r="L43" s="64"/>
    </row>
    <row r="44" spans="1:12" x14ac:dyDescent="0.25">
      <c r="A44" s="71">
        <v>14930</v>
      </c>
      <c r="B44" s="71">
        <v>2007</v>
      </c>
      <c r="C44" s="71" t="s">
        <v>2127</v>
      </c>
      <c r="D44" s="484" t="s">
        <v>3477</v>
      </c>
      <c r="E44" s="71" t="s">
        <v>468</v>
      </c>
      <c r="F44" s="71" t="s">
        <v>174</v>
      </c>
      <c r="G44" s="70" t="s">
        <v>2108</v>
      </c>
      <c r="H44" s="70" t="s">
        <v>2108</v>
      </c>
      <c r="I44" s="363">
        <v>1</v>
      </c>
      <c r="J44" s="64"/>
      <c r="K44" s="64"/>
      <c r="L44" s="64"/>
    </row>
    <row r="45" spans="1:12" x14ac:dyDescent="0.25">
      <c r="A45" s="71">
        <v>14940</v>
      </c>
      <c r="B45" s="71">
        <v>2007</v>
      </c>
      <c r="C45" s="71" t="s">
        <v>2126</v>
      </c>
      <c r="D45" s="484" t="s">
        <v>3477</v>
      </c>
      <c r="E45" s="71" t="s">
        <v>468</v>
      </c>
      <c r="F45" s="71" t="s">
        <v>174</v>
      </c>
      <c r="G45" s="70" t="s">
        <v>2108</v>
      </c>
      <c r="H45" s="70" t="s">
        <v>2108</v>
      </c>
      <c r="I45" s="363">
        <v>1</v>
      </c>
      <c r="J45" s="64"/>
      <c r="K45" s="64"/>
      <c r="L45" s="64"/>
    </row>
    <row r="46" spans="1:12" x14ac:dyDescent="0.25">
      <c r="A46" s="71">
        <v>14990</v>
      </c>
      <c r="B46" s="71">
        <v>2007</v>
      </c>
      <c r="C46" s="71" t="s">
        <v>2125</v>
      </c>
      <c r="D46" s="484" t="s">
        <v>3477</v>
      </c>
      <c r="E46" s="71" t="s">
        <v>468</v>
      </c>
      <c r="F46" s="71" t="s">
        <v>174</v>
      </c>
      <c r="G46" s="70" t="s">
        <v>2108</v>
      </c>
      <c r="H46" s="70" t="s">
        <v>2108</v>
      </c>
      <c r="I46" s="363">
        <v>1</v>
      </c>
      <c r="J46" s="64"/>
      <c r="K46" s="64"/>
      <c r="L46" s="64"/>
    </row>
    <row r="47" spans="1:12" x14ac:dyDescent="0.25">
      <c r="A47" s="71">
        <v>15000</v>
      </c>
      <c r="B47" s="71">
        <v>2007</v>
      </c>
      <c r="C47" s="71" t="s">
        <v>2124</v>
      </c>
      <c r="D47" s="484" t="s">
        <v>3477</v>
      </c>
      <c r="E47" s="71" t="s">
        <v>468</v>
      </c>
      <c r="F47" s="71" t="s">
        <v>174</v>
      </c>
      <c r="G47" s="70" t="s">
        <v>2108</v>
      </c>
      <c r="H47" s="70" t="s">
        <v>2108</v>
      </c>
      <c r="I47" s="363">
        <v>1</v>
      </c>
      <c r="J47" s="64"/>
      <c r="K47" s="64"/>
      <c r="L47" s="64"/>
    </row>
    <row r="48" spans="1:12" x14ac:dyDescent="0.25">
      <c r="A48" s="71">
        <v>16000</v>
      </c>
      <c r="B48" s="71">
        <v>2007</v>
      </c>
      <c r="C48" s="71" t="s">
        <v>2123</v>
      </c>
      <c r="D48" s="484" t="s">
        <v>3478</v>
      </c>
      <c r="E48" s="71" t="s">
        <v>468</v>
      </c>
      <c r="F48" s="66" t="s">
        <v>307</v>
      </c>
      <c r="G48" s="70" t="s">
        <v>1411</v>
      </c>
      <c r="H48" s="70" t="s">
        <v>2108</v>
      </c>
      <c r="I48" s="363">
        <v>1</v>
      </c>
      <c r="J48" s="64"/>
      <c r="K48" s="64"/>
      <c r="L48" s="64"/>
    </row>
    <row r="49" spans="1:12" x14ac:dyDescent="0.25">
      <c r="A49" s="71">
        <v>16100</v>
      </c>
      <c r="B49" s="71">
        <v>2007</v>
      </c>
      <c r="C49" s="71" t="s">
        <v>2122</v>
      </c>
      <c r="D49" s="484" t="s">
        <v>3478</v>
      </c>
      <c r="E49" s="71" t="s">
        <v>468</v>
      </c>
      <c r="F49" s="66" t="s">
        <v>307</v>
      </c>
      <c r="G49" s="70" t="s">
        <v>1411</v>
      </c>
      <c r="H49" s="70" t="s">
        <v>2108</v>
      </c>
      <c r="I49" s="363">
        <v>1</v>
      </c>
      <c r="J49" s="64"/>
      <c r="K49" s="64"/>
      <c r="L49" s="64"/>
    </row>
    <row r="50" spans="1:12" x14ac:dyDescent="0.25">
      <c r="A50" s="71">
        <v>16200</v>
      </c>
      <c r="B50" s="71">
        <v>2007</v>
      </c>
      <c r="C50" s="71" t="s">
        <v>2121</v>
      </c>
      <c r="D50" s="484" t="s">
        <v>3478</v>
      </c>
      <c r="E50" s="71" t="s">
        <v>468</v>
      </c>
      <c r="F50" s="66" t="s">
        <v>307</v>
      </c>
      <c r="G50" s="70" t="s">
        <v>1411</v>
      </c>
      <c r="H50" s="70" t="s">
        <v>2108</v>
      </c>
      <c r="I50" s="363">
        <v>1</v>
      </c>
      <c r="J50" s="64"/>
      <c r="K50" s="64"/>
      <c r="L50" s="64"/>
    </row>
    <row r="51" spans="1:12" x14ac:dyDescent="0.25">
      <c r="A51" s="71">
        <v>16201</v>
      </c>
      <c r="B51" s="71">
        <v>2007</v>
      </c>
      <c r="C51" s="71" t="s">
        <v>2120</v>
      </c>
      <c r="D51" s="484" t="s">
        <v>3478</v>
      </c>
      <c r="E51" s="71" t="s">
        <v>468</v>
      </c>
      <c r="F51" s="66" t="s">
        <v>307</v>
      </c>
      <c r="G51" s="70" t="s">
        <v>1411</v>
      </c>
      <c r="H51" s="70" t="s">
        <v>2108</v>
      </c>
      <c r="I51" s="363">
        <v>1</v>
      </c>
      <c r="J51" s="64"/>
      <c r="K51" s="64"/>
      <c r="L51" s="64"/>
    </row>
    <row r="52" spans="1:12" x14ac:dyDescent="0.25">
      <c r="A52" s="71">
        <v>16209</v>
      </c>
      <c r="B52" s="71">
        <v>2007</v>
      </c>
      <c r="C52" s="71" t="s">
        <v>2119</v>
      </c>
      <c r="D52" s="484" t="s">
        <v>3478</v>
      </c>
      <c r="E52" s="71" t="s">
        <v>468</v>
      </c>
      <c r="F52" s="66" t="s">
        <v>307</v>
      </c>
      <c r="G52" s="70" t="s">
        <v>1411</v>
      </c>
      <c r="H52" s="70" t="s">
        <v>2108</v>
      </c>
      <c r="I52" s="363">
        <v>1</v>
      </c>
      <c r="J52" s="64"/>
      <c r="K52" s="64"/>
      <c r="L52" s="64"/>
    </row>
    <row r="53" spans="1:12" x14ac:dyDescent="0.25">
      <c r="A53" s="71">
        <v>16300</v>
      </c>
      <c r="B53" s="71">
        <v>2007</v>
      </c>
      <c r="C53" s="71" t="s">
        <v>2118</v>
      </c>
      <c r="D53" s="484" t="s">
        <v>3478</v>
      </c>
      <c r="E53" s="71" t="s">
        <v>468</v>
      </c>
      <c r="F53" s="66" t="s">
        <v>307</v>
      </c>
      <c r="G53" s="70" t="s">
        <v>1411</v>
      </c>
      <c r="H53" s="70" t="s">
        <v>2108</v>
      </c>
      <c r="I53" s="363">
        <v>1</v>
      </c>
      <c r="J53" s="64"/>
      <c r="K53" s="64"/>
      <c r="L53" s="64"/>
    </row>
    <row r="54" spans="1:12" x14ac:dyDescent="0.25">
      <c r="A54" s="71">
        <v>16400</v>
      </c>
      <c r="B54" s="71">
        <v>2007</v>
      </c>
      <c r="C54" s="71" t="s">
        <v>2117</v>
      </c>
      <c r="D54" s="484" t="s">
        <v>3478</v>
      </c>
      <c r="E54" s="71" t="s">
        <v>468</v>
      </c>
      <c r="F54" s="66" t="s">
        <v>307</v>
      </c>
      <c r="G54" s="70" t="s">
        <v>1411</v>
      </c>
      <c r="H54" s="70" t="s">
        <v>2108</v>
      </c>
      <c r="I54" s="363">
        <v>1</v>
      </c>
      <c r="J54" s="64"/>
      <c r="K54" s="64"/>
      <c r="L54" s="64"/>
    </row>
    <row r="55" spans="1:12" x14ac:dyDescent="0.25">
      <c r="A55" s="71">
        <v>16401</v>
      </c>
      <c r="B55" s="71">
        <v>2007</v>
      </c>
      <c r="C55" s="71" t="s">
        <v>2116</v>
      </c>
      <c r="D55" s="484" t="s">
        <v>3478</v>
      </c>
      <c r="E55" s="71" t="s">
        <v>468</v>
      </c>
      <c r="F55" s="66" t="s">
        <v>307</v>
      </c>
      <c r="G55" s="70" t="s">
        <v>1411</v>
      </c>
      <c r="H55" s="70" t="s">
        <v>2108</v>
      </c>
      <c r="I55" s="363">
        <v>1</v>
      </c>
      <c r="J55" s="64"/>
      <c r="K55" s="64"/>
      <c r="L55" s="64"/>
    </row>
    <row r="56" spans="1:12" x14ac:dyDescent="0.25">
      <c r="A56" s="71">
        <v>16409</v>
      </c>
      <c r="B56" s="71">
        <v>2007</v>
      </c>
      <c r="C56" s="71" t="s">
        <v>2115</v>
      </c>
      <c r="D56" s="484" t="s">
        <v>3478</v>
      </c>
      <c r="E56" s="71" t="s">
        <v>468</v>
      </c>
      <c r="F56" s="66" t="s">
        <v>307</v>
      </c>
      <c r="G56" s="70" t="s">
        <v>1411</v>
      </c>
      <c r="H56" s="70" t="s">
        <v>2108</v>
      </c>
      <c r="I56" s="363">
        <v>1</v>
      </c>
      <c r="J56" s="64"/>
      <c r="K56" s="64"/>
      <c r="L56" s="64"/>
    </row>
    <row r="57" spans="1:12" x14ac:dyDescent="0.25">
      <c r="A57" s="71">
        <v>17000</v>
      </c>
      <c r="B57" s="71">
        <v>2007</v>
      </c>
      <c r="C57" s="71" t="s">
        <v>2114</v>
      </c>
      <c r="D57" s="484" t="s">
        <v>3478</v>
      </c>
      <c r="E57" s="71" t="s">
        <v>468</v>
      </c>
      <c r="F57" s="66" t="s">
        <v>307</v>
      </c>
      <c r="G57" s="70" t="s">
        <v>1411</v>
      </c>
      <c r="H57" s="70" t="s">
        <v>2108</v>
      </c>
      <c r="I57" s="363">
        <v>1</v>
      </c>
      <c r="J57" s="64"/>
      <c r="K57" s="64"/>
      <c r="L57" s="64"/>
    </row>
    <row r="58" spans="1:12" x14ac:dyDescent="0.25">
      <c r="A58" s="71">
        <v>20000</v>
      </c>
      <c r="B58" s="71">
        <v>2007</v>
      </c>
      <c r="C58" s="71" t="s">
        <v>2113</v>
      </c>
      <c r="D58" s="484" t="s">
        <v>3478</v>
      </c>
      <c r="E58" s="71" t="s">
        <v>468</v>
      </c>
      <c r="F58" s="66" t="s">
        <v>307</v>
      </c>
      <c r="G58" s="70" t="s">
        <v>1411</v>
      </c>
      <c r="H58" s="70" t="s">
        <v>2108</v>
      </c>
      <c r="I58" s="363">
        <v>1</v>
      </c>
      <c r="J58" s="64"/>
      <c r="K58" s="64"/>
      <c r="L58" s="64"/>
    </row>
    <row r="59" spans="1:12" x14ac:dyDescent="0.25">
      <c r="A59" s="71">
        <v>21000</v>
      </c>
      <c r="B59" s="71">
        <v>2007</v>
      </c>
      <c r="C59" s="71" t="s">
        <v>2112</v>
      </c>
      <c r="D59" s="484" t="s">
        <v>3478</v>
      </c>
      <c r="E59" s="71" t="s">
        <v>468</v>
      </c>
      <c r="F59" s="66" t="s">
        <v>307</v>
      </c>
      <c r="G59" s="70" t="s">
        <v>1411</v>
      </c>
      <c r="H59" s="70" t="s">
        <v>2108</v>
      </c>
      <c r="I59" s="363">
        <v>1</v>
      </c>
      <c r="J59" s="64"/>
      <c r="K59" s="64"/>
      <c r="L59" s="64"/>
    </row>
    <row r="60" spans="1:12" x14ac:dyDescent="0.25">
      <c r="A60" s="71">
        <v>22000</v>
      </c>
      <c r="B60" s="71">
        <v>2007</v>
      </c>
      <c r="C60" s="71" t="s">
        <v>2111</v>
      </c>
      <c r="D60" s="484" t="s">
        <v>3478</v>
      </c>
      <c r="E60" s="71" t="s">
        <v>468</v>
      </c>
      <c r="F60" s="66" t="s">
        <v>307</v>
      </c>
      <c r="G60" s="70" t="s">
        <v>1411</v>
      </c>
      <c r="H60" s="70" t="s">
        <v>2108</v>
      </c>
      <c r="I60" s="363">
        <v>1</v>
      </c>
      <c r="J60" s="64"/>
      <c r="K60" s="64"/>
      <c r="L60" s="64"/>
    </row>
    <row r="61" spans="1:12" x14ac:dyDescent="0.25">
      <c r="A61" s="71">
        <v>23000</v>
      </c>
      <c r="B61" s="71">
        <v>2007</v>
      </c>
      <c r="C61" s="71" t="s">
        <v>2110</v>
      </c>
      <c r="D61" s="484" t="s">
        <v>3478</v>
      </c>
      <c r="E61" s="71" t="s">
        <v>468</v>
      </c>
      <c r="F61" s="66" t="s">
        <v>307</v>
      </c>
      <c r="G61" s="73" t="s">
        <v>1411</v>
      </c>
      <c r="H61" s="70" t="s">
        <v>2108</v>
      </c>
      <c r="I61" s="363">
        <v>1</v>
      </c>
      <c r="J61" s="64"/>
      <c r="K61" s="64"/>
      <c r="L61" s="64"/>
    </row>
    <row r="62" spans="1:12" x14ac:dyDescent="0.25">
      <c r="A62" s="71">
        <v>24000</v>
      </c>
      <c r="B62" s="71">
        <v>2007</v>
      </c>
      <c r="C62" s="71" t="s">
        <v>2109</v>
      </c>
      <c r="D62" s="484" t="s">
        <v>3478</v>
      </c>
      <c r="E62" s="71" t="s">
        <v>468</v>
      </c>
      <c r="F62" s="66" t="s">
        <v>307</v>
      </c>
      <c r="G62" s="70" t="s">
        <v>1411</v>
      </c>
      <c r="H62" s="70" t="s">
        <v>2108</v>
      </c>
      <c r="I62" s="363">
        <v>1</v>
      </c>
      <c r="J62" s="64"/>
      <c r="K62" s="64"/>
      <c r="L62" s="64"/>
    </row>
    <row r="63" spans="1:12" x14ac:dyDescent="0.25">
      <c r="A63" s="71">
        <v>30000</v>
      </c>
      <c r="B63" s="71">
        <v>2007</v>
      </c>
      <c r="C63" s="71" t="s">
        <v>2107</v>
      </c>
      <c r="D63" s="484" t="s">
        <v>3477</v>
      </c>
      <c r="E63" s="71" t="s">
        <v>468</v>
      </c>
      <c r="F63" s="65" t="s">
        <v>151</v>
      </c>
      <c r="G63" s="70" t="s">
        <v>1411</v>
      </c>
      <c r="H63" s="70" t="s">
        <v>2101</v>
      </c>
      <c r="I63" s="363">
        <v>5</v>
      </c>
      <c r="J63" s="64"/>
      <c r="K63" s="64"/>
      <c r="L63" s="64"/>
    </row>
    <row r="64" spans="1:12" x14ac:dyDescent="0.25">
      <c r="A64" s="71">
        <v>31000</v>
      </c>
      <c r="B64" s="71">
        <v>2007</v>
      </c>
      <c r="C64" s="71" t="s">
        <v>2101</v>
      </c>
      <c r="D64" s="484" t="s">
        <v>3477</v>
      </c>
      <c r="E64" s="71" t="s">
        <v>468</v>
      </c>
      <c r="F64" s="65" t="s">
        <v>151</v>
      </c>
      <c r="G64" s="70" t="s">
        <v>1411</v>
      </c>
      <c r="H64" s="70" t="s">
        <v>2101</v>
      </c>
      <c r="I64" s="363">
        <v>5</v>
      </c>
      <c r="J64" s="64"/>
      <c r="K64" s="64"/>
      <c r="L64" s="64"/>
    </row>
    <row r="65" spans="1:12" x14ac:dyDescent="0.25">
      <c r="A65" s="71">
        <v>31100</v>
      </c>
      <c r="B65" s="71">
        <v>2007</v>
      </c>
      <c r="C65" s="71" t="s">
        <v>2106</v>
      </c>
      <c r="D65" s="484" t="s">
        <v>3477</v>
      </c>
      <c r="E65" s="71" t="s">
        <v>468</v>
      </c>
      <c r="F65" s="65" t="s">
        <v>151</v>
      </c>
      <c r="G65" s="70" t="s">
        <v>1411</v>
      </c>
      <c r="H65" s="70" t="s">
        <v>2101</v>
      </c>
      <c r="I65" s="363">
        <v>5</v>
      </c>
      <c r="J65" s="64"/>
      <c r="K65" s="64"/>
      <c r="L65" s="64"/>
    </row>
    <row r="66" spans="1:12" x14ac:dyDescent="0.25">
      <c r="A66" s="71">
        <v>31200</v>
      </c>
      <c r="B66" s="71">
        <v>2007</v>
      </c>
      <c r="C66" s="71" t="s">
        <v>2105</v>
      </c>
      <c r="D66" s="484" t="s">
        <v>3477</v>
      </c>
      <c r="E66" s="71" t="s">
        <v>468</v>
      </c>
      <c r="F66" s="65" t="s">
        <v>151</v>
      </c>
      <c r="G66" s="70" t="s">
        <v>1411</v>
      </c>
      <c r="H66" s="70" t="s">
        <v>2101</v>
      </c>
      <c r="I66" s="363">
        <v>5</v>
      </c>
      <c r="J66" s="64"/>
      <c r="K66" s="64"/>
      <c r="L66" s="64"/>
    </row>
    <row r="67" spans="1:12" x14ac:dyDescent="0.25">
      <c r="A67" s="71">
        <v>32000</v>
      </c>
      <c r="B67" s="71">
        <v>2007</v>
      </c>
      <c r="C67" s="71" t="s">
        <v>2104</v>
      </c>
      <c r="D67" s="484" t="s">
        <v>3477</v>
      </c>
      <c r="E67" s="71" t="s">
        <v>468</v>
      </c>
      <c r="F67" s="65" t="s">
        <v>151</v>
      </c>
      <c r="G67" s="70" t="s">
        <v>1411</v>
      </c>
      <c r="H67" s="70" t="s">
        <v>2101</v>
      </c>
      <c r="I67" s="363">
        <v>5</v>
      </c>
      <c r="J67" s="64"/>
      <c r="K67" s="64"/>
      <c r="L67" s="64"/>
    </row>
    <row r="68" spans="1:12" x14ac:dyDescent="0.25">
      <c r="A68" s="71">
        <v>32100</v>
      </c>
      <c r="B68" s="71">
        <v>2007</v>
      </c>
      <c r="C68" s="71" t="s">
        <v>2103</v>
      </c>
      <c r="D68" s="484" t="s">
        <v>3477</v>
      </c>
      <c r="E68" s="71" t="s">
        <v>468</v>
      </c>
      <c r="F68" s="65" t="s">
        <v>151</v>
      </c>
      <c r="G68" s="70" t="s">
        <v>1411</v>
      </c>
      <c r="H68" s="70" t="s">
        <v>2101</v>
      </c>
      <c r="I68" s="363">
        <v>5</v>
      </c>
      <c r="J68" s="64"/>
      <c r="K68" s="64"/>
      <c r="L68" s="64"/>
    </row>
    <row r="69" spans="1:12" x14ac:dyDescent="0.25">
      <c r="A69" s="71">
        <v>32200</v>
      </c>
      <c r="B69" s="71">
        <v>2007</v>
      </c>
      <c r="C69" s="71" t="s">
        <v>2102</v>
      </c>
      <c r="D69" s="484" t="s">
        <v>3477</v>
      </c>
      <c r="E69" s="71" t="s">
        <v>468</v>
      </c>
      <c r="F69" s="65" t="s">
        <v>151</v>
      </c>
      <c r="G69" s="70" t="s">
        <v>1411</v>
      </c>
      <c r="H69" s="70" t="s">
        <v>2101</v>
      </c>
      <c r="I69" s="363">
        <v>5</v>
      </c>
      <c r="J69" s="64"/>
      <c r="K69" s="64"/>
      <c r="L69" s="64"/>
    </row>
    <row r="70" spans="1:12" x14ac:dyDescent="0.25">
      <c r="A70" s="71">
        <v>50000</v>
      </c>
      <c r="B70" s="71">
        <v>2007</v>
      </c>
      <c r="C70" s="71" t="s">
        <v>2100</v>
      </c>
      <c r="D70" s="71" t="s">
        <v>476</v>
      </c>
      <c r="E70" s="71" t="s">
        <v>475</v>
      </c>
      <c r="F70" s="66" t="s">
        <v>307</v>
      </c>
      <c r="G70" s="70" t="s">
        <v>1411</v>
      </c>
      <c r="H70" s="70" t="s">
        <v>1410</v>
      </c>
      <c r="I70" s="363">
        <v>4</v>
      </c>
      <c r="J70" s="64"/>
      <c r="K70" s="64"/>
      <c r="L70" s="64"/>
    </row>
    <row r="71" spans="1:12" x14ac:dyDescent="0.25">
      <c r="A71" s="71">
        <v>51000</v>
      </c>
      <c r="B71" s="71">
        <v>2007</v>
      </c>
      <c r="C71" s="71" t="s">
        <v>2099</v>
      </c>
      <c r="D71" s="71" t="s">
        <v>476</v>
      </c>
      <c r="E71" s="71" t="s">
        <v>475</v>
      </c>
      <c r="F71" s="66" t="s">
        <v>307</v>
      </c>
      <c r="G71" s="70" t="s">
        <v>1411</v>
      </c>
      <c r="H71" s="70" t="s">
        <v>1410</v>
      </c>
      <c r="I71" s="363">
        <v>4</v>
      </c>
      <c r="J71" s="64"/>
      <c r="K71" s="64"/>
      <c r="L71" s="64"/>
    </row>
    <row r="72" spans="1:12" x14ac:dyDescent="0.25">
      <c r="A72" s="71">
        <v>52000</v>
      </c>
      <c r="B72" s="71">
        <v>2007</v>
      </c>
      <c r="C72" s="71" t="s">
        <v>2098</v>
      </c>
      <c r="D72" s="71" t="s">
        <v>476</v>
      </c>
      <c r="E72" s="71" t="s">
        <v>475</v>
      </c>
      <c r="F72" s="66" t="s">
        <v>307</v>
      </c>
      <c r="G72" s="70" t="s">
        <v>1411</v>
      </c>
      <c r="H72" s="70" t="s">
        <v>1410</v>
      </c>
      <c r="I72" s="363">
        <v>4</v>
      </c>
      <c r="J72" s="64"/>
      <c r="K72" s="64"/>
      <c r="L72" s="64"/>
    </row>
    <row r="73" spans="1:12" x14ac:dyDescent="0.25">
      <c r="A73" s="71">
        <v>60000</v>
      </c>
      <c r="B73" s="71">
        <v>2007</v>
      </c>
      <c r="C73" s="71" t="s">
        <v>2097</v>
      </c>
      <c r="D73" s="71" t="s">
        <v>476</v>
      </c>
      <c r="E73" s="71" t="s">
        <v>475</v>
      </c>
      <c r="F73" s="66" t="s">
        <v>307</v>
      </c>
      <c r="G73" s="70" t="s">
        <v>1411</v>
      </c>
      <c r="H73" s="70" t="s">
        <v>1410</v>
      </c>
      <c r="I73" s="363">
        <v>4</v>
      </c>
      <c r="J73" s="64"/>
      <c r="K73" s="64"/>
      <c r="L73" s="64"/>
    </row>
    <row r="74" spans="1:12" x14ac:dyDescent="0.25">
      <c r="A74" s="71">
        <v>61000</v>
      </c>
      <c r="B74" s="71">
        <v>2007</v>
      </c>
      <c r="C74" s="71" t="s">
        <v>2096</v>
      </c>
      <c r="D74" s="71" t="s">
        <v>476</v>
      </c>
      <c r="E74" s="71" t="s">
        <v>475</v>
      </c>
      <c r="F74" s="66" t="s">
        <v>307</v>
      </c>
      <c r="G74" s="70" t="s">
        <v>1411</v>
      </c>
      <c r="H74" s="70" t="s">
        <v>1410</v>
      </c>
      <c r="I74" s="363">
        <v>4</v>
      </c>
      <c r="J74" s="64"/>
      <c r="K74" s="64"/>
      <c r="L74" s="64"/>
    </row>
    <row r="75" spans="1:12" x14ac:dyDescent="0.25">
      <c r="A75" s="71">
        <v>62000</v>
      </c>
      <c r="B75" s="71">
        <v>2007</v>
      </c>
      <c r="C75" s="71" t="s">
        <v>2095</v>
      </c>
      <c r="D75" s="71" t="s">
        <v>476</v>
      </c>
      <c r="E75" s="71" t="s">
        <v>475</v>
      </c>
      <c r="F75" s="66" t="s">
        <v>307</v>
      </c>
      <c r="G75" s="70" t="s">
        <v>1411</v>
      </c>
      <c r="H75" s="70" t="s">
        <v>1410</v>
      </c>
      <c r="I75" s="363">
        <v>4</v>
      </c>
      <c r="J75" s="64"/>
      <c r="K75" s="64"/>
      <c r="L75" s="64"/>
    </row>
    <row r="76" spans="1:12" x14ac:dyDescent="0.25">
      <c r="A76" s="71">
        <v>70000</v>
      </c>
      <c r="B76" s="71">
        <v>2007</v>
      </c>
      <c r="C76" s="71" t="s">
        <v>2094</v>
      </c>
      <c r="D76" s="71" t="s">
        <v>476</v>
      </c>
      <c r="E76" s="71" t="s">
        <v>475</v>
      </c>
      <c r="F76" s="66" t="s">
        <v>307</v>
      </c>
      <c r="G76" s="70" t="s">
        <v>1411</v>
      </c>
      <c r="H76" s="70" t="s">
        <v>1410</v>
      </c>
      <c r="I76" s="363">
        <v>4</v>
      </c>
      <c r="J76" s="64"/>
      <c r="K76" s="64"/>
      <c r="L76" s="64"/>
    </row>
    <row r="77" spans="1:12" x14ac:dyDescent="0.25">
      <c r="A77" s="71">
        <v>71000</v>
      </c>
      <c r="B77" s="71">
        <v>2007</v>
      </c>
      <c r="C77" s="71" t="s">
        <v>2093</v>
      </c>
      <c r="D77" s="71" t="s">
        <v>476</v>
      </c>
      <c r="E77" s="71" t="s">
        <v>475</v>
      </c>
      <c r="F77" s="66" t="s">
        <v>307</v>
      </c>
      <c r="G77" s="70" t="s">
        <v>1411</v>
      </c>
      <c r="H77" s="70" t="s">
        <v>1410</v>
      </c>
      <c r="I77" s="363">
        <v>4</v>
      </c>
      <c r="J77" s="64"/>
      <c r="K77" s="64"/>
      <c r="L77" s="64"/>
    </row>
    <row r="78" spans="1:12" x14ac:dyDescent="0.25">
      <c r="A78" s="71">
        <v>72000</v>
      </c>
      <c r="B78" s="71">
        <v>2007</v>
      </c>
      <c r="C78" s="71" t="s">
        <v>2092</v>
      </c>
      <c r="D78" s="71" t="s">
        <v>476</v>
      </c>
      <c r="E78" s="71" t="s">
        <v>475</v>
      </c>
      <c r="F78" s="66" t="s">
        <v>307</v>
      </c>
      <c r="G78" s="70" t="s">
        <v>1411</v>
      </c>
      <c r="H78" s="70" t="s">
        <v>1410</v>
      </c>
      <c r="I78" s="363">
        <v>4</v>
      </c>
      <c r="J78" s="64"/>
      <c r="K78" s="64"/>
      <c r="L78" s="64"/>
    </row>
    <row r="79" spans="1:12" x14ac:dyDescent="0.25">
      <c r="A79" s="71">
        <v>72100</v>
      </c>
      <c r="B79" s="71">
        <v>2007</v>
      </c>
      <c r="C79" s="71" t="s">
        <v>2091</v>
      </c>
      <c r="D79" s="71" t="s">
        <v>476</v>
      </c>
      <c r="E79" s="71" t="s">
        <v>475</v>
      </c>
      <c r="F79" s="66" t="s">
        <v>307</v>
      </c>
      <c r="G79" s="70" t="s">
        <v>1411</v>
      </c>
      <c r="H79" s="70" t="s">
        <v>1410</v>
      </c>
      <c r="I79" s="363">
        <v>4</v>
      </c>
      <c r="J79" s="64"/>
      <c r="K79" s="64"/>
      <c r="L79" s="64"/>
    </row>
    <row r="80" spans="1:12" x14ac:dyDescent="0.25">
      <c r="A80" s="71">
        <v>72900</v>
      </c>
      <c r="B80" s="71">
        <v>2007</v>
      </c>
      <c r="C80" s="71" t="s">
        <v>2090</v>
      </c>
      <c r="D80" s="71" t="s">
        <v>476</v>
      </c>
      <c r="E80" s="71" t="s">
        <v>475</v>
      </c>
      <c r="F80" s="66" t="s">
        <v>307</v>
      </c>
      <c r="G80" s="70" t="s">
        <v>1411</v>
      </c>
      <c r="H80" s="70" t="s">
        <v>1410</v>
      </c>
      <c r="I80" s="363">
        <v>4</v>
      </c>
      <c r="J80" s="64"/>
      <c r="K80" s="64"/>
      <c r="L80" s="64"/>
    </row>
    <row r="81" spans="1:12" x14ac:dyDescent="0.25">
      <c r="A81" s="71">
        <v>80000</v>
      </c>
      <c r="B81" s="71">
        <v>2007</v>
      </c>
      <c r="C81" s="71" t="s">
        <v>2089</v>
      </c>
      <c r="D81" s="71" t="s">
        <v>476</v>
      </c>
      <c r="E81" s="71" t="s">
        <v>475</v>
      </c>
      <c r="F81" s="66" t="s">
        <v>307</v>
      </c>
      <c r="G81" s="70" t="s">
        <v>1411</v>
      </c>
      <c r="H81" s="70" t="s">
        <v>1410</v>
      </c>
      <c r="I81" s="363">
        <v>4</v>
      </c>
      <c r="J81" s="64"/>
      <c r="K81" s="64"/>
      <c r="L81" s="64"/>
    </row>
    <row r="82" spans="1:12" x14ac:dyDescent="0.25">
      <c r="A82" s="71">
        <v>81000</v>
      </c>
      <c r="B82" s="71">
        <v>2007</v>
      </c>
      <c r="C82" s="71" t="s">
        <v>2088</v>
      </c>
      <c r="D82" s="71" t="s">
        <v>476</v>
      </c>
      <c r="E82" s="71" t="s">
        <v>475</v>
      </c>
      <c r="F82" s="66" t="s">
        <v>307</v>
      </c>
      <c r="G82" s="70" t="s">
        <v>1411</v>
      </c>
      <c r="H82" s="70" t="s">
        <v>1410</v>
      </c>
      <c r="I82" s="363">
        <v>4</v>
      </c>
      <c r="J82" s="64"/>
      <c r="K82" s="64"/>
      <c r="L82" s="64"/>
    </row>
    <row r="83" spans="1:12" x14ac:dyDescent="0.25">
      <c r="A83" s="71">
        <v>81100</v>
      </c>
      <c r="B83" s="71">
        <v>2007</v>
      </c>
      <c r="C83" s="71" t="s">
        <v>2087</v>
      </c>
      <c r="D83" s="71" t="s">
        <v>476</v>
      </c>
      <c r="E83" s="71" t="s">
        <v>475</v>
      </c>
      <c r="F83" s="66" t="s">
        <v>307</v>
      </c>
      <c r="G83" s="70" t="s">
        <v>1411</v>
      </c>
      <c r="H83" s="70" t="s">
        <v>1410</v>
      </c>
      <c r="I83" s="363">
        <v>4</v>
      </c>
      <c r="J83" s="64"/>
      <c r="K83" s="64"/>
      <c r="L83" s="64"/>
    </row>
    <row r="84" spans="1:12" x14ac:dyDescent="0.25">
      <c r="A84" s="71">
        <v>81200</v>
      </c>
      <c r="B84" s="71">
        <v>2007</v>
      </c>
      <c r="C84" s="71" t="s">
        <v>2086</v>
      </c>
      <c r="D84" s="71" t="s">
        <v>476</v>
      </c>
      <c r="E84" s="71" t="s">
        <v>475</v>
      </c>
      <c r="F84" s="66" t="s">
        <v>307</v>
      </c>
      <c r="G84" s="70" t="s">
        <v>1411</v>
      </c>
      <c r="H84" s="70" t="s">
        <v>1410</v>
      </c>
      <c r="I84" s="363">
        <v>4</v>
      </c>
      <c r="J84" s="64"/>
      <c r="K84" s="64"/>
      <c r="L84" s="64"/>
    </row>
    <row r="85" spans="1:12" x14ac:dyDescent="0.25">
      <c r="A85" s="71">
        <v>89000</v>
      </c>
      <c r="B85" s="71">
        <v>2007</v>
      </c>
      <c r="C85" s="71" t="s">
        <v>2085</v>
      </c>
      <c r="D85" s="71" t="s">
        <v>476</v>
      </c>
      <c r="E85" s="71" t="s">
        <v>475</v>
      </c>
      <c r="F85" s="66" t="s">
        <v>307</v>
      </c>
      <c r="G85" s="70" t="s">
        <v>1411</v>
      </c>
      <c r="H85" s="70" t="s">
        <v>1410</v>
      </c>
      <c r="I85" s="363">
        <v>4</v>
      </c>
      <c r="J85" s="64"/>
      <c r="K85" s="64"/>
      <c r="L85" s="64"/>
    </row>
    <row r="86" spans="1:12" x14ac:dyDescent="0.25">
      <c r="A86" s="71">
        <v>89100</v>
      </c>
      <c r="B86" s="71">
        <v>2007</v>
      </c>
      <c r="C86" s="71" t="s">
        <v>2084</v>
      </c>
      <c r="D86" s="71" t="s">
        <v>476</v>
      </c>
      <c r="E86" s="71" t="s">
        <v>475</v>
      </c>
      <c r="F86" s="66" t="s">
        <v>307</v>
      </c>
      <c r="G86" s="70" t="s">
        <v>1411</v>
      </c>
      <c r="H86" s="70" t="s">
        <v>1410</v>
      </c>
      <c r="I86" s="363">
        <v>4</v>
      </c>
      <c r="J86" s="64"/>
      <c r="K86" s="64"/>
      <c r="L86" s="64"/>
    </row>
    <row r="87" spans="1:12" x14ac:dyDescent="0.25">
      <c r="A87" s="71">
        <v>89200</v>
      </c>
      <c r="B87" s="71">
        <v>2007</v>
      </c>
      <c r="C87" s="71" t="s">
        <v>2083</v>
      </c>
      <c r="D87" s="71" t="s">
        <v>476</v>
      </c>
      <c r="E87" s="71" t="s">
        <v>475</v>
      </c>
      <c r="F87" s="66" t="s">
        <v>307</v>
      </c>
      <c r="G87" s="70" t="s">
        <v>1411</v>
      </c>
      <c r="H87" s="70" t="s">
        <v>1410</v>
      </c>
      <c r="I87" s="363">
        <v>4</v>
      </c>
      <c r="J87" s="64"/>
      <c r="K87" s="64"/>
      <c r="L87" s="64"/>
    </row>
    <row r="88" spans="1:12" x14ac:dyDescent="0.25">
      <c r="A88" s="71">
        <v>89300</v>
      </c>
      <c r="B88" s="71">
        <v>2007</v>
      </c>
      <c r="C88" s="71" t="s">
        <v>2082</v>
      </c>
      <c r="D88" s="71" t="s">
        <v>476</v>
      </c>
      <c r="E88" s="71" t="s">
        <v>475</v>
      </c>
      <c r="F88" s="66" t="s">
        <v>307</v>
      </c>
      <c r="G88" s="70" t="s">
        <v>1411</v>
      </c>
      <c r="H88" s="70" t="s">
        <v>1410</v>
      </c>
      <c r="I88" s="363">
        <v>4</v>
      </c>
      <c r="J88" s="64"/>
      <c r="K88" s="64"/>
      <c r="L88" s="64"/>
    </row>
    <row r="89" spans="1:12" x14ac:dyDescent="0.25">
      <c r="A89" s="71">
        <v>89900</v>
      </c>
      <c r="B89" s="71">
        <v>2007</v>
      </c>
      <c r="C89" s="71" t="s">
        <v>2081</v>
      </c>
      <c r="D89" s="71" t="s">
        <v>476</v>
      </c>
      <c r="E89" s="71" t="s">
        <v>475</v>
      </c>
      <c r="F89" s="66" t="s">
        <v>307</v>
      </c>
      <c r="G89" s="70" t="s">
        <v>1411</v>
      </c>
      <c r="H89" s="70" t="s">
        <v>1410</v>
      </c>
      <c r="I89" s="363">
        <v>4</v>
      </c>
      <c r="J89" s="64"/>
      <c r="K89" s="64"/>
      <c r="L89" s="64"/>
    </row>
    <row r="90" spans="1:12" x14ac:dyDescent="0.25">
      <c r="A90" s="71">
        <v>89901</v>
      </c>
      <c r="B90" s="71">
        <v>2007</v>
      </c>
      <c r="C90" s="71" t="s">
        <v>2080</v>
      </c>
      <c r="D90" s="71" t="s">
        <v>476</v>
      </c>
      <c r="E90" s="71" t="s">
        <v>475</v>
      </c>
      <c r="F90" s="66" t="s">
        <v>307</v>
      </c>
      <c r="G90" s="70" t="s">
        <v>1411</v>
      </c>
      <c r="H90" s="70" t="s">
        <v>1410</v>
      </c>
      <c r="I90" s="363">
        <v>4</v>
      </c>
      <c r="J90" s="64"/>
      <c r="K90" s="64"/>
      <c r="L90" s="64"/>
    </row>
    <row r="91" spans="1:12" x14ac:dyDescent="0.25">
      <c r="A91" s="71">
        <v>89909</v>
      </c>
      <c r="B91" s="71">
        <v>2007</v>
      </c>
      <c r="C91" s="71" t="s">
        <v>2079</v>
      </c>
      <c r="D91" s="71" t="s">
        <v>476</v>
      </c>
      <c r="E91" s="71" t="s">
        <v>475</v>
      </c>
      <c r="F91" s="66" t="s">
        <v>307</v>
      </c>
      <c r="G91" s="70" t="s">
        <v>1411</v>
      </c>
      <c r="H91" s="70" t="s">
        <v>1410</v>
      </c>
      <c r="I91" s="363">
        <v>4</v>
      </c>
      <c r="J91" s="64"/>
      <c r="K91" s="64"/>
      <c r="L91" s="64"/>
    </row>
    <row r="92" spans="1:12" x14ac:dyDescent="0.25">
      <c r="A92" s="71">
        <v>90000</v>
      </c>
      <c r="B92" s="71">
        <v>2007</v>
      </c>
      <c r="C92" s="71" t="s">
        <v>2078</v>
      </c>
      <c r="D92" s="71" t="s">
        <v>476</v>
      </c>
      <c r="E92" s="71" t="s">
        <v>475</v>
      </c>
      <c r="F92" s="66" t="s">
        <v>307</v>
      </c>
      <c r="G92" s="70" t="s">
        <v>1411</v>
      </c>
      <c r="H92" s="70" t="s">
        <v>1410</v>
      </c>
      <c r="I92" s="363">
        <v>4</v>
      </c>
      <c r="J92" s="64"/>
      <c r="K92" s="64"/>
      <c r="L92" s="64"/>
    </row>
    <row r="93" spans="1:12" x14ac:dyDescent="0.25">
      <c r="A93" s="71">
        <v>91000</v>
      </c>
      <c r="B93" s="71">
        <v>2007</v>
      </c>
      <c r="C93" s="71" t="s">
        <v>2077</v>
      </c>
      <c r="D93" s="71" t="s">
        <v>476</v>
      </c>
      <c r="E93" s="71" t="s">
        <v>475</v>
      </c>
      <c r="F93" s="66" t="s">
        <v>307</v>
      </c>
      <c r="G93" s="70" t="s">
        <v>1411</v>
      </c>
      <c r="H93" s="70" t="s">
        <v>1410</v>
      </c>
      <c r="I93" s="363">
        <v>4</v>
      </c>
      <c r="J93" s="64"/>
      <c r="K93" s="64"/>
      <c r="L93" s="64"/>
    </row>
    <row r="94" spans="1:12" x14ac:dyDescent="0.25">
      <c r="A94" s="71">
        <v>99000</v>
      </c>
      <c r="B94" s="71">
        <v>2007</v>
      </c>
      <c r="C94" s="71" t="s">
        <v>2076</v>
      </c>
      <c r="D94" s="71" t="s">
        <v>476</v>
      </c>
      <c r="E94" s="71" t="s">
        <v>475</v>
      </c>
      <c r="F94" s="66" t="s">
        <v>307</v>
      </c>
      <c r="G94" s="70" t="s">
        <v>1411</v>
      </c>
      <c r="H94" s="70" t="s">
        <v>1410</v>
      </c>
      <c r="I94" s="363">
        <v>4</v>
      </c>
      <c r="J94" s="64"/>
      <c r="K94" s="64"/>
      <c r="L94" s="64"/>
    </row>
    <row r="95" spans="1:12" x14ac:dyDescent="0.25">
      <c r="A95" s="71">
        <v>99001</v>
      </c>
      <c r="B95" s="71">
        <v>2007</v>
      </c>
      <c r="C95" s="71" t="s">
        <v>2075</v>
      </c>
      <c r="D95" s="71" t="s">
        <v>476</v>
      </c>
      <c r="E95" s="71" t="s">
        <v>475</v>
      </c>
      <c r="F95" s="66" t="s">
        <v>307</v>
      </c>
      <c r="G95" s="70" t="s">
        <v>1411</v>
      </c>
      <c r="H95" s="70" t="s">
        <v>1410</v>
      </c>
      <c r="I95" s="363">
        <v>4</v>
      </c>
      <c r="J95" s="64"/>
      <c r="K95" s="64"/>
      <c r="L95" s="64"/>
    </row>
    <row r="96" spans="1:12" x14ac:dyDescent="0.25">
      <c r="A96" s="71">
        <v>99009</v>
      </c>
      <c r="B96" s="71">
        <v>2007</v>
      </c>
      <c r="C96" s="71" t="s">
        <v>2074</v>
      </c>
      <c r="D96" s="71" t="s">
        <v>476</v>
      </c>
      <c r="E96" s="71" t="s">
        <v>475</v>
      </c>
      <c r="F96" s="66" t="s">
        <v>307</v>
      </c>
      <c r="G96" s="70" t="s">
        <v>1411</v>
      </c>
      <c r="H96" s="70" t="s">
        <v>1410</v>
      </c>
      <c r="I96" s="363">
        <v>4</v>
      </c>
      <c r="J96" s="64"/>
      <c r="K96" s="64"/>
      <c r="L96" s="64"/>
    </row>
    <row r="97" spans="1:12" x14ac:dyDescent="0.25">
      <c r="A97" s="71">
        <v>100000</v>
      </c>
      <c r="B97" s="71">
        <v>2007</v>
      </c>
      <c r="C97" s="71" t="s">
        <v>2073</v>
      </c>
      <c r="D97" s="71" t="s">
        <v>476</v>
      </c>
      <c r="E97" s="71" t="s">
        <v>1044</v>
      </c>
      <c r="F97" s="66" t="s">
        <v>307</v>
      </c>
      <c r="G97" s="70" t="s">
        <v>1411</v>
      </c>
      <c r="H97" s="70" t="s">
        <v>1410</v>
      </c>
      <c r="I97" s="363">
        <v>4</v>
      </c>
      <c r="J97" s="64"/>
      <c r="K97" s="64"/>
      <c r="L97" s="64"/>
    </row>
    <row r="98" spans="1:12" x14ac:dyDescent="0.25">
      <c r="A98" s="71">
        <v>101000</v>
      </c>
      <c r="B98" s="71">
        <v>2007</v>
      </c>
      <c r="C98" s="71" t="s">
        <v>2072</v>
      </c>
      <c r="D98" s="71" t="s">
        <v>476</v>
      </c>
      <c r="E98" s="71" t="s">
        <v>468</v>
      </c>
      <c r="F98" s="66" t="s">
        <v>307</v>
      </c>
      <c r="G98" s="70" t="s">
        <v>1411</v>
      </c>
      <c r="H98" s="70" t="s">
        <v>1410</v>
      </c>
      <c r="I98" s="363">
        <v>4</v>
      </c>
      <c r="J98" s="64"/>
      <c r="K98" s="64"/>
      <c r="L98" s="64"/>
    </row>
    <row r="99" spans="1:12" x14ac:dyDescent="0.25">
      <c r="A99" s="71">
        <v>101100</v>
      </c>
      <c r="B99" s="71">
        <v>2007</v>
      </c>
      <c r="C99" s="71" t="s">
        <v>2071</v>
      </c>
      <c r="D99" s="71" t="s">
        <v>476</v>
      </c>
      <c r="E99" s="71" t="s">
        <v>468</v>
      </c>
      <c r="F99" s="66" t="s">
        <v>307</v>
      </c>
      <c r="G99" s="70" t="s">
        <v>1411</v>
      </c>
      <c r="H99" s="70" t="s">
        <v>1410</v>
      </c>
      <c r="I99" s="363">
        <v>4</v>
      </c>
      <c r="J99" s="64"/>
      <c r="K99" s="64"/>
      <c r="L99" s="64"/>
    </row>
    <row r="100" spans="1:12" x14ac:dyDescent="0.25">
      <c r="A100" s="71">
        <v>101200</v>
      </c>
      <c r="B100" s="71">
        <v>2007</v>
      </c>
      <c r="C100" s="71" t="s">
        <v>2070</v>
      </c>
      <c r="D100" s="71" t="s">
        <v>476</v>
      </c>
      <c r="E100" s="71" t="s">
        <v>468</v>
      </c>
      <c r="F100" s="66" t="s">
        <v>307</v>
      </c>
      <c r="G100" s="70" t="s">
        <v>1411</v>
      </c>
      <c r="H100" s="70" t="s">
        <v>1410</v>
      </c>
      <c r="I100" s="363">
        <v>4</v>
      </c>
      <c r="J100" s="64"/>
      <c r="K100" s="64"/>
      <c r="L100" s="64"/>
    </row>
    <row r="101" spans="1:12" x14ac:dyDescent="0.25">
      <c r="A101" s="71">
        <v>101300</v>
      </c>
      <c r="B101" s="71">
        <v>2007</v>
      </c>
      <c r="C101" s="71" t="s">
        <v>2069</v>
      </c>
      <c r="D101" s="71" t="s">
        <v>476</v>
      </c>
      <c r="E101" s="71" t="s">
        <v>468</v>
      </c>
      <c r="F101" s="66" t="s">
        <v>307</v>
      </c>
      <c r="G101" s="70" t="s">
        <v>1411</v>
      </c>
      <c r="H101" s="70" t="s">
        <v>1410</v>
      </c>
      <c r="I101" s="363">
        <v>4</v>
      </c>
      <c r="J101" s="64"/>
      <c r="K101" s="64"/>
      <c r="L101" s="64"/>
    </row>
    <row r="102" spans="1:12" x14ac:dyDescent="0.25">
      <c r="A102" s="71">
        <v>102000</v>
      </c>
      <c r="B102" s="71">
        <v>2007</v>
      </c>
      <c r="C102" s="71" t="s">
        <v>2068</v>
      </c>
      <c r="D102" s="71" t="s">
        <v>476</v>
      </c>
      <c r="E102" s="71" t="s">
        <v>468</v>
      </c>
      <c r="F102" s="65" t="s">
        <v>151</v>
      </c>
      <c r="G102" s="70" t="s">
        <v>1411</v>
      </c>
      <c r="H102" s="70" t="s">
        <v>1410</v>
      </c>
      <c r="I102" s="363">
        <v>4</v>
      </c>
      <c r="J102" s="64"/>
      <c r="K102" s="64"/>
      <c r="L102" s="64"/>
    </row>
    <row r="103" spans="1:12" x14ac:dyDescent="0.25">
      <c r="A103" s="71">
        <v>103000</v>
      </c>
      <c r="B103" s="71">
        <v>2007</v>
      </c>
      <c r="C103" s="71" t="s">
        <v>2067</v>
      </c>
      <c r="D103" s="71" t="s">
        <v>476</v>
      </c>
      <c r="E103" s="71" t="s">
        <v>468</v>
      </c>
      <c r="F103" s="66" t="s">
        <v>307</v>
      </c>
      <c r="G103" s="70" t="s">
        <v>1411</v>
      </c>
      <c r="H103" s="70" t="s">
        <v>1410</v>
      </c>
      <c r="I103" s="363">
        <v>4</v>
      </c>
      <c r="J103" s="64"/>
      <c r="K103" s="64"/>
      <c r="L103" s="64"/>
    </row>
    <row r="104" spans="1:12" x14ac:dyDescent="0.25">
      <c r="A104" s="71">
        <v>103100</v>
      </c>
      <c r="B104" s="71">
        <v>2007</v>
      </c>
      <c r="C104" s="71" t="s">
        <v>2066</v>
      </c>
      <c r="D104" s="71" t="s">
        <v>476</v>
      </c>
      <c r="E104" s="71" t="s">
        <v>468</v>
      </c>
      <c r="F104" s="66" t="s">
        <v>307</v>
      </c>
      <c r="G104" s="70" t="s">
        <v>1411</v>
      </c>
      <c r="H104" s="70" t="s">
        <v>1410</v>
      </c>
      <c r="I104" s="363">
        <v>4</v>
      </c>
      <c r="J104" s="64"/>
      <c r="K104" s="64"/>
      <c r="L104" s="64"/>
    </row>
    <row r="105" spans="1:12" x14ac:dyDescent="0.25">
      <c r="A105" s="71">
        <v>103200</v>
      </c>
      <c r="B105" s="71">
        <v>2007</v>
      </c>
      <c r="C105" s="71" t="s">
        <v>2065</v>
      </c>
      <c r="D105" s="71" t="s">
        <v>476</v>
      </c>
      <c r="E105" s="71" t="s">
        <v>468</v>
      </c>
      <c r="F105" s="66" t="s">
        <v>307</v>
      </c>
      <c r="G105" s="70" t="s">
        <v>1411</v>
      </c>
      <c r="H105" s="70" t="s">
        <v>1410</v>
      </c>
      <c r="I105" s="363">
        <v>4</v>
      </c>
      <c r="J105" s="64"/>
      <c r="K105" s="64"/>
      <c r="L105" s="64"/>
    </row>
    <row r="106" spans="1:12" x14ac:dyDescent="0.25">
      <c r="A106" s="71">
        <v>103900</v>
      </c>
      <c r="B106" s="71">
        <v>2007</v>
      </c>
      <c r="C106" s="71" t="s">
        <v>2064</v>
      </c>
      <c r="D106" s="71" t="s">
        <v>476</v>
      </c>
      <c r="E106" s="71" t="s">
        <v>468</v>
      </c>
      <c r="F106" s="66" t="s">
        <v>307</v>
      </c>
      <c r="G106" s="70" t="s">
        <v>1411</v>
      </c>
      <c r="H106" s="70" t="s">
        <v>1410</v>
      </c>
      <c r="I106" s="363">
        <v>4</v>
      </c>
      <c r="J106" s="64"/>
      <c r="K106" s="64"/>
      <c r="L106" s="64"/>
    </row>
    <row r="107" spans="1:12" x14ac:dyDescent="0.25">
      <c r="A107" s="71">
        <v>104000</v>
      </c>
      <c r="B107" s="71">
        <v>2007</v>
      </c>
      <c r="C107" s="71" t="s">
        <v>2063</v>
      </c>
      <c r="D107" s="71" t="s">
        <v>476</v>
      </c>
      <c r="E107" s="71" t="s">
        <v>468</v>
      </c>
      <c r="F107" s="66" t="s">
        <v>307</v>
      </c>
      <c r="G107" s="70" t="s">
        <v>1411</v>
      </c>
      <c r="H107" s="70" t="s">
        <v>1410</v>
      </c>
      <c r="I107" s="363">
        <v>4</v>
      </c>
      <c r="J107" s="64"/>
      <c r="K107" s="64"/>
      <c r="L107" s="64"/>
    </row>
    <row r="108" spans="1:12" x14ac:dyDescent="0.25">
      <c r="A108" s="71">
        <v>104100</v>
      </c>
      <c r="B108" s="71">
        <v>2007</v>
      </c>
      <c r="C108" s="71" t="s">
        <v>2062</v>
      </c>
      <c r="D108" s="71" t="s">
        <v>476</v>
      </c>
      <c r="E108" s="71" t="s">
        <v>468</v>
      </c>
      <c r="F108" s="66" t="s">
        <v>307</v>
      </c>
      <c r="G108" s="70" t="s">
        <v>1411</v>
      </c>
      <c r="H108" s="70" t="s">
        <v>1410</v>
      </c>
      <c r="I108" s="363">
        <v>4</v>
      </c>
      <c r="J108" s="64"/>
      <c r="K108" s="64"/>
      <c r="L108" s="64"/>
    </row>
    <row r="109" spans="1:12" x14ac:dyDescent="0.25">
      <c r="A109" s="71">
        <v>104110</v>
      </c>
      <c r="B109" s="71">
        <v>2007</v>
      </c>
      <c r="C109" s="71" t="s">
        <v>2061</v>
      </c>
      <c r="D109" s="71" t="s">
        <v>476</v>
      </c>
      <c r="E109" s="71" t="s">
        <v>468</v>
      </c>
      <c r="F109" s="66" t="s">
        <v>307</v>
      </c>
      <c r="G109" s="70" t="s">
        <v>1411</v>
      </c>
      <c r="H109" s="70" t="s">
        <v>1410</v>
      </c>
      <c r="I109" s="363">
        <v>4</v>
      </c>
      <c r="J109" s="64"/>
      <c r="K109" s="64"/>
      <c r="L109" s="64"/>
    </row>
    <row r="110" spans="1:12" x14ac:dyDescent="0.25">
      <c r="A110" s="71">
        <v>104120</v>
      </c>
      <c r="B110" s="71">
        <v>2007</v>
      </c>
      <c r="C110" s="71" t="s">
        <v>2060</v>
      </c>
      <c r="D110" s="71" t="s">
        <v>476</v>
      </c>
      <c r="E110" s="71" t="s">
        <v>468</v>
      </c>
      <c r="F110" s="66" t="s">
        <v>307</v>
      </c>
      <c r="G110" s="70" t="s">
        <v>1411</v>
      </c>
      <c r="H110" s="70" t="s">
        <v>1410</v>
      </c>
      <c r="I110" s="363">
        <v>4</v>
      </c>
      <c r="J110" s="64"/>
      <c r="K110" s="64"/>
      <c r="L110" s="64"/>
    </row>
    <row r="111" spans="1:12" x14ac:dyDescent="0.25">
      <c r="A111" s="71">
        <v>104130</v>
      </c>
      <c r="B111" s="71">
        <v>2007</v>
      </c>
      <c r="C111" s="71" t="s">
        <v>2059</v>
      </c>
      <c r="D111" s="71" t="s">
        <v>476</v>
      </c>
      <c r="E111" s="71" t="s">
        <v>468</v>
      </c>
      <c r="F111" s="66" t="s">
        <v>307</v>
      </c>
      <c r="G111" s="70" t="s">
        <v>1411</v>
      </c>
      <c r="H111" s="70" t="s">
        <v>1410</v>
      </c>
      <c r="I111" s="363">
        <v>4</v>
      </c>
      <c r="J111" s="64"/>
      <c r="K111" s="64"/>
      <c r="L111" s="64"/>
    </row>
    <row r="112" spans="1:12" x14ac:dyDescent="0.25">
      <c r="A112" s="71">
        <v>104200</v>
      </c>
      <c r="B112" s="71">
        <v>2007</v>
      </c>
      <c r="C112" s="71" t="s">
        <v>2058</v>
      </c>
      <c r="D112" s="71" t="s">
        <v>476</v>
      </c>
      <c r="E112" s="71" t="s">
        <v>468</v>
      </c>
      <c r="F112" s="66" t="s">
        <v>307</v>
      </c>
      <c r="G112" s="70" t="s">
        <v>1411</v>
      </c>
      <c r="H112" s="70" t="s">
        <v>1410</v>
      </c>
      <c r="I112" s="363">
        <v>4</v>
      </c>
      <c r="J112" s="64"/>
      <c r="K112" s="64"/>
      <c r="L112" s="64"/>
    </row>
    <row r="113" spans="1:12" x14ac:dyDescent="0.25">
      <c r="A113" s="71">
        <v>105000</v>
      </c>
      <c r="B113" s="71">
        <v>2007</v>
      </c>
      <c r="C113" s="71" t="s">
        <v>2057</v>
      </c>
      <c r="D113" s="71" t="s">
        <v>476</v>
      </c>
      <c r="E113" s="71" t="s">
        <v>1044</v>
      </c>
      <c r="F113" s="66" t="s">
        <v>307</v>
      </c>
      <c r="G113" s="70" t="s">
        <v>1411</v>
      </c>
      <c r="H113" s="70" t="s">
        <v>1410</v>
      </c>
      <c r="I113" s="363">
        <v>4</v>
      </c>
      <c r="J113" s="64"/>
      <c r="K113" s="64"/>
      <c r="L113" s="64"/>
    </row>
    <row r="114" spans="1:12" x14ac:dyDescent="0.25">
      <c r="A114" s="71">
        <v>105100</v>
      </c>
      <c r="B114" s="71">
        <v>2007</v>
      </c>
      <c r="C114" s="71" t="s">
        <v>2056</v>
      </c>
      <c r="D114" s="71" t="s">
        <v>476</v>
      </c>
      <c r="E114" s="71" t="s">
        <v>468</v>
      </c>
      <c r="F114" s="66" t="s">
        <v>307</v>
      </c>
      <c r="G114" s="70" t="s">
        <v>1411</v>
      </c>
      <c r="H114" s="70" t="s">
        <v>1410</v>
      </c>
      <c r="I114" s="363">
        <v>4</v>
      </c>
      <c r="J114" s="64"/>
      <c r="K114" s="64"/>
      <c r="L114" s="64"/>
    </row>
    <row r="115" spans="1:12" x14ac:dyDescent="0.25">
      <c r="A115" s="71">
        <v>105110</v>
      </c>
      <c r="B115" s="71">
        <v>2007</v>
      </c>
      <c r="C115" s="71" t="s">
        <v>2055</v>
      </c>
      <c r="D115" s="71" t="s">
        <v>476</v>
      </c>
      <c r="E115" s="71" t="s">
        <v>468</v>
      </c>
      <c r="F115" s="66" t="s">
        <v>307</v>
      </c>
      <c r="G115" s="70" t="s">
        <v>1411</v>
      </c>
      <c r="H115" s="70" t="s">
        <v>1410</v>
      </c>
      <c r="I115" s="363">
        <v>4</v>
      </c>
      <c r="J115" s="64"/>
      <c r="K115" s="64"/>
      <c r="L115" s="64"/>
    </row>
    <row r="116" spans="1:12" x14ac:dyDescent="0.25">
      <c r="A116" s="71">
        <v>105120</v>
      </c>
      <c r="B116" s="71">
        <v>2007</v>
      </c>
      <c r="C116" s="71" t="s">
        <v>2054</v>
      </c>
      <c r="D116" s="71" t="s">
        <v>476</v>
      </c>
      <c r="E116" s="71" t="s">
        <v>468</v>
      </c>
      <c r="F116" s="66" t="s">
        <v>307</v>
      </c>
      <c r="G116" s="70" t="s">
        <v>1411</v>
      </c>
      <c r="H116" s="70" t="s">
        <v>1410</v>
      </c>
      <c r="I116" s="363">
        <v>4</v>
      </c>
      <c r="J116" s="64"/>
      <c r="K116" s="64"/>
      <c r="L116" s="64"/>
    </row>
    <row r="117" spans="1:12" x14ac:dyDescent="0.25">
      <c r="A117" s="71">
        <v>105200</v>
      </c>
      <c r="B117" s="71">
        <v>2007</v>
      </c>
      <c r="C117" s="71" t="s">
        <v>2053</v>
      </c>
      <c r="D117" s="71" t="s">
        <v>476</v>
      </c>
      <c r="E117" s="71" t="s">
        <v>475</v>
      </c>
      <c r="F117" s="66" t="s">
        <v>307</v>
      </c>
      <c r="G117" s="70" t="s">
        <v>1411</v>
      </c>
      <c r="H117" s="70" t="s">
        <v>1410</v>
      </c>
      <c r="I117" s="363">
        <v>4</v>
      </c>
      <c r="J117" s="64"/>
      <c r="K117" s="64"/>
      <c r="L117" s="64"/>
    </row>
    <row r="118" spans="1:12" x14ac:dyDescent="0.25">
      <c r="A118" s="71">
        <v>106000</v>
      </c>
      <c r="B118" s="71">
        <v>2007</v>
      </c>
      <c r="C118" s="71" t="s">
        <v>2052</v>
      </c>
      <c r="D118" s="71" t="s">
        <v>476</v>
      </c>
      <c r="E118" s="71" t="s">
        <v>468</v>
      </c>
      <c r="F118" s="66" t="s">
        <v>307</v>
      </c>
      <c r="G118" s="70" t="s">
        <v>1411</v>
      </c>
      <c r="H118" s="70" t="s">
        <v>1410</v>
      </c>
      <c r="I118" s="363">
        <v>4</v>
      </c>
      <c r="J118" s="64"/>
      <c r="K118" s="64"/>
      <c r="L118" s="64"/>
    </row>
    <row r="119" spans="1:12" x14ac:dyDescent="0.25">
      <c r="A119" s="71">
        <v>106100</v>
      </c>
      <c r="B119" s="71">
        <v>2007</v>
      </c>
      <c r="C119" s="71" t="s">
        <v>2051</v>
      </c>
      <c r="D119" s="71" t="s">
        <v>476</v>
      </c>
      <c r="E119" s="71" t="s">
        <v>468</v>
      </c>
      <c r="F119" s="66" t="s">
        <v>307</v>
      </c>
      <c r="G119" s="70" t="s">
        <v>1411</v>
      </c>
      <c r="H119" s="70" t="s">
        <v>1410</v>
      </c>
      <c r="I119" s="363">
        <v>4</v>
      </c>
      <c r="J119" s="64"/>
      <c r="K119" s="64"/>
      <c r="L119" s="64"/>
    </row>
    <row r="120" spans="1:12" x14ac:dyDescent="0.25">
      <c r="A120" s="71">
        <v>106110</v>
      </c>
      <c r="B120" s="71">
        <v>2007</v>
      </c>
      <c r="C120" s="71" t="s">
        <v>2050</v>
      </c>
      <c r="D120" s="71" t="s">
        <v>476</v>
      </c>
      <c r="E120" s="71" t="s">
        <v>468</v>
      </c>
      <c r="F120" s="66" t="s">
        <v>307</v>
      </c>
      <c r="G120" s="70" t="s">
        <v>1411</v>
      </c>
      <c r="H120" s="70" t="s">
        <v>1410</v>
      </c>
      <c r="I120" s="363">
        <v>4</v>
      </c>
      <c r="J120" s="64"/>
      <c r="K120" s="64"/>
      <c r="L120" s="64"/>
    </row>
    <row r="121" spans="1:12" x14ac:dyDescent="0.25">
      <c r="A121" s="71">
        <v>106120</v>
      </c>
      <c r="B121" s="71">
        <v>2007</v>
      </c>
      <c r="C121" s="71" t="s">
        <v>2049</v>
      </c>
      <c r="D121" s="71" t="s">
        <v>476</v>
      </c>
      <c r="E121" s="71" t="s">
        <v>468</v>
      </c>
      <c r="F121" s="66" t="s">
        <v>307</v>
      </c>
      <c r="G121" s="70" t="s">
        <v>1411</v>
      </c>
      <c r="H121" s="70" t="s">
        <v>1410</v>
      </c>
      <c r="I121" s="363">
        <v>4</v>
      </c>
      <c r="J121" s="64"/>
      <c r="K121" s="64"/>
      <c r="L121" s="64"/>
    </row>
    <row r="122" spans="1:12" x14ac:dyDescent="0.25">
      <c r="A122" s="71">
        <v>106130</v>
      </c>
      <c r="B122" s="71">
        <v>2007</v>
      </c>
      <c r="C122" s="71" t="s">
        <v>2048</v>
      </c>
      <c r="D122" s="71" t="s">
        <v>476</v>
      </c>
      <c r="E122" s="71" t="s">
        <v>468</v>
      </c>
      <c r="F122" s="66" t="s">
        <v>307</v>
      </c>
      <c r="G122" s="70" t="s">
        <v>1411</v>
      </c>
      <c r="H122" s="70" t="s">
        <v>1410</v>
      </c>
      <c r="I122" s="363">
        <v>4</v>
      </c>
      <c r="J122" s="64"/>
      <c r="K122" s="64"/>
      <c r="L122" s="64"/>
    </row>
    <row r="123" spans="1:12" x14ac:dyDescent="0.25">
      <c r="A123" s="71">
        <v>106140</v>
      </c>
      <c r="B123" s="71">
        <v>2007</v>
      </c>
      <c r="C123" s="71" t="s">
        <v>2047</v>
      </c>
      <c r="D123" s="71" t="s">
        <v>476</v>
      </c>
      <c r="E123" s="71" t="s">
        <v>468</v>
      </c>
      <c r="F123" s="66" t="s">
        <v>307</v>
      </c>
      <c r="G123" s="70" t="s">
        <v>1411</v>
      </c>
      <c r="H123" s="70" t="s">
        <v>1410</v>
      </c>
      <c r="I123" s="363">
        <v>4</v>
      </c>
      <c r="J123" s="64"/>
      <c r="K123" s="64"/>
      <c r="L123" s="64"/>
    </row>
    <row r="124" spans="1:12" x14ac:dyDescent="0.25">
      <c r="A124" s="71">
        <v>106200</v>
      </c>
      <c r="B124" s="71">
        <v>2007</v>
      </c>
      <c r="C124" s="71" t="s">
        <v>2046</v>
      </c>
      <c r="D124" s="71" t="s">
        <v>476</v>
      </c>
      <c r="E124" s="71" t="s">
        <v>468</v>
      </c>
      <c r="F124" s="66" t="s">
        <v>307</v>
      </c>
      <c r="G124" s="70" t="s">
        <v>1411</v>
      </c>
      <c r="H124" s="70" t="s">
        <v>1410</v>
      </c>
      <c r="I124" s="363">
        <v>4</v>
      </c>
      <c r="J124" s="64"/>
      <c r="K124" s="64"/>
      <c r="L124" s="64"/>
    </row>
    <row r="125" spans="1:12" x14ac:dyDescent="0.25">
      <c r="A125" s="71">
        <v>107000</v>
      </c>
      <c r="B125" s="71">
        <v>2007</v>
      </c>
      <c r="C125" s="71" t="s">
        <v>2045</v>
      </c>
      <c r="D125" s="71" t="s">
        <v>476</v>
      </c>
      <c r="E125" s="71" t="s">
        <v>475</v>
      </c>
      <c r="F125" s="66" t="s">
        <v>307</v>
      </c>
      <c r="G125" s="70" t="s">
        <v>1411</v>
      </c>
      <c r="H125" s="70" t="s">
        <v>1410</v>
      </c>
      <c r="I125" s="363">
        <v>4</v>
      </c>
      <c r="J125" s="64"/>
      <c r="K125" s="64"/>
      <c r="L125" s="64"/>
    </row>
    <row r="126" spans="1:12" x14ac:dyDescent="0.25">
      <c r="A126" s="71">
        <v>107100</v>
      </c>
      <c r="B126" s="71">
        <v>2007</v>
      </c>
      <c r="C126" s="71" t="s">
        <v>2044</v>
      </c>
      <c r="D126" s="71" t="s">
        <v>476</v>
      </c>
      <c r="E126" s="71" t="s">
        <v>475</v>
      </c>
      <c r="F126" s="66" t="s">
        <v>307</v>
      </c>
      <c r="G126" s="70" t="s">
        <v>1411</v>
      </c>
      <c r="H126" s="70" t="s">
        <v>1410</v>
      </c>
      <c r="I126" s="363">
        <v>4</v>
      </c>
      <c r="J126" s="64"/>
      <c r="K126" s="64"/>
      <c r="L126" s="64"/>
    </row>
    <row r="127" spans="1:12" x14ac:dyDescent="0.25">
      <c r="A127" s="71">
        <v>107110</v>
      </c>
      <c r="B127" s="71">
        <v>2007</v>
      </c>
      <c r="C127" s="71" t="s">
        <v>2043</v>
      </c>
      <c r="D127" s="71" t="s">
        <v>476</v>
      </c>
      <c r="E127" s="71" t="s">
        <v>475</v>
      </c>
      <c r="F127" s="66" t="s">
        <v>307</v>
      </c>
      <c r="G127" s="70" t="s">
        <v>1411</v>
      </c>
      <c r="H127" s="70" t="s">
        <v>1410</v>
      </c>
      <c r="I127" s="363">
        <v>4</v>
      </c>
      <c r="J127" s="64"/>
      <c r="K127" s="64"/>
      <c r="L127" s="64"/>
    </row>
    <row r="128" spans="1:12" x14ac:dyDescent="0.25">
      <c r="A128" s="71">
        <v>107120</v>
      </c>
      <c r="B128" s="71">
        <v>2007</v>
      </c>
      <c r="C128" s="71" t="s">
        <v>2042</v>
      </c>
      <c r="D128" s="71" t="s">
        <v>476</v>
      </c>
      <c r="E128" s="71" t="s">
        <v>475</v>
      </c>
      <c r="F128" s="66" t="s">
        <v>307</v>
      </c>
      <c r="G128" s="70" t="s">
        <v>1411</v>
      </c>
      <c r="H128" s="70" t="s">
        <v>1410</v>
      </c>
      <c r="I128" s="363">
        <v>4</v>
      </c>
      <c r="J128" s="64"/>
      <c r="K128" s="64"/>
      <c r="L128" s="64"/>
    </row>
    <row r="129" spans="1:12" x14ac:dyDescent="0.25">
      <c r="A129" s="71">
        <v>107200</v>
      </c>
      <c r="B129" s="71">
        <v>2007</v>
      </c>
      <c r="C129" s="71" t="s">
        <v>2041</v>
      </c>
      <c r="D129" s="71" t="s">
        <v>476</v>
      </c>
      <c r="E129" s="71" t="s">
        <v>475</v>
      </c>
      <c r="F129" s="66" t="s">
        <v>307</v>
      </c>
      <c r="G129" s="70" t="s">
        <v>1411</v>
      </c>
      <c r="H129" s="70" t="s">
        <v>1410</v>
      </c>
      <c r="I129" s="363">
        <v>4</v>
      </c>
      <c r="J129" s="64"/>
      <c r="K129" s="64"/>
      <c r="L129" s="64"/>
    </row>
    <row r="130" spans="1:12" x14ac:dyDescent="0.25">
      <c r="A130" s="71">
        <v>107300</v>
      </c>
      <c r="B130" s="71">
        <v>2007</v>
      </c>
      <c r="C130" s="71" t="s">
        <v>2040</v>
      </c>
      <c r="D130" s="71" t="s">
        <v>476</v>
      </c>
      <c r="E130" s="71" t="s">
        <v>475</v>
      </c>
      <c r="F130" s="66" t="s">
        <v>307</v>
      </c>
      <c r="G130" s="70" t="s">
        <v>1411</v>
      </c>
      <c r="H130" s="70" t="s">
        <v>1410</v>
      </c>
      <c r="I130" s="363">
        <v>4</v>
      </c>
      <c r="J130" s="64"/>
      <c r="K130" s="64"/>
      <c r="L130" s="64"/>
    </row>
    <row r="131" spans="1:12" x14ac:dyDescent="0.25">
      <c r="A131" s="71">
        <v>108000</v>
      </c>
      <c r="B131" s="71">
        <v>2007</v>
      </c>
      <c r="C131" s="71" t="s">
        <v>2039</v>
      </c>
      <c r="D131" s="71" t="s">
        <v>476</v>
      </c>
      <c r="E131" s="71" t="s">
        <v>1044</v>
      </c>
      <c r="F131" s="66" t="s">
        <v>307</v>
      </c>
      <c r="G131" s="70" t="s">
        <v>1411</v>
      </c>
      <c r="H131" s="70" t="s">
        <v>1410</v>
      </c>
      <c r="I131" s="363">
        <v>4</v>
      </c>
      <c r="J131" s="64"/>
      <c r="K131" s="64"/>
      <c r="L131" s="64"/>
    </row>
    <row r="132" spans="1:12" x14ac:dyDescent="0.25">
      <c r="A132" s="71">
        <v>108100</v>
      </c>
      <c r="B132" s="71">
        <v>2007</v>
      </c>
      <c r="C132" s="71" t="s">
        <v>2038</v>
      </c>
      <c r="D132" s="71" t="s">
        <v>476</v>
      </c>
      <c r="E132" s="71" t="s">
        <v>468</v>
      </c>
      <c r="F132" s="66" t="s">
        <v>307</v>
      </c>
      <c r="G132" s="70" t="s">
        <v>1411</v>
      </c>
      <c r="H132" s="70" t="s">
        <v>1410</v>
      </c>
      <c r="I132" s="363">
        <v>4</v>
      </c>
      <c r="J132" s="64"/>
      <c r="K132" s="64"/>
      <c r="L132" s="64"/>
    </row>
    <row r="133" spans="1:12" x14ac:dyDescent="0.25">
      <c r="A133" s="71">
        <v>108200</v>
      </c>
      <c r="B133" s="71">
        <v>2007</v>
      </c>
      <c r="C133" s="71" t="s">
        <v>2037</v>
      </c>
      <c r="D133" s="71" t="s">
        <v>476</v>
      </c>
      <c r="E133" s="71" t="s">
        <v>1044</v>
      </c>
      <c r="F133" s="66" t="s">
        <v>307</v>
      </c>
      <c r="G133" s="70" t="s">
        <v>1411</v>
      </c>
      <c r="H133" s="70" t="s">
        <v>1410</v>
      </c>
      <c r="I133" s="363">
        <v>4</v>
      </c>
      <c r="J133" s="64"/>
      <c r="K133" s="64"/>
      <c r="L133" s="64"/>
    </row>
    <row r="134" spans="1:12" x14ac:dyDescent="0.25">
      <c r="A134" s="71">
        <v>108300</v>
      </c>
      <c r="B134" s="71">
        <v>2007</v>
      </c>
      <c r="C134" s="71" t="s">
        <v>2036</v>
      </c>
      <c r="D134" s="71" t="s">
        <v>476</v>
      </c>
      <c r="E134" s="71" t="s">
        <v>468</v>
      </c>
      <c r="F134" s="66" t="s">
        <v>307</v>
      </c>
      <c r="G134" s="70" t="s">
        <v>1411</v>
      </c>
      <c r="H134" s="70" t="s">
        <v>1410</v>
      </c>
      <c r="I134" s="363">
        <v>4</v>
      </c>
      <c r="J134" s="64"/>
      <c r="K134" s="64"/>
      <c r="L134" s="64"/>
    </row>
    <row r="135" spans="1:12" x14ac:dyDescent="0.25">
      <c r="A135" s="71">
        <v>108301</v>
      </c>
      <c r="B135" s="71">
        <v>2007</v>
      </c>
      <c r="C135" s="71" t="s">
        <v>2035</v>
      </c>
      <c r="D135" s="71" t="s">
        <v>476</v>
      </c>
      <c r="E135" s="71" t="s">
        <v>468</v>
      </c>
      <c r="F135" s="66" t="s">
        <v>307</v>
      </c>
      <c r="G135" s="70" t="s">
        <v>1411</v>
      </c>
      <c r="H135" s="70" t="s">
        <v>1410</v>
      </c>
      <c r="I135" s="363">
        <v>4</v>
      </c>
      <c r="J135" s="64"/>
      <c r="K135" s="64"/>
      <c r="L135" s="64"/>
    </row>
    <row r="136" spans="1:12" x14ac:dyDescent="0.25">
      <c r="A136" s="71">
        <v>108302</v>
      </c>
      <c r="B136" s="71">
        <v>2007</v>
      </c>
      <c r="C136" s="71" t="s">
        <v>2034</v>
      </c>
      <c r="D136" s="71" t="s">
        <v>476</v>
      </c>
      <c r="E136" s="71" t="s">
        <v>468</v>
      </c>
      <c r="F136" s="66" t="s">
        <v>307</v>
      </c>
      <c r="G136" s="70" t="s">
        <v>1411</v>
      </c>
      <c r="H136" s="70" t="s">
        <v>1410</v>
      </c>
      <c r="I136" s="363">
        <v>4</v>
      </c>
      <c r="J136" s="64"/>
      <c r="K136" s="64"/>
      <c r="L136" s="64"/>
    </row>
    <row r="137" spans="1:12" x14ac:dyDescent="0.25">
      <c r="A137" s="71">
        <v>108400</v>
      </c>
      <c r="B137" s="71">
        <v>2007</v>
      </c>
      <c r="C137" s="71" t="s">
        <v>2033</v>
      </c>
      <c r="D137" s="71" t="s">
        <v>476</v>
      </c>
      <c r="E137" s="71" t="s">
        <v>468</v>
      </c>
      <c r="F137" s="66" t="s">
        <v>307</v>
      </c>
      <c r="G137" s="70" t="s">
        <v>1411</v>
      </c>
      <c r="H137" s="70" t="s">
        <v>1410</v>
      </c>
      <c r="I137" s="363">
        <v>4</v>
      </c>
      <c r="J137" s="64"/>
      <c r="K137" s="64"/>
      <c r="L137" s="64"/>
    </row>
    <row r="138" spans="1:12" x14ac:dyDescent="0.25">
      <c r="A138" s="71">
        <v>108500</v>
      </c>
      <c r="B138" s="71">
        <v>2007</v>
      </c>
      <c r="C138" s="71" t="s">
        <v>2032</v>
      </c>
      <c r="D138" s="71" t="s">
        <v>476</v>
      </c>
      <c r="E138" s="71" t="s">
        <v>475</v>
      </c>
      <c r="F138" s="66" t="s">
        <v>307</v>
      </c>
      <c r="G138" s="70" t="s">
        <v>1411</v>
      </c>
      <c r="H138" s="70" t="s">
        <v>1410</v>
      </c>
      <c r="I138" s="363">
        <v>4</v>
      </c>
      <c r="J138" s="64"/>
      <c r="K138" s="64"/>
      <c r="L138" s="64"/>
    </row>
    <row r="139" spans="1:12" x14ac:dyDescent="0.25">
      <c r="A139" s="71">
        <v>108501</v>
      </c>
      <c r="B139" s="71">
        <v>2007</v>
      </c>
      <c r="C139" s="71" t="s">
        <v>2031</v>
      </c>
      <c r="D139" s="71" t="s">
        <v>476</v>
      </c>
      <c r="E139" s="71" t="s">
        <v>475</v>
      </c>
      <c r="F139" s="66" t="s">
        <v>307</v>
      </c>
      <c r="G139" s="70" t="s">
        <v>1411</v>
      </c>
      <c r="H139" s="70" t="s">
        <v>1410</v>
      </c>
      <c r="I139" s="363">
        <v>4</v>
      </c>
      <c r="J139" s="64"/>
      <c r="K139" s="64"/>
      <c r="L139" s="64"/>
    </row>
    <row r="140" spans="1:12" x14ac:dyDescent="0.25">
      <c r="A140" s="71">
        <v>108502</v>
      </c>
      <c r="B140" s="71">
        <v>2007</v>
      </c>
      <c r="C140" s="71" t="s">
        <v>2030</v>
      </c>
      <c r="D140" s="71" t="s">
        <v>476</v>
      </c>
      <c r="E140" s="71" t="s">
        <v>475</v>
      </c>
      <c r="F140" s="65" t="s">
        <v>151</v>
      </c>
      <c r="G140" s="70" t="s">
        <v>1411</v>
      </c>
      <c r="H140" s="70" t="s">
        <v>1410</v>
      </c>
      <c r="I140" s="363">
        <v>4</v>
      </c>
      <c r="J140" s="64"/>
      <c r="K140" s="64"/>
      <c r="L140" s="64"/>
    </row>
    <row r="141" spans="1:12" x14ac:dyDescent="0.25">
      <c r="A141" s="71">
        <v>108503</v>
      </c>
      <c r="B141" s="71">
        <v>2007</v>
      </c>
      <c r="C141" s="71" t="s">
        <v>2029</v>
      </c>
      <c r="D141" s="71" t="s">
        <v>476</v>
      </c>
      <c r="E141" s="71" t="s">
        <v>475</v>
      </c>
      <c r="F141" s="66" t="s">
        <v>307</v>
      </c>
      <c r="G141" s="70" t="s">
        <v>1411</v>
      </c>
      <c r="H141" s="70" t="s">
        <v>1410</v>
      </c>
      <c r="I141" s="363">
        <v>4</v>
      </c>
      <c r="J141" s="64"/>
      <c r="K141" s="64"/>
      <c r="L141" s="64"/>
    </row>
    <row r="142" spans="1:12" x14ac:dyDescent="0.25">
      <c r="A142" s="71">
        <v>108504</v>
      </c>
      <c r="B142" s="71">
        <v>2007</v>
      </c>
      <c r="C142" s="71" t="s">
        <v>2028</v>
      </c>
      <c r="D142" s="71" t="s">
        <v>476</v>
      </c>
      <c r="E142" s="71" t="s">
        <v>475</v>
      </c>
      <c r="F142" s="66" t="s">
        <v>307</v>
      </c>
      <c r="G142" s="70" t="s">
        <v>1411</v>
      </c>
      <c r="H142" s="70" t="s">
        <v>1410</v>
      </c>
      <c r="I142" s="363">
        <v>4</v>
      </c>
      <c r="J142" s="64"/>
      <c r="K142" s="64"/>
      <c r="L142" s="64"/>
    </row>
    <row r="143" spans="1:12" x14ac:dyDescent="0.25">
      <c r="A143" s="71">
        <v>108505</v>
      </c>
      <c r="B143" s="71">
        <v>2007</v>
      </c>
      <c r="C143" s="71" t="s">
        <v>2027</v>
      </c>
      <c r="D143" s="71" t="s">
        <v>476</v>
      </c>
      <c r="E143" s="71" t="s">
        <v>475</v>
      </c>
      <c r="F143" s="66" t="s">
        <v>307</v>
      </c>
      <c r="G143" s="70" t="s">
        <v>1411</v>
      </c>
      <c r="H143" s="70" t="s">
        <v>1410</v>
      </c>
      <c r="I143" s="363">
        <v>4</v>
      </c>
      <c r="J143" s="64"/>
      <c r="K143" s="64"/>
      <c r="L143" s="64"/>
    </row>
    <row r="144" spans="1:12" x14ac:dyDescent="0.25">
      <c r="A144" s="71">
        <v>108509</v>
      </c>
      <c r="B144" s="71">
        <v>2007</v>
      </c>
      <c r="C144" s="71" t="s">
        <v>2026</v>
      </c>
      <c r="D144" s="71" t="s">
        <v>476</v>
      </c>
      <c r="E144" s="71" t="s">
        <v>475</v>
      </c>
      <c r="F144" s="66" t="s">
        <v>307</v>
      </c>
      <c r="G144" s="70" t="s">
        <v>1411</v>
      </c>
      <c r="H144" s="70" t="s">
        <v>1410</v>
      </c>
      <c r="I144" s="363">
        <v>4</v>
      </c>
      <c r="J144" s="64"/>
      <c r="K144" s="64"/>
      <c r="L144" s="64"/>
    </row>
    <row r="145" spans="1:12" x14ac:dyDescent="0.25">
      <c r="A145" s="71">
        <v>108600</v>
      </c>
      <c r="B145" s="71">
        <v>2007</v>
      </c>
      <c r="C145" s="71" t="s">
        <v>2025</v>
      </c>
      <c r="D145" s="71" t="s">
        <v>476</v>
      </c>
      <c r="E145" s="71" t="s">
        <v>468</v>
      </c>
      <c r="F145" s="66" t="s">
        <v>307</v>
      </c>
      <c r="G145" s="70" t="s">
        <v>1411</v>
      </c>
      <c r="H145" s="70" t="s">
        <v>1410</v>
      </c>
      <c r="I145" s="363">
        <v>4</v>
      </c>
      <c r="J145" s="64"/>
      <c r="K145" s="64"/>
      <c r="L145" s="64"/>
    </row>
    <row r="146" spans="1:12" x14ac:dyDescent="0.25">
      <c r="A146" s="71">
        <v>108900</v>
      </c>
      <c r="B146" s="71">
        <v>2007</v>
      </c>
      <c r="C146" s="71" t="s">
        <v>2023</v>
      </c>
      <c r="D146" s="71" t="s">
        <v>476</v>
      </c>
      <c r="E146" s="71" t="s">
        <v>1044</v>
      </c>
      <c r="F146" s="66" t="s">
        <v>307</v>
      </c>
      <c r="G146" s="70" t="s">
        <v>1411</v>
      </c>
      <c r="H146" s="70" t="s">
        <v>1410</v>
      </c>
      <c r="I146" s="363">
        <v>4</v>
      </c>
      <c r="J146" s="64"/>
      <c r="K146" s="64"/>
      <c r="L146" s="64"/>
    </row>
    <row r="147" spans="1:12" x14ac:dyDescent="0.25">
      <c r="A147" s="71">
        <v>108901</v>
      </c>
      <c r="B147" s="71">
        <v>2007</v>
      </c>
      <c r="C147" s="71" t="s">
        <v>2024</v>
      </c>
      <c r="D147" s="71" t="s">
        <v>476</v>
      </c>
      <c r="E147" s="71" t="s">
        <v>468</v>
      </c>
      <c r="F147" s="66" t="s">
        <v>307</v>
      </c>
      <c r="G147" s="70" t="s">
        <v>1411</v>
      </c>
      <c r="H147" s="70" t="s">
        <v>1410</v>
      </c>
      <c r="I147" s="363">
        <v>4</v>
      </c>
      <c r="J147" s="64"/>
      <c r="K147" s="64"/>
      <c r="L147" s="64"/>
    </row>
    <row r="148" spans="1:12" x14ac:dyDescent="0.25">
      <c r="A148" s="71">
        <v>108909</v>
      </c>
      <c r="B148" s="71">
        <v>2007</v>
      </c>
      <c r="C148" s="71" t="s">
        <v>2023</v>
      </c>
      <c r="D148" s="71" t="s">
        <v>476</v>
      </c>
      <c r="E148" s="71" t="s">
        <v>1044</v>
      </c>
      <c r="F148" s="66" t="s">
        <v>307</v>
      </c>
      <c r="G148" s="70" t="s">
        <v>1411</v>
      </c>
      <c r="H148" s="70" t="s">
        <v>1410</v>
      </c>
      <c r="I148" s="363">
        <v>4</v>
      </c>
      <c r="J148" s="64"/>
      <c r="K148" s="64"/>
      <c r="L148" s="64"/>
    </row>
    <row r="149" spans="1:12" x14ac:dyDescent="0.25">
      <c r="A149" s="71">
        <v>109000</v>
      </c>
      <c r="B149" s="71">
        <v>2007</v>
      </c>
      <c r="C149" s="71" t="s">
        <v>2022</v>
      </c>
      <c r="D149" s="71" t="s">
        <v>476</v>
      </c>
      <c r="E149" s="71" t="s">
        <v>468</v>
      </c>
      <c r="F149" s="66" t="s">
        <v>307</v>
      </c>
      <c r="G149" s="70" t="s">
        <v>1411</v>
      </c>
      <c r="H149" s="70" t="s">
        <v>1410</v>
      </c>
      <c r="I149" s="363">
        <v>4</v>
      </c>
      <c r="J149" s="64"/>
      <c r="K149" s="64"/>
      <c r="L149" s="64"/>
    </row>
    <row r="150" spans="1:12" x14ac:dyDescent="0.25">
      <c r="A150" s="71">
        <v>109100</v>
      </c>
      <c r="B150" s="71">
        <v>2007</v>
      </c>
      <c r="C150" s="71" t="s">
        <v>2021</v>
      </c>
      <c r="D150" s="71" t="s">
        <v>476</v>
      </c>
      <c r="E150" s="71" t="s">
        <v>468</v>
      </c>
      <c r="F150" s="66" t="s">
        <v>307</v>
      </c>
      <c r="G150" s="70" t="s">
        <v>1411</v>
      </c>
      <c r="H150" s="70" t="s">
        <v>1410</v>
      </c>
      <c r="I150" s="363">
        <v>4</v>
      </c>
      <c r="J150" s="64"/>
      <c r="K150" s="64"/>
      <c r="L150" s="64"/>
    </row>
    <row r="151" spans="1:12" x14ac:dyDescent="0.25">
      <c r="A151" s="71">
        <v>109200</v>
      </c>
      <c r="B151" s="71">
        <v>2007</v>
      </c>
      <c r="C151" s="71" t="s">
        <v>2020</v>
      </c>
      <c r="D151" s="71" t="s">
        <v>476</v>
      </c>
      <c r="E151" s="71" t="s">
        <v>468</v>
      </c>
      <c r="F151" s="66" t="s">
        <v>307</v>
      </c>
      <c r="G151" s="70" t="s">
        <v>1411</v>
      </c>
      <c r="H151" s="70" t="s">
        <v>1410</v>
      </c>
      <c r="I151" s="363">
        <v>4</v>
      </c>
      <c r="J151" s="64"/>
      <c r="K151" s="64"/>
      <c r="L151" s="64"/>
    </row>
    <row r="152" spans="1:12" x14ac:dyDescent="0.25">
      <c r="A152" s="71">
        <v>110000</v>
      </c>
      <c r="B152" s="71">
        <v>2007</v>
      </c>
      <c r="C152" s="71" t="s">
        <v>2019</v>
      </c>
      <c r="D152" s="71" t="s">
        <v>476</v>
      </c>
      <c r="E152" s="71" t="s">
        <v>1044</v>
      </c>
      <c r="F152" s="66" t="s">
        <v>307</v>
      </c>
      <c r="G152" s="70" t="s">
        <v>1411</v>
      </c>
      <c r="H152" s="70" t="s">
        <v>1410</v>
      </c>
      <c r="I152" s="363">
        <v>4</v>
      </c>
      <c r="J152" s="64"/>
      <c r="K152" s="64"/>
      <c r="L152" s="64"/>
    </row>
    <row r="153" spans="1:12" x14ac:dyDescent="0.25">
      <c r="A153" s="71">
        <v>110100</v>
      </c>
      <c r="B153" s="71">
        <v>2007</v>
      </c>
      <c r="C153" s="71" t="s">
        <v>2018</v>
      </c>
      <c r="D153" s="71" t="s">
        <v>476</v>
      </c>
      <c r="E153" s="71" t="s">
        <v>475</v>
      </c>
      <c r="F153" s="66" t="s">
        <v>307</v>
      </c>
      <c r="G153" s="70" t="s">
        <v>1411</v>
      </c>
      <c r="H153" s="70" t="s">
        <v>1410</v>
      </c>
      <c r="I153" s="363">
        <v>4</v>
      </c>
      <c r="J153" s="64"/>
      <c r="K153" s="64"/>
      <c r="L153" s="64"/>
    </row>
    <row r="154" spans="1:12" x14ac:dyDescent="0.25">
      <c r="A154" s="71">
        <v>110200</v>
      </c>
      <c r="B154" s="71">
        <v>2007</v>
      </c>
      <c r="C154" s="71" t="s">
        <v>2017</v>
      </c>
      <c r="D154" s="71" t="s">
        <v>476</v>
      </c>
      <c r="E154" s="71" t="s">
        <v>468</v>
      </c>
      <c r="F154" s="66" t="s">
        <v>307</v>
      </c>
      <c r="G154" s="70" t="s">
        <v>1411</v>
      </c>
      <c r="H154" s="70" t="s">
        <v>1410</v>
      </c>
      <c r="I154" s="363">
        <v>4</v>
      </c>
      <c r="J154" s="64"/>
      <c r="K154" s="64"/>
      <c r="L154" s="64"/>
    </row>
    <row r="155" spans="1:12" x14ac:dyDescent="0.25">
      <c r="A155" s="71">
        <v>110210</v>
      </c>
      <c r="B155" s="71">
        <v>2007</v>
      </c>
      <c r="C155" s="71" t="s">
        <v>2016</v>
      </c>
      <c r="D155" s="71" t="s">
        <v>476</v>
      </c>
      <c r="E155" s="71" t="s">
        <v>468</v>
      </c>
      <c r="F155" s="66" t="s">
        <v>307</v>
      </c>
      <c r="G155" s="70" t="s">
        <v>1411</v>
      </c>
      <c r="H155" s="70" t="s">
        <v>1410</v>
      </c>
      <c r="I155" s="363">
        <v>4</v>
      </c>
      <c r="J155" s="64"/>
      <c r="K155" s="64"/>
      <c r="L155" s="64"/>
    </row>
    <row r="156" spans="1:12" x14ac:dyDescent="0.25">
      <c r="A156" s="71">
        <v>110220</v>
      </c>
      <c r="B156" s="71">
        <v>2007</v>
      </c>
      <c r="C156" s="71" t="s">
        <v>2015</v>
      </c>
      <c r="D156" s="71" t="s">
        <v>476</v>
      </c>
      <c r="E156" s="71" t="s">
        <v>468</v>
      </c>
      <c r="F156" s="66" t="s">
        <v>307</v>
      </c>
      <c r="G156" s="70" t="s">
        <v>1411</v>
      </c>
      <c r="H156" s="70" t="s">
        <v>1410</v>
      </c>
      <c r="I156" s="363">
        <v>4</v>
      </c>
      <c r="J156" s="64"/>
      <c r="K156" s="64"/>
      <c r="L156" s="64"/>
    </row>
    <row r="157" spans="1:12" x14ac:dyDescent="0.25">
      <c r="A157" s="71">
        <v>110300</v>
      </c>
      <c r="B157" s="71">
        <v>2007</v>
      </c>
      <c r="C157" s="71" t="s">
        <v>2014</v>
      </c>
      <c r="D157" s="71" t="s">
        <v>476</v>
      </c>
      <c r="E157" s="71" t="s">
        <v>468</v>
      </c>
      <c r="F157" s="66" t="s">
        <v>307</v>
      </c>
      <c r="G157" s="70" t="s">
        <v>1411</v>
      </c>
      <c r="H157" s="70" t="s">
        <v>1410</v>
      </c>
      <c r="I157" s="363">
        <v>4</v>
      </c>
      <c r="J157" s="64"/>
      <c r="K157" s="64"/>
      <c r="L157" s="64"/>
    </row>
    <row r="158" spans="1:12" x14ac:dyDescent="0.25">
      <c r="A158" s="71">
        <v>110400</v>
      </c>
      <c r="B158" s="71">
        <v>2007</v>
      </c>
      <c r="C158" s="71" t="s">
        <v>2013</v>
      </c>
      <c r="D158" s="71" t="s">
        <v>476</v>
      </c>
      <c r="E158" s="71" t="s">
        <v>468</v>
      </c>
      <c r="F158" s="66" t="s">
        <v>307</v>
      </c>
      <c r="G158" s="70" t="s">
        <v>1411</v>
      </c>
      <c r="H158" s="70" t="s">
        <v>1410</v>
      </c>
      <c r="I158" s="363">
        <v>4</v>
      </c>
      <c r="J158" s="64"/>
      <c r="K158" s="64"/>
      <c r="L158" s="64"/>
    </row>
    <row r="159" spans="1:12" x14ac:dyDescent="0.25">
      <c r="A159" s="71">
        <v>110500</v>
      </c>
      <c r="B159" s="71">
        <v>2007</v>
      </c>
      <c r="C159" s="71" t="s">
        <v>2012</v>
      </c>
      <c r="D159" s="71" t="s">
        <v>476</v>
      </c>
      <c r="E159" s="71" t="s">
        <v>475</v>
      </c>
      <c r="F159" s="66" t="s">
        <v>307</v>
      </c>
      <c r="G159" s="70" t="s">
        <v>1411</v>
      </c>
      <c r="H159" s="70" t="s">
        <v>1410</v>
      </c>
      <c r="I159" s="363">
        <v>4</v>
      </c>
      <c r="J159" s="64"/>
      <c r="K159" s="64"/>
      <c r="L159" s="64"/>
    </row>
    <row r="160" spans="1:12" x14ac:dyDescent="0.25">
      <c r="A160" s="71">
        <v>110600</v>
      </c>
      <c r="B160" s="71">
        <v>2007</v>
      </c>
      <c r="C160" s="71" t="s">
        <v>2011</v>
      </c>
      <c r="D160" s="71" t="s">
        <v>476</v>
      </c>
      <c r="E160" s="71" t="s">
        <v>468</v>
      </c>
      <c r="F160" s="66" t="s">
        <v>307</v>
      </c>
      <c r="G160" s="70" t="s">
        <v>1411</v>
      </c>
      <c r="H160" s="70" t="s">
        <v>1410</v>
      </c>
      <c r="I160" s="363">
        <v>4</v>
      </c>
      <c r="J160" s="64"/>
      <c r="K160" s="64"/>
      <c r="L160" s="64"/>
    </row>
    <row r="161" spans="1:12" x14ac:dyDescent="0.25">
      <c r="A161" s="71">
        <v>110700</v>
      </c>
      <c r="B161" s="71">
        <v>2007</v>
      </c>
      <c r="C161" s="71" t="s">
        <v>2010</v>
      </c>
      <c r="D161" s="71" t="s">
        <v>476</v>
      </c>
      <c r="E161" s="71" t="s">
        <v>475</v>
      </c>
      <c r="F161" s="66" t="s">
        <v>307</v>
      </c>
      <c r="G161" s="70" t="s">
        <v>1411</v>
      </c>
      <c r="H161" s="70" t="s">
        <v>1410</v>
      </c>
      <c r="I161" s="363">
        <v>4</v>
      </c>
      <c r="J161" s="64"/>
      <c r="K161" s="64"/>
      <c r="L161" s="64"/>
    </row>
    <row r="162" spans="1:12" x14ac:dyDescent="0.25">
      <c r="A162" s="71">
        <v>120000</v>
      </c>
      <c r="B162" s="71">
        <v>2007</v>
      </c>
      <c r="C162" s="71" t="s">
        <v>2009</v>
      </c>
      <c r="D162" s="71" t="s">
        <v>476</v>
      </c>
      <c r="E162" s="71" t="s">
        <v>475</v>
      </c>
      <c r="F162" s="66" t="s">
        <v>307</v>
      </c>
      <c r="G162" s="70" t="s">
        <v>1411</v>
      </c>
      <c r="H162" s="70" t="s">
        <v>1410</v>
      </c>
      <c r="I162" s="363">
        <v>4</v>
      </c>
      <c r="J162" s="64"/>
      <c r="K162" s="64"/>
      <c r="L162" s="64"/>
    </row>
    <row r="163" spans="1:12" x14ac:dyDescent="0.25">
      <c r="A163" s="71">
        <v>130000</v>
      </c>
      <c r="B163" s="71">
        <v>2007</v>
      </c>
      <c r="C163" s="71" t="s">
        <v>2008</v>
      </c>
      <c r="D163" s="71" t="s">
        <v>476</v>
      </c>
      <c r="E163" s="71" t="s">
        <v>475</v>
      </c>
      <c r="F163" s="66" t="s">
        <v>307</v>
      </c>
      <c r="G163" s="70" t="s">
        <v>1411</v>
      </c>
      <c r="H163" s="70" t="s">
        <v>1410</v>
      </c>
      <c r="I163" s="363">
        <v>4</v>
      </c>
      <c r="J163" s="64"/>
      <c r="K163" s="64"/>
      <c r="L163" s="64"/>
    </row>
    <row r="164" spans="1:12" x14ac:dyDescent="0.25">
      <c r="A164" s="71">
        <v>131000</v>
      </c>
      <c r="B164" s="71">
        <v>2007</v>
      </c>
      <c r="C164" s="71" t="s">
        <v>2007</v>
      </c>
      <c r="D164" s="71" t="s">
        <v>476</v>
      </c>
      <c r="E164" s="71" t="s">
        <v>475</v>
      </c>
      <c r="F164" s="66" t="s">
        <v>307</v>
      </c>
      <c r="G164" s="70" t="s">
        <v>1411</v>
      </c>
      <c r="H164" s="70" t="s">
        <v>1410</v>
      </c>
      <c r="I164" s="363">
        <v>4</v>
      </c>
      <c r="J164" s="64"/>
      <c r="K164" s="64"/>
      <c r="L164" s="64"/>
    </row>
    <row r="165" spans="1:12" x14ac:dyDescent="0.25">
      <c r="A165" s="71">
        <v>132000</v>
      </c>
      <c r="B165" s="71">
        <v>2007</v>
      </c>
      <c r="C165" s="71" t="s">
        <v>2006</v>
      </c>
      <c r="D165" s="71" t="s">
        <v>476</v>
      </c>
      <c r="E165" s="71" t="s">
        <v>475</v>
      </c>
      <c r="F165" s="66" t="s">
        <v>307</v>
      </c>
      <c r="G165" s="70" t="s">
        <v>1411</v>
      </c>
      <c r="H165" s="70" t="s">
        <v>1410</v>
      </c>
      <c r="I165" s="363">
        <v>4</v>
      </c>
      <c r="J165" s="64"/>
      <c r="K165" s="64"/>
      <c r="L165" s="64"/>
    </row>
    <row r="166" spans="1:12" x14ac:dyDescent="0.25">
      <c r="A166" s="71">
        <v>133000</v>
      </c>
      <c r="B166" s="71">
        <v>2007</v>
      </c>
      <c r="C166" s="71" t="s">
        <v>2005</v>
      </c>
      <c r="D166" s="71" t="s">
        <v>476</v>
      </c>
      <c r="E166" s="71" t="s">
        <v>475</v>
      </c>
      <c r="F166" s="66" t="s">
        <v>307</v>
      </c>
      <c r="G166" s="70" t="s">
        <v>1411</v>
      </c>
      <c r="H166" s="70" t="s">
        <v>1410</v>
      </c>
      <c r="I166" s="363">
        <v>4</v>
      </c>
      <c r="J166" s="64"/>
      <c r="K166" s="64"/>
      <c r="L166" s="64"/>
    </row>
    <row r="167" spans="1:12" x14ac:dyDescent="0.25">
      <c r="A167" s="71">
        <v>139000</v>
      </c>
      <c r="B167" s="71">
        <v>2007</v>
      </c>
      <c r="C167" s="71" t="s">
        <v>2004</v>
      </c>
      <c r="D167" s="71" t="s">
        <v>476</v>
      </c>
      <c r="E167" s="71" t="s">
        <v>475</v>
      </c>
      <c r="F167" s="66" t="s">
        <v>307</v>
      </c>
      <c r="G167" s="70" t="s">
        <v>1411</v>
      </c>
      <c r="H167" s="70" t="s">
        <v>1410</v>
      </c>
      <c r="I167" s="363">
        <v>4</v>
      </c>
      <c r="J167" s="64"/>
      <c r="K167" s="64"/>
      <c r="L167" s="64"/>
    </row>
    <row r="168" spans="1:12" x14ac:dyDescent="0.25">
      <c r="A168" s="71">
        <v>139100</v>
      </c>
      <c r="B168" s="71">
        <v>2007</v>
      </c>
      <c r="C168" s="71" t="s">
        <v>2003</v>
      </c>
      <c r="D168" s="71" t="s">
        <v>476</v>
      </c>
      <c r="E168" s="71" t="s">
        <v>475</v>
      </c>
      <c r="F168" s="66" t="s">
        <v>307</v>
      </c>
      <c r="G168" s="70" t="s">
        <v>1411</v>
      </c>
      <c r="H168" s="70" t="s">
        <v>1410</v>
      </c>
      <c r="I168" s="363">
        <v>4</v>
      </c>
      <c r="J168" s="64"/>
      <c r="K168" s="64"/>
      <c r="L168" s="64"/>
    </row>
    <row r="169" spans="1:12" x14ac:dyDescent="0.25">
      <c r="A169" s="71">
        <v>139200</v>
      </c>
      <c r="B169" s="71">
        <v>2007</v>
      </c>
      <c r="C169" s="71" t="s">
        <v>2002</v>
      </c>
      <c r="D169" s="71" t="s">
        <v>476</v>
      </c>
      <c r="E169" s="71" t="s">
        <v>475</v>
      </c>
      <c r="F169" s="66" t="s">
        <v>307</v>
      </c>
      <c r="G169" s="70" t="s">
        <v>1411</v>
      </c>
      <c r="H169" s="70" t="s">
        <v>1410</v>
      </c>
      <c r="I169" s="363">
        <v>4</v>
      </c>
      <c r="J169" s="64"/>
      <c r="K169" s="64"/>
      <c r="L169" s="64"/>
    </row>
    <row r="170" spans="1:12" x14ac:dyDescent="0.25">
      <c r="A170" s="71">
        <v>139210</v>
      </c>
      <c r="B170" s="71">
        <v>2007</v>
      </c>
      <c r="C170" s="71" t="s">
        <v>2001</v>
      </c>
      <c r="D170" s="71" t="s">
        <v>476</v>
      </c>
      <c r="E170" s="71" t="s">
        <v>475</v>
      </c>
      <c r="F170" s="66" t="s">
        <v>307</v>
      </c>
      <c r="G170" s="70" t="s">
        <v>1411</v>
      </c>
      <c r="H170" s="70" t="s">
        <v>1410</v>
      </c>
      <c r="I170" s="363">
        <v>4</v>
      </c>
      <c r="J170" s="64"/>
      <c r="K170" s="64"/>
      <c r="L170" s="64"/>
    </row>
    <row r="171" spans="1:12" x14ac:dyDescent="0.25">
      <c r="A171" s="71">
        <v>139220</v>
      </c>
      <c r="B171" s="71">
        <v>2007</v>
      </c>
      <c r="C171" s="71" t="s">
        <v>2000</v>
      </c>
      <c r="D171" s="71" t="s">
        <v>476</v>
      </c>
      <c r="E171" s="71" t="s">
        <v>475</v>
      </c>
      <c r="F171" s="66" t="s">
        <v>307</v>
      </c>
      <c r="G171" s="70" t="s">
        <v>1411</v>
      </c>
      <c r="H171" s="70" t="s">
        <v>1410</v>
      </c>
      <c r="I171" s="363">
        <v>4</v>
      </c>
      <c r="J171" s="64"/>
      <c r="K171" s="64"/>
      <c r="L171" s="64"/>
    </row>
    <row r="172" spans="1:12" x14ac:dyDescent="0.25">
      <c r="A172" s="71">
        <v>139300</v>
      </c>
      <c r="B172" s="71">
        <v>2007</v>
      </c>
      <c r="C172" s="71" t="s">
        <v>1999</v>
      </c>
      <c r="D172" s="71" t="s">
        <v>476</v>
      </c>
      <c r="E172" s="71" t="s">
        <v>475</v>
      </c>
      <c r="F172" s="66" t="s">
        <v>307</v>
      </c>
      <c r="G172" s="70" t="s">
        <v>1411</v>
      </c>
      <c r="H172" s="70" t="s">
        <v>1410</v>
      </c>
      <c r="I172" s="363">
        <v>4</v>
      </c>
      <c r="J172" s="64"/>
      <c r="K172" s="64"/>
      <c r="L172" s="64"/>
    </row>
    <row r="173" spans="1:12" x14ac:dyDescent="0.25">
      <c r="A173" s="71">
        <v>139400</v>
      </c>
      <c r="B173" s="71">
        <v>2007</v>
      </c>
      <c r="C173" s="71" t="s">
        <v>1998</v>
      </c>
      <c r="D173" s="71" t="s">
        <v>476</v>
      </c>
      <c r="E173" s="71" t="s">
        <v>475</v>
      </c>
      <c r="F173" s="66" t="s">
        <v>307</v>
      </c>
      <c r="G173" s="70" t="s">
        <v>1411</v>
      </c>
      <c r="H173" s="70" t="s">
        <v>1410</v>
      </c>
      <c r="I173" s="363">
        <v>4</v>
      </c>
      <c r="J173" s="64"/>
      <c r="K173" s="64"/>
      <c r="L173" s="64"/>
    </row>
    <row r="174" spans="1:12" x14ac:dyDescent="0.25">
      <c r="A174" s="71">
        <v>139500</v>
      </c>
      <c r="B174" s="71">
        <v>2007</v>
      </c>
      <c r="C174" s="71" t="s">
        <v>1997</v>
      </c>
      <c r="D174" s="71" t="s">
        <v>476</v>
      </c>
      <c r="E174" s="71" t="s">
        <v>475</v>
      </c>
      <c r="F174" s="66" t="s">
        <v>307</v>
      </c>
      <c r="G174" s="70" t="s">
        <v>1411</v>
      </c>
      <c r="H174" s="70" t="s">
        <v>1410</v>
      </c>
      <c r="I174" s="363">
        <v>4</v>
      </c>
      <c r="J174" s="64"/>
      <c r="K174" s="64"/>
      <c r="L174" s="64"/>
    </row>
    <row r="175" spans="1:12" x14ac:dyDescent="0.25">
      <c r="A175" s="71">
        <v>139600</v>
      </c>
      <c r="B175" s="71">
        <v>2007</v>
      </c>
      <c r="C175" s="71" t="s">
        <v>1996</v>
      </c>
      <c r="D175" s="71" t="s">
        <v>476</v>
      </c>
      <c r="E175" s="71" t="s">
        <v>475</v>
      </c>
      <c r="F175" s="66" t="s">
        <v>307</v>
      </c>
      <c r="G175" s="70" t="s">
        <v>1411</v>
      </c>
      <c r="H175" s="70" t="s">
        <v>1410</v>
      </c>
      <c r="I175" s="363">
        <v>4</v>
      </c>
      <c r="J175" s="64"/>
      <c r="K175" s="64"/>
      <c r="L175" s="64"/>
    </row>
    <row r="176" spans="1:12" x14ac:dyDescent="0.25">
      <c r="A176" s="71">
        <v>139610</v>
      </c>
      <c r="B176" s="71">
        <v>2007</v>
      </c>
      <c r="C176" s="71" t="s">
        <v>1995</v>
      </c>
      <c r="D176" s="71" t="s">
        <v>476</v>
      </c>
      <c r="E176" s="71" t="s">
        <v>475</v>
      </c>
      <c r="F176" s="66" t="s">
        <v>307</v>
      </c>
      <c r="G176" s="70" t="s">
        <v>1411</v>
      </c>
      <c r="H176" s="70" t="s">
        <v>1410</v>
      </c>
      <c r="I176" s="363">
        <v>4</v>
      </c>
      <c r="J176" s="64"/>
      <c r="K176" s="64"/>
      <c r="L176" s="64"/>
    </row>
    <row r="177" spans="1:12" x14ac:dyDescent="0.25">
      <c r="A177" s="71">
        <v>139620</v>
      </c>
      <c r="B177" s="71">
        <v>2007</v>
      </c>
      <c r="C177" s="71" t="s">
        <v>1994</v>
      </c>
      <c r="D177" s="71" t="s">
        <v>476</v>
      </c>
      <c r="E177" s="71" t="s">
        <v>475</v>
      </c>
      <c r="F177" s="66" t="s">
        <v>307</v>
      </c>
      <c r="G177" s="70" t="s">
        <v>1411</v>
      </c>
      <c r="H177" s="70" t="s">
        <v>1410</v>
      </c>
      <c r="I177" s="363">
        <v>4</v>
      </c>
      <c r="J177" s="64"/>
      <c r="K177" s="64"/>
      <c r="L177" s="64"/>
    </row>
    <row r="178" spans="1:12" x14ac:dyDescent="0.25">
      <c r="A178" s="71">
        <v>139900</v>
      </c>
      <c r="B178" s="71">
        <v>2007</v>
      </c>
      <c r="C178" s="71" t="s">
        <v>1993</v>
      </c>
      <c r="D178" s="71" t="s">
        <v>476</v>
      </c>
      <c r="E178" s="71" t="s">
        <v>475</v>
      </c>
      <c r="F178" s="66" t="s">
        <v>307</v>
      </c>
      <c r="G178" s="70" t="s">
        <v>1411</v>
      </c>
      <c r="H178" s="70" t="s">
        <v>1410</v>
      </c>
      <c r="I178" s="363">
        <v>4</v>
      </c>
      <c r="J178" s="64"/>
      <c r="K178" s="64"/>
      <c r="L178" s="64"/>
    </row>
    <row r="179" spans="1:12" x14ac:dyDescent="0.25">
      <c r="A179" s="71">
        <v>139910</v>
      </c>
      <c r="B179" s="71">
        <v>2007</v>
      </c>
      <c r="C179" s="71" t="s">
        <v>1992</v>
      </c>
      <c r="D179" s="71" t="s">
        <v>476</v>
      </c>
      <c r="E179" s="71" t="s">
        <v>475</v>
      </c>
      <c r="F179" s="66" t="s">
        <v>307</v>
      </c>
      <c r="G179" s="70" t="s">
        <v>1411</v>
      </c>
      <c r="H179" s="70" t="s">
        <v>1410</v>
      </c>
      <c r="I179" s="363">
        <v>4</v>
      </c>
      <c r="J179" s="64"/>
      <c r="K179" s="64"/>
      <c r="L179" s="64"/>
    </row>
    <row r="180" spans="1:12" x14ac:dyDescent="0.25">
      <c r="A180" s="71">
        <v>139920</v>
      </c>
      <c r="B180" s="71">
        <v>2007</v>
      </c>
      <c r="C180" s="71" t="s">
        <v>1991</v>
      </c>
      <c r="D180" s="71" t="s">
        <v>476</v>
      </c>
      <c r="E180" s="71" t="s">
        <v>475</v>
      </c>
      <c r="F180" s="66" t="s">
        <v>307</v>
      </c>
      <c r="G180" s="70" t="s">
        <v>1411</v>
      </c>
      <c r="H180" s="70" t="s">
        <v>1410</v>
      </c>
      <c r="I180" s="363">
        <v>4</v>
      </c>
      <c r="J180" s="64"/>
      <c r="K180" s="64"/>
      <c r="L180" s="64"/>
    </row>
    <row r="181" spans="1:12" x14ac:dyDescent="0.25">
      <c r="A181" s="71">
        <v>139990</v>
      </c>
      <c r="B181" s="71">
        <v>2007</v>
      </c>
      <c r="C181" s="71" t="s">
        <v>1990</v>
      </c>
      <c r="D181" s="71" t="s">
        <v>476</v>
      </c>
      <c r="E181" s="71" t="s">
        <v>475</v>
      </c>
      <c r="F181" s="66" t="s">
        <v>307</v>
      </c>
      <c r="G181" s="70" t="s">
        <v>1411</v>
      </c>
      <c r="H181" s="70" t="s">
        <v>1410</v>
      </c>
      <c r="I181" s="363">
        <v>4</v>
      </c>
      <c r="J181" s="64"/>
      <c r="K181" s="64"/>
      <c r="L181" s="64"/>
    </row>
    <row r="182" spans="1:12" x14ac:dyDescent="0.25">
      <c r="A182" s="71">
        <v>140000</v>
      </c>
      <c r="B182" s="71">
        <v>2007</v>
      </c>
      <c r="C182" s="71" t="s">
        <v>1989</v>
      </c>
      <c r="D182" s="71" t="s">
        <v>476</v>
      </c>
      <c r="E182" s="71" t="s">
        <v>475</v>
      </c>
      <c r="F182" s="66" t="s">
        <v>307</v>
      </c>
      <c r="G182" s="70" t="s">
        <v>1411</v>
      </c>
      <c r="H182" s="70" t="s">
        <v>1410</v>
      </c>
      <c r="I182" s="363">
        <v>4</v>
      </c>
      <c r="J182" s="64"/>
      <c r="K182" s="64"/>
      <c r="L182" s="64"/>
    </row>
    <row r="183" spans="1:12" x14ac:dyDescent="0.25">
      <c r="A183" s="71">
        <v>141000</v>
      </c>
      <c r="B183" s="71">
        <v>2007</v>
      </c>
      <c r="C183" s="71" t="s">
        <v>1988</v>
      </c>
      <c r="D183" s="71" t="s">
        <v>476</v>
      </c>
      <c r="E183" s="71" t="s">
        <v>475</v>
      </c>
      <c r="F183" s="66" t="s">
        <v>307</v>
      </c>
      <c r="G183" s="70" t="s">
        <v>1411</v>
      </c>
      <c r="H183" s="70" t="s">
        <v>1410</v>
      </c>
      <c r="I183" s="363">
        <v>4</v>
      </c>
      <c r="J183" s="64"/>
      <c r="K183" s="64"/>
      <c r="L183" s="64"/>
    </row>
    <row r="184" spans="1:12" x14ac:dyDescent="0.25">
      <c r="A184" s="71">
        <v>141100</v>
      </c>
      <c r="B184" s="71">
        <v>2007</v>
      </c>
      <c r="C184" s="71" t="s">
        <v>1987</v>
      </c>
      <c r="D184" s="71" t="s">
        <v>476</v>
      </c>
      <c r="E184" s="71" t="s">
        <v>475</v>
      </c>
      <c r="F184" s="66" t="s">
        <v>307</v>
      </c>
      <c r="G184" s="70" t="s">
        <v>1411</v>
      </c>
      <c r="H184" s="70" t="s">
        <v>1410</v>
      </c>
      <c r="I184" s="363">
        <v>4</v>
      </c>
      <c r="J184" s="64"/>
      <c r="K184" s="64"/>
      <c r="L184" s="64"/>
    </row>
    <row r="185" spans="1:12" x14ac:dyDescent="0.25">
      <c r="A185" s="71">
        <v>141200</v>
      </c>
      <c r="B185" s="71">
        <v>2007</v>
      </c>
      <c r="C185" s="71" t="s">
        <v>1986</v>
      </c>
      <c r="D185" s="71" t="s">
        <v>476</v>
      </c>
      <c r="E185" s="71" t="s">
        <v>475</v>
      </c>
      <c r="F185" s="66" t="s">
        <v>307</v>
      </c>
      <c r="G185" s="70" t="s">
        <v>1411</v>
      </c>
      <c r="H185" s="70" t="s">
        <v>1410</v>
      </c>
      <c r="I185" s="363">
        <v>4</v>
      </c>
      <c r="J185" s="64"/>
      <c r="K185" s="64"/>
      <c r="L185" s="64"/>
    </row>
    <row r="186" spans="1:12" x14ac:dyDescent="0.25">
      <c r="A186" s="71">
        <v>141300</v>
      </c>
      <c r="B186" s="71">
        <v>2007</v>
      </c>
      <c r="C186" s="71" t="s">
        <v>1985</v>
      </c>
      <c r="D186" s="71" t="s">
        <v>476</v>
      </c>
      <c r="E186" s="71" t="s">
        <v>475</v>
      </c>
      <c r="F186" s="66" t="s">
        <v>307</v>
      </c>
      <c r="G186" s="70" t="s">
        <v>1411</v>
      </c>
      <c r="H186" s="70" t="s">
        <v>1410</v>
      </c>
      <c r="I186" s="363">
        <v>4</v>
      </c>
      <c r="J186" s="64"/>
      <c r="K186" s="64"/>
      <c r="L186" s="64"/>
    </row>
    <row r="187" spans="1:12" x14ac:dyDescent="0.25">
      <c r="A187" s="71">
        <v>141310</v>
      </c>
      <c r="B187" s="71">
        <v>2007</v>
      </c>
      <c r="C187" s="71" t="s">
        <v>1984</v>
      </c>
      <c r="D187" s="71" t="s">
        <v>476</v>
      </c>
      <c r="E187" s="71" t="s">
        <v>475</v>
      </c>
      <c r="F187" s="66" t="s">
        <v>307</v>
      </c>
      <c r="G187" s="70" t="s">
        <v>1411</v>
      </c>
      <c r="H187" s="70" t="s">
        <v>1410</v>
      </c>
      <c r="I187" s="363">
        <v>4</v>
      </c>
      <c r="J187" s="64"/>
      <c r="K187" s="64"/>
      <c r="L187" s="64"/>
    </row>
    <row r="188" spans="1:12" x14ac:dyDescent="0.25">
      <c r="A188" s="71">
        <v>141320</v>
      </c>
      <c r="B188" s="71">
        <v>2007</v>
      </c>
      <c r="C188" s="71" t="s">
        <v>1983</v>
      </c>
      <c r="D188" s="71" t="s">
        <v>476</v>
      </c>
      <c r="E188" s="71" t="s">
        <v>475</v>
      </c>
      <c r="F188" s="66" t="s">
        <v>307</v>
      </c>
      <c r="G188" s="70" t="s">
        <v>1411</v>
      </c>
      <c r="H188" s="70" t="s">
        <v>1410</v>
      </c>
      <c r="I188" s="363">
        <v>4</v>
      </c>
      <c r="J188" s="64"/>
      <c r="K188" s="64"/>
      <c r="L188" s="64"/>
    </row>
    <row r="189" spans="1:12" x14ac:dyDescent="0.25">
      <c r="A189" s="71">
        <v>141400</v>
      </c>
      <c r="B189" s="71">
        <v>2007</v>
      </c>
      <c r="C189" s="71" t="s">
        <v>1982</v>
      </c>
      <c r="D189" s="71" t="s">
        <v>476</v>
      </c>
      <c r="E189" s="71" t="s">
        <v>475</v>
      </c>
      <c r="F189" s="66" t="s">
        <v>307</v>
      </c>
      <c r="G189" s="70" t="s">
        <v>1411</v>
      </c>
      <c r="H189" s="70" t="s">
        <v>1410</v>
      </c>
      <c r="I189" s="363">
        <v>4</v>
      </c>
      <c r="J189" s="64"/>
      <c r="K189" s="64"/>
      <c r="L189" s="64"/>
    </row>
    <row r="190" spans="1:12" x14ac:dyDescent="0.25">
      <c r="A190" s="71">
        <v>141900</v>
      </c>
      <c r="B190" s="71">
        <v>2007</v>
      </c>
      <c r="C190" s="71" t="s">
        <v>1981</v>
      </c>
      <c r="D190" s="71" t="s">
        <v>476</v>
      </c>
      <c r="E190" s="71" t="s">
        <v>475</v>
      </c>
      <c r="F190" s="66" t="s">
        <v>307</v>
      </c>
      <c r="G190" s="70" t="s">
        <v>1411</v>
      </c>
      <c r="H190" s="70" t="s">
        <v>1410</v>
      </c>
      <c r="I190" s="363">
        <v>4</v>
      </c>
      <c r="J190" s="64"/>
      <c r="K190" s="64"/>
      <c r="L190" s="64"/>
    </row>
    <row r="191" spans="1:12" x14ac:dyDescent="0.25">
      <c r="A191" s="71">
        <v>141910</v>
      </c>
      <c r="B191" s="71">
        <v>2007</v>
      </c>
      <c r="C191" s="71" t="s">
        <v>1980</v>
      </c>
      <c r="D191" s="71" t="s">
        <v>476</v>
      </c>
      <c r="E191" s="71" t="s">
        <v>475</v>
      </c>
      <c r="F191" s="66" t="s">
        <v>307</v>
      </c>
      <c r="G191" s="70" t="s">
        <v>1411</v>
      </c>
      <c r="H191" s="70" t="s">
        <v>1410</v>
      </c>
      <c r="I191" s="363">
        <v>4</v>
      </c>
      <c r="J191" s="64"/>
      <c r="K191" s="64"/>
      <c r="L191" s="64"/>
    </row>
    <row r="192" spans="1:12" x14ac:dyDescent="0.25">
      <c r="A192" s="71">
        <v>141920</v>
      </c>
      <c r="B192" s="71">
        <v>2007</v>
      </c>
      <c r="C192" s="71" t="s">
        <v>1979</v>
      </c>
      <c r="D192" s="71" t="s">
        <v>476</v>
      </c>
      <c r="E192" s="71" t="s">
        <v>475</v>
      </c>
      <c r="F192" s="66" t="s">
        <v>307</v>
      </c>
      <c r="G192" s="70" t="s">
        <v>1411</v>
      </c>
      <c r="H192" s="70" t="s">
        <v>1410</v>
      </c>
      <c r="I192" s="363">
        <v>4</v>
      </c>
      <c r="J192" s="64"/>
      <c r="K192" s="64"/>
      <c r="L192" s="64"/>
    </row>
    <row r="193" spans="1:12" x14ac:dyDescent="0.25">
      <c r="A193" s="71">
        <v>141921</v>
      </c>
      <c r="B193" s="71">
        <v>2007</v>
      </c>
      <c r="C193" s="71" t="s">
        <v>1978</v>
      </c>
      <c r="D193" s="71" t="s">
        <v>476</v>
      </c>
      <c r="E193" s="71" t="s">
        <v>475</v>
      </c>
      <c r="F193" s="66" t="s">
        <v>307</v>
      </c>
      <c r="G193" s="70" t="s">
        <v>1411</v>
      </c>
      <c r="H193" s="70" t="s">
        <v>1410</v>
      </c>
      <c r="I193" s="363">
        <v>4</v>
      </c>
      <c r="J193" s="64"/>
      <c r="K193" s="64"/>
      <c r="L193" s="64"/>
    </row>
    <row r="194" spans="1:12" x14ac:dyDescent="0.25">
      <c r="A194" s="71">
        <v>141929</v>
      </c>
      <c r="B194" s="71">
        <v>2007</v>
      </c>
      <c r="C194" s="71" t="s">
        <v>1977</v>
      </c>
      <c r="D194" s="71" t="s">
        <v>476</v>
      </c>
      <c r="E194" s="71" t="s">
        <v>475</v>
      </c>
      <c r="F194" s="66" t="s">
        <v>307</v>
      </c>
      <c r="G194" s="70" t="s">
        <v>1411</v>
      </c>
      <c r="H194" s="70" t="s">
        <v>1410</v>
      </c>
      <c r="I194" s="363">
        <v>4</v>
      </c>
      <c r="J194" s="64"/>
      <c r="K194" s="64"/>
      <c r="L194" s="64"/>
    </row>
    <row r="195" spans="1:12" x14ac:dyDescent="0.25">
      <c r="A195" s="71">
        <v>142000</v>
      </c>
      <c r="B195" s="71">
        <v>2007</v>
      </c>
      <c r="C195" s="71" t="s">
        <v>1976</v>
      </c>
      <c r="D195" s="71" t="s">
        <v>476</v>
      </c>
      <c r="E195" s="71" t="s">
        <v>475</v>
      </c>
      <c r="F195" s="66" t="s">
        <v>307</v>
      </c>
      <c r="G195" s="70" t="s">
        <v>1411</v>
      </c>
      <c r="H195" s="70" t="s">
        <v>1410</v>
      </c>
      <c r="I195" s="363">
        <v>4</v>
      </c>
      <c r="J195" s="64"/>
      <c r="K195" s="64"/>
      <c r="L195" s="64"/>
    </row>
    <row r="196" spans="1:12" x14ac:dyDescent="0.25">
      <c r="A196" s="71">
        <v>143000</v>
      </c>
      <c r="B196" s="71">
        <v>2007</v>
      </c>
      <c r="C196" s="71" t="s">
        <v>1975</v>
      </c>
      <c r="D196" s="71" t="s">
        <v>476</v>
      </c>
      <c r="E196" s="71" t="s">
        <v>475</v>
      </c>
      <c r="F196" s="66" t="s">
        <v>307</v>
      </c>
      <c r="G196" s="70" t="s">
        <v>1411</v>
      </c>
      <c r="H196" s="70" t="s">
        <v>1410</v>
      </c>
      <c r="I196" s="363">
        <v>4</v>
      </c>
      <c r="J196" s="64"/>
      <c r="K196" s="64"/>
      <c r="L196" s="64"/>
    </row>
    <row r="197" spans="1:12" x14ac:dyDescent="0.25">
      <c r="A197" s="71">
        <v>143100</v>
      </c>
      <c r="B197" s="71">
        <v>2007</v>
      </c>
      <c r="C197" s="71" t="s">
        <v>1974</v>
      </c>
      <c r="D197" s="71" t="s">
        <v>476</v>
      </c>
      <c r="E197" s="71" t="s">
        <v>475</v>
      </c>
      <c r="F197" s="66" t="s">
        <v>307</v>
      </c>
      <c r="G197" s="70" t="s">
        <v>1411</v>
      </c>
      <c r="H197" s="70" t="s">
        <v>1410</v>
      </c>
      <c r="I197" s="363">
        <v>4</v>
      </c>
      <c r="J197" s="64"/>
      <c r="K197" s="64"/>
      <c r="L197" s="64"/>
    </row>
    <row r="198" spans="1:12" x14ac:dyDescent="0.25">
      <c r="A198" s="71">
        <v>143900</v>
      </c>
      <c r="B198" s="71">
        <v>2007</v>
      </c>
      <c r="C198" s="71" t="s">
        <v>1973</v>
      </c>
      <c r="D198" s="71" t="s">
        <v>476</v>
      </c>
      <c r="E198" s="71" t="s">
        <v>475</v>
      </c>
      <c r="F198" s="66" t="s">
        <v>307</v>
      </c>
      <c r="G198" s="70" t="s">
        <v>1411</v>
      </c>
      <c r="H198" s="70" t="s">
        <v>1410</v>
      </c>
      <c r="I198" s="363">
        <v>4</v>
      </c>
      <c r="J198" s="64"/>
      <c r="K198" s="64"/>
      <c r="L198" s="64"/>
    </row>
    <row r="199" spans="1:12" x14ac:dyDescent="0.25">
      <c r="A199" s="71">
        <v>150000</v>
      </c>
      <c r="B199" s="71">
        <v>2007</v>
      </c>
      <c r="C199" s="71" t="s">
        <v>1972</v>
      </c>
      <c r="D199" s="71" t="s">
        <v>476</v>
      </c>
      <c r="E199" s="71" t="s">
        <v>475</v>
      </c>
      <c r="F199" s="66" t="s">
        <v>307</v>
      </c>
      <c r="G199" s="70" t="s">
        <v>1411</v>
      </c>
      <c r="H199" s="70" t="s">
        <v>1410</v>
      </c>
      <c r="I199" s="363">
        <v>4</v>
      </c>
      <c r="J199" s="64"/>
      <c r="K199" s="64"/>
      <c r="L199" s="64"/>
    </row>
    <row r="200" spans="1:12" x14ac:dyDescent="0.25">
      <c r="A200" s="71">
        <v>151000</v>
      </c>
      <c r="B200" s="71">
        <v>2007</v>
      </c>
      <c r="C200" s="71" t="s">
        <v>1971</v>
      </c>
      <c r="D200" s="71" t="s">
        <v>476</v>
      </c>
      <c r="E200" s="71" t="s">
        <v>475</v>
      </c>
      <c r="F200" s="66" t="s">
        <v>307</v>
      </c>
      <c r="G200" s="70" t="s">
        <v>1411</v>
      </c>
      <c r="H200" s="70" t="s">
        <v>1410</v>
      </c>
      <c r="I200" s="363">
        <v>4</v>
      </c>
      <c r="J200" s="64"/>
      <c r="K200" s="64"/>
      <c r="L200" s="64"/>
    </row>
    <row r="201" spans="1:12" x14ac:dyDescent="0.25">
      <c r="A201" s="71">
        <v>151100</v>
      </c>
      <c r="B201" s="71">
        <v>2007</v>
      </c>
      <c r="C201" s="71" t="s">
        <v>1970</v>
      </c>
      <c r="D201" s="71" t="s">
        <v>476</v>
      </c>
      <c r="E201" s="71" t="s">
        <v>475</v>
      </c>
      <c r="F201" s="66" t="s">
        <v>307</v>
      </c>
      <c r="G201" s="70" t="s">
        <v>1411</v>
      </c>
      <c r="H201" s="70" t="s">
        <v>1410</v>
      </c>
      <c r="I201" s="363">
        <v>4</v>
      </c>
      <c r="J201" s="64"/>
      <c r="K201" s="64"/>
      <c r="L201" s="64"/>
    </row>
    <row r="202" spans="1:12" x14ac:dyDescent="0.25">
      <c r="A202" s="71">
        <v>151200</v>
      </c>
      <c r="B202" s="71">
        <v>2007</v>
      </c>
      <c r="C202" s="71" t="s">
        <v>1969</v>
      </c>
      <c r="D202" s="71" t="s">
        <v>476</v>
      </c>
      <c r="E202" s="71" t="s">
        <v>475</v>
      </c>
      <c r="F202" s="66" t="s">
        <v>307</v>
      </c>
      <c r="G202" s="70" t="s">
        <v>1411</v>
      </c>
      <c r="H202" s="70" t="s">
        <v>1410</v>
      </c>
      <c r="I202" s="363">
        <v>4</v>
      </c>
      <c r="J202" s="64"/>
      <c r="K202" s="64"/>
      <c r="L202" s="64"/>
    </row>
    <row r="203" spans="1:12" x14ac:dyDescent="0.25">
      <c r="A203" s="71">
        <v>151201</v>
      </c>
      <c r="B203" s="71">
        <v>2007</v>
      </c>
      <c r="C203" s="71" t="s">
        <v>1968</v>
      </c>
      <c r="D203" s="71" t="s">
        <v>476</v>
      </c>
      <c r="E203" s="71" t="s">
        <v>475</v>
      </c>
      <c r="F203" s="66" t="s">
        <v>307</v>
      </c>
      <c r="G203" s="70" t="s">
        <v>1411</v>
      </c>
      <c r="H203" s="70" t="s">
        <v>1410</v>
      </c>
      <c r="I203" s="363">
        <v>4</v>
      </c>
      <c r="J203" s="64"/>
      <c r="K203" s="64"/>
      <c r="L203" s="64"/>
    </row>
    <row r="204" spans="1:12" x14ac:dyDescent="0.25">
      <c r="A204" s="71">
        <v>151209</v>
      </c>
      <c r="B204" s="71">
        <v>2007</v>
      </c>
      <c r="C204" s="71" t="s">
        <v>1967</v>
      </c>
      <c r="D204" s="71" t="s">
        <v>476</v>
      </c>
      <c r="E204" s="71" t="s">
        <v>475</v>
      </c>
      <c r="F204" s="66" t="s">
        <v>307</v>
      </c>
      <c r="G204" s="70" t="s">
        <v>1411</v>
      </c>
      <c r="H204" s="70" t="s">
        <v>1410</v>
      </c>
      <c r="I204" s="363">
        <v>4</v>
      </c>
      <c r="J204" s="64"/>
      <c r="K204" s="64"/>
      <c r="L204" s="64"/>
    </row>
    <row r="205" spans="1:12" x14ac:dyDescent="0.25">
      <c r="A205" s="71">
        <v>152000</v>
      </c>
      <c r="B205" s="71">
        <v>2007</v>
      </c>
      <c r="C205" s="71" t="s">
        <v>1966</v>
      </c>
      <c r="D205" s="71" t="s">
        <v>476</v>
      </c>
      <c r="E205" s="71" t="s">
        <v>475</v>
      </c>
      <c r="F205" s="66" t="s">
        <v>307</v>
      </c>
      <c r="G205" s="70" t="s">
        <v>1411</v>
      </c>
      <c r="H205" s="70" t="s">
        <v>1410</v>
      </c>
      <c r="I205" s="363">
        <v>4</v>
      </c>
      <c r="J205" s="64"/>
      <c r="K205" s="64"/>
      <c r="L205" s="64"/>
    </row>
    <row r="206" spans="1:12" x14ac:dyDescent="0.25">
      <c r="A206" s="71">
        <v>152010</v>
      </c>
      <c r="B206" s="71">
        <v>2007</v>
      </c>
      <c r="C206" s="71" t="s">
        <v>1965</v>
      </c>
      <c r="D206" s="71" t="s">
        <v>476</v>
      </c>
      <c r="E206" s="71" t="s">
        <v>475</v>
      </c>
      <c r="F206" s="66" t="s">
        <v>307</v>
      </c>
      <c r="G206" s="70" t="s">
        <v>1411</v>
      </c>
      <c r="H206" s="70" t="s">
        <v>1410</v>
      </c>
      <c r="I206" s="363">
        <v>4</v>
      </c>
      <c r="J206" s="64"/>
      <c r="K206" s="64"/>
      <c r="L206" s="64"/>
    </row>
    <row r="207" spans="1:12" x14ac:dyDescent="0.25">
      <c r="A207" s="71">
        <v>152020</v>
      </c>
      <c r="B207" s="71">
        <v>2007</v>
      </c>
      <c r="C207" s="71" t="s">
        <v>1964</v>
      </c>
      <c r="D207" s="71" t="s">
        <v>476</v>
      </c>
      <c r="E207" s="71" t="s">
        <v>475</v>
      </c>
      <c r="F207" s="66" t="s">
        <v>307</v>
      </c>
      <c r="G207" s="70" t="s">
        <v>1411</v>
      </c>
      <c r="H207" s="70" t="s">
        <v>1410</v>
      </c>
      <c r="I207" s="363">
        <v>4</v>
      </c>
      <c r="J207" s="64"/>
      <c r="K207" s="64"/>
      <c r="L207" s="64"/>
    </row>
    <row r="208" spans="1:12" x14ac:dyDescent="0.25">
      <c r="A208" s="71">
        <v>160000</v>
      </c>
      <c r="B208" s="71">
        <v>2007</v>
      </c>
      <c r="C208" s="71" t="s">
        <v>1963</v>
      </c>
      <c r="D208" s="71" t="s">
        <v>476</v>
      </c>
      <c r="E208" s="71" t="s">
        <v>475</v>
      </c>
      <c r="F208" s="66" t="s">
        <v>307</v>
      </c>
      <c r="G208" s="70" t="s">
        <v>1411</v>
      </c>
      <c r="H208" s="70" t="s">
        <v>1410</v>
      </c>
      <c r="I208" s="363">
        <v>4</v>
      </c>
      <c r="J208" s="64"/>
      <c r="K208" s="64"/>
      <c r="L208" s="64"/>
    </row>
    <row r="209" spans="1:12" x14ac:dyDescent="0.25">
      <c r="A209" s="71">
        <v>161000</v>
      </c>
      <c r="B209" s="71">
        <v>2007</v>
      </c>
      <c r="C209" s="71" t="s">
        <v>1962</v>
      </c>
      <c r="D209" s="71" t="s">
        <v>476</v>
      </c>
      <c r="E209" s="71" t="s">
        <v>475</v>
      </c>
      <c r="F209" s="66" t="s">
        <v>307</v>
      </c>
      <c r="G209" s="70" t="s">
        <v>1411</v>
      </c>
      <c r="H209" s="70" t="s">
        <v>1410</v>
      </c>
      <c r="I209" s="363">
        <v>4</v>
      </c>
      <c r="J209" s="64"/>
      <c r="K209" s="64"/>
      <c r="L209" s="64"/>
    </row>
    <row r="210" spans="1:12" x14ac:dyDescent="0.25">
      <c r="A210" s="71">
        <v>162000</v>
      </c>
      <c r="B210" s="71">
        <v>2007</v>
      </c>
      <c r="C210" s="71" t="s">
        <v>1961</v>
      </c>
      <c r="D210" s="71" t="s">
        <v>476</v>
      </c>
      <c r="E210" s="71" t="s">
        <v>475</v>
      </c>
      <c r="F210" s="66" t="s">
        <v>307</v>
      </c>
      <c r="G210" s="70" t="s">
        <v>1411</v>
      </c>
      <c r="H210" s="70" t="s">
        <v>1410</v>
      </c>
      <c r="I210" s="363">
        <v>4</v>
      </c>
      <c r="J210" s="64"/>
      <c r="K210" s="64"/>
      <c r="L210" s="64"/>
    </row>
    <row r="211" spans="1:12" x14ac:dyDescent="0.25">
      <c r="A211" s="71">
        <v>162100</v>
      </c>
      <c r="B211" s="71">
        <v>2007</v>
      </c>
      <c r="C211" s="71" t="s">
        <v>1960</v>
      </c>
      <c r="D211" s="71" t="s">
        <v>476</v>
      </c>
      <c r="E211" s="71" t="s">
        <v>475</v>
      </c>
      <c r="F211" s="66" t="s">
        <v>307</v>
      </c>
      <c r="G211" s="70" t="s">
        <v>1411</v>
      </c>
      <c r="H211" s="70" t="s">
        <v>1410</v>
      </c>
      <c r="I211" s="363">
        <v>4</v>
      </c>
      <c r="J211" s="64"/>
      <c r="K211" s="64"/>
      <c r="L211" s="64"/>
    </row>
    <row r="212" spans="1:12" x14ac:dyDescent="0.25">
      <c r="A212" s="71">
        <v>162200</v>
      </c>
      <c r="B212" s="71">
        <v>2007</v>
      </c>
      <c r="C212" s="71" t="s">
        <v>1959</v>
      </c>
      <c r="D212" s="71" t="s">
        <v>476</v>
      </c>
      <c r="E212" s="71" t="s">
        <v>475</v>
      </c>
      <c r="F212" s="66" t="s">
        <v>307</v>
      </c>
      <c r="G212" s="70" t="s">
        <v>1411</v>
      </c>
      <c r="H212" s="70" t="s">
        <v>1410</v>
      </c>
      <c r="I212" s="363">
        <v>4</v>
      </c>
      <c r="J212" s="64"/>
      <c r="K212" s="64"/>
      <c r="L212" s="64"/>
    </row>
    <row r="213" spans="1:12" x14ac:dyDescent="0.25">
      <c r="A213" s="71">
        <v>162300</v>
      </c>
      <c r="B213" s="71">
        <v>2007</v>
      </c>
      <c r="C213" s="71" t="s">
        <v>1958</v>
      </c>
      <c r="D213" s="71" t="s">
        <v>476</v>
      </c>
      <c r="E213" s="71" t="s">
        <v>475</v>
      </c>
      <c r="F213" s="66" t="s">
        <v>307</v>
      </c>
      <c r="G213" s="70" t="s">
        <v>1411</v>
      </c>
      <c r="H213" s="70" t="s">
        <v>1410</v>
      </c>
      <c r="I213" s="363">
        <v>4</v>
      </c>
      <c r="J213" s="64"/>
      <c r="K213" s="64"/>
      <c r="L213" s="64"/>
    </row>
    <row r="214" spans="1:12" x14ac:dyDescent="0.25">
      <c r="A214" s="71">
        <v>162310</v>
      </c>
      <c r="B214" s="71">
        <v>2007</v>
      </c>
      <c r="C214" s="71" t="s">
        <v>1957</v>
      </c>
      <c r="D214" s="71" t="s">
        <v>476</v>
      </c>
      <c r="E214" s="71" t="s">
        <v>475</v>
      </c>
      <c r="F214" s="66" t="s">
        <v>307</v>
      </c>
      <c r="G214" s="70" t="s">
        <v>1411</v>
      </c>
      <c r="H214" s="70" t="s">
        <v>1410</v>
      </c>
      <c r="I214" s="363">
        <v>4</v>
      </c>
      <c r="J214" s="64"/>
      <c r="K214" s="64"/>
      <c r="L214" s="64"/>
    </row>
    <row r="215" spans="1:12" x14ac:dyDescent="0.25">
      <c r="A215" s="71">
        <v>162320</v>
      </c>
      <c r="B215" s="71">
        <v>2007</v>
      </c>
      <c r="C215" s="71" t="s">
        <v>1956</v>
      </c>
      <c r="D215" s="71" t="s">
        <v>476</v>
      </c>
      <c r="E215" s="71" t="s">
        <v>475</v>
      </c>
      <c r="F215" s="66" t="s">
        <v>307</v>
      </c>
      <c r="G215" s="70" t="s">
        <v>1411</v>
      </c>
      <c r="H215" s="70" t="s">
        <v>1410</v>
      </c>
      <c r="I215" s="363">
        <v>4</v>
      </c>
      <c r="J215" s="64"/>
      <c r="K215" s="64"/>
      <c r="L215" s="64"/>
    </row>
    <row r="216" spans="1:12" x14ac:dyDescent="0.25">
      <c r="A216" s="71">
        <v>162400</v>
      </c>
      <c r="B216" s="71">
        <v>2007</v>
      </c>
      <c r="C216" s="71" t="s">
        <v>1955</v>
      </c>
      <c r="D216" s="71" t="s">
        <v>476</v>
      </c>
      <c r="E216" s="71" t="s">
        <v>475</v>
      </c>
      <c r="F216" s="66" t="s">
        <v>307</v>
      </c>
      <c r="G216" s="70" t="s">
        <v>1411</v>
      </c>
      <c r="H216" s="70" t="s">
        <v>1410</v>
      </c>
      <c r="I216" s="363">
        <v>4</v>
      </c>
      <c r="J216" s="64"/>
      <c r="K216" s="64"/>
      <c r="L216" s="64"/>
    </row>
    <row r="217" spans="1:12" x14ac:dyDescent="0.25">
      <c r="A217" s="71">
        <v>162900</v>
      </c>
      <c r="B217" s="71">
        <v>2007</v>
      </c>
      <c r="C217" s="71" t="s">
        <v>1954</v>
      </c>
      <c r="D217" s="71" t="s">
        <v>476</v>
      </c>
      <c r="E217" s="71" t="s">
        <v>475</v>
      </c>
      <c r="F217" s="66" t="s">
        <v>307</v>
      </c>
      <c r="G217" s="70" t="s">
        <v>1411</v>
      </c>
      <c r="H217" s="70" t="s">
        <v>1410</v>
      </c>
      <c r="I217" s="363">
        <v>4</v>
      </c>
      <c r="J217" s="64"/>
      <c r="K217" s="64"/>
      <c r="L217" s="64"/>
    </row>
    <row r="218" spans="1:12" x14ac:dyDescent="0.25">
      <c r="A218" s="71">
        <v>162910</v>
      </c>
      <c r="B218" s="71">
        <v>2007</v>
      </c>
      <c r="C218" s="71" t="s">
        <v>1953</v>
      </c>
      <c r="D218" s="71" t="s">
        <v>476</v>
      </c>
      <c r="E218" s="71" t="s">
        <v>475</v>
      </c>
      <c r="F218" s="66" t="s">
        <v>307</v>
      </c>
      <c r="G218" s="70" t="s">
        <v>1411</v>
      </c>
      <c r="H218" s="70" t="s">
        <v>1410</v>
      </c>
      <c r="I218" s="363">
        <v>4</v>
      </c>
      <c r="J218" s="64"/>
      <c r="K218" s="64"/>
      <c r="L218" s="64"/>
    </row>
    <row r="219" spans="1:12" x14ac:dyDescent="0.25">
      <c r="A219" s="71">
        <v>162911</v>
      </c>
      <c r="B219" s="71">
        <v>2007</v>
      </c>
      <c r="C219" s="71" t="s">
        <v>1952</v>
      </c>
      <c r="D219" s="71" t="s">
        <v>476</v>
      </c>
      <c r="E219" s="71" t="s">
        <v>475</v>
      </c>
      <c r="F219" s="66" t="s">
        <v>307</v>
      </c>
      <c r="G219" s="70" t="s">
        <v>1411</v>
      </c>
      <c r="H219" s="70" t="s">
        <v>1410</v>
      </c>
      <c r="I219" s="363">
        <v>4</v>
      </c>
      <c r="J219" s="64"/>
      <c r="K219" s="64"/>
      <c r="L219" s="64"/>
    </row>
    <row r="220" spans="1:12" x14ac:dyDescent="0.25">
      <c r="A220" s="71">
        <v>162912</v>
      </c>
      <c r="B220" s="71">
        <v>2007</v>
      </c>
      <c r="C220" s="71" t="s">
        <v>1951</v>
      </c>
      <c r="D220" s="71" t="s">
        <v>476</v>
      </c>
      <c r="E220" s="71" t="s">
        <v>475</v>
      </c>
      <c r="F220" s="66" t="s">
        <v>307</v>
      </c>
      <c r="G220" s="70" t="s">
        <v>1411</v>
      </c>
      <c r="H220" s="70" t="s">
        <v>1410</v>
      </c>
      <c r="I220" s="363">
        <v>4</v>
      </c>
      <c r="J220" s="64"/>
      <c r="K220" s="64"/>
      <c r="L220" s="64"/>
    </row>
    <row r="221" spans="1:12" x14ac:dyDescent="0.25">
      <c r="A221" s="71">
        <v>162919</v>
      </c>
      <c r="B221" s="71">
        <v>2007</v>
      </c>
      <c r="C221" s="71" t="s">
        <v>1950</v>
      </c>
      <c r="D221" s="71" t="s">
        <v>476</v>
      </c>
      <c r="E221" s="71" t="s">
        <v>475</v>
      </c>
      <c r="F221" s="66" t="s">
        <v>307</v>
      </c>
      <c r="G221" s="70" t="s">
        <v>1411</v>
      </c>
      <c r="H221" s="70" t="s">
        <v>1410</v>
      </c>
      <c r="I221" s="363">
        <v>4</v>
      </c>
      <c r="J221" s="64"/>
      <c r="K221" s="64"/>
      <c r="L221" s="64"/>
    </row>
    <row r="222" spans="1:12" x14ac:dyDescent="0.25">
      <c r="A222" s="71">
        <v>162920</v>
      </c>
      <c r="B222" s="71">
        <v>2007</v>
      </c>
      <c r="C222" s="71" t="s">
        <v>1949</v>
      </c>
      <c r="D222" s="71" t="s">
        <v>476</v>
      </c>
      <c r="E222" s="71" t="s">
        <v>475</v>
      </c>
      <c r="F222" s="66" t="s">
        <v>307</v>
      </c>
      <c r="G222" s="70" t="s">
        <v>1411</v>
      </c>
      <c r="H222" s="70" t="s">
        <v>1410</v>
      </c>
      <c r="I222" s="363">
        <v>4</v>
      </c>
      <c r="J222" s="64"/>
      <c r="K222" s="64"/>
      <c r="L222" s="64"/>
    </row>
    <row r="223" spans="1:12" x14ac:dyDescent="0.25">
      <c r="A223" s="71">
        <v>162930</v>
      </c>
      <c r="B223" s="71">
        <v>2007</v>
      </c>
      <c r="C223" s="71" t="s">
        <v>1948</v>
      </c>
      <c r="D223" s="71" t="s">
        <v>476</v>
      </c>
      <c r="E223" s="71" t="s">
        <v>475</v>
      </c>
      <c r="F223" s="66" t="s">
        <v>307</v>
      </c>
      <c r="G223" s="70" t="s">
        <v>1411</v>
      </c>
      <c r="H223" s="70" t="s">
        <v>1410</v>
      </c>
      <c r="I223" s="363">
        <v>4</v>
      </c>
      <c r="J223" s="64"/>
      <c r="K223" s="64"/>
      <c r="L223" s="64"/>
    </row>
    <row r="224" spans="1:12" x14ac:dyDescent="0.25">
      <c r="A224" s="71">
        <v>162940</v>
      </c>
      <c r="B224" s="71">
        <v>2007</v>
      </c>
      <c r="C224" s="71" t="s">
        <v>1947</v>
      </c>
      <c r="D224" s="71" t="s">
        <v>476</v>
      </c>
      <c r="E224" s="71" t="s">
        <v>475</v>
      </c>
      <c r="F224" s="66" t="s">
        <v>307</v>
      </c>
      <c r="G224" s="70" t="s">
        <v>1411</v>
      </c>
      <c r="H224" s="70" t="s">
        <v>1410</v>
      </c>
      <c r="I224" s="363">
        <v>4</v>
      </c>
      <c r="J224" s="64"/>
      <c r="K224" s="64"/>
      <c r="L224" s="64"/>
    </row>
    <row r="225" spans="1:12" x14ac:dyDescent="0.25">
      <c r="A225" s="71">
        <v>170000</v>
      </c>
      <c r="B225" s="71">
        <v>2007</v>
      </c>
      <c r="C225" s="71" t="s">
        <v>1946</v>
      </c>
      <c r="D225" s="71" t="s">
        <v>476</v>
      </c>
      <c r="E225" s="71" t="s">
        <v>475</v>
      </c>
      <c r="F225" s="66" t="s">
        <v>307</v>
      </c>
      <c r="G225" s="70" t="s">
        <v>1411</v>
      </c>
      <c r="H225" s="70" t="s">
        <v>1410</v>
      </c>
      <c r="I225" s="363">
        <v>4</v>
      </c>
      <c r="J225" s="64"/>
      <c r="K225" s="64"/>
      <c r="L225" s="64"/>
    </row>
    <row r="226" spans="1:12" x14ac:dyDescent="0.25">
      <c r="A226" s="71">
        <v>171000</v>
      </c>
      <c r="B226" s="71">
        <v>2007</v>
      </c>
      <c r="C226" s="71" t="s">
        <v>1945</v>
      </c>
      <c r="D226" s="71" t="s">
        <v>476</v>
      </c>
      <c r="E226" s="71" t="s">
        <v>475</v>
      </c>
      <c r="F226" s="66" t="s">
        <v>307</v>
      </c>
      <c r="G226" s="70" t="s">
        <v>1411</v>
      </c>
      <c r="H226" s="70" t="s">
        <v>1410</v>
      </c>
      <c r="I226" s="363">
        <v>4</v>
      </c>
      <c r="J226" s="64"/>
      <c r="K226" s="64"/>
      <c r="L226" s="64"/>
    </row>
    <row r="227" spans="1:12" x14ac:dyDescent="0.25">
      <c r="A227" s="71">
        <v>171100</v>
      </c>
      <c r="B227" s="71">
        <v>2007</v>
      </c>
      <c r="C227" s="71" t="s">
        <v>1944</v>
      </c>
      <c r="D227" s="71" t="s">
        <v>476</v>
      </c>
      <c r="E227" s="71" t="s">
        <v>475</v>
      </c>
      <c r="F227" s="66" t="s">
        <v>307</v>
      </c>
      <c r="G227" s="70" t="s">
        <v>1411</v>
      </c>
      <c r="H227" s="70" t="s">
        <v>1410</v>
      </c>
      <c r="I227" s="363">
        <v>4</v>
      </c>
      <c r="J227" s="64"/>
      <c r="K227" s="64"/>
      <c r="L227" s="64"/>
    </row>
    <row r="228" spans="1:12" x14ac:dyDescent="0.25">
      <c r="A228" s="71">
        <v>171200</v>
      </c>
      <c r="B228" s="71">
        <v>2007</v>
      </c>
      <c r="C228" s="71" t="s">
        <v>1943</v>
      </c>
      <c r="D228" s="71" t="s">
        <v>476</v>
      </c>
      <c r="E228" s="71" t="s">
        <v>475</v>
      </c>
      <c r="F228" s="66" t="s">
        <v>307</v>
      </c>
      <c r="G228" s="70" t="s">
        <v>1411</v>
      </c>
      <c r="H228" s="70" t="s">
        <v>1410</v>
      </c>
      <c r="I228" s="363">
        <v>4</v>
      </c>
      <c r="J228" s="64"/>
      <c r="K228" s="64"/>
      <c r="L228" s="64"/>
    </row>
    <row r="229" spans="1:12" x14ac:dyDescent="0.25">
      <c r="A229" s="71">
        <v>172000</v>
      </c>
      <c r="B229" s="71">
        <v>2007</v>
      </c>
      <c r="C229" s="71" t="s">
        <v>1942</v>
      </c>
      <c r="D229" s="71" t="s">
        <v>476</v>
      </c>
      <c r="E229" s="71" t="s">
        <v>475</v>
      </c>
      <c r="F229" s="66" t="s">
        <v>307</v>
      </c>
      <c r="G229" s="70" t="s">
        <v>1411</v>
      </c>
      <c r="H229" s="70" t="s">
        <v>1410</v>
      </c>
      <c r="I229" s="363">
        <v>4</v>
      </c>
      <c r="J229" s="64"/>
      <c r="K229" s="64"/>
      <c r="L229" s="64"/>
    </row>
    <row r="230" spans="1:12" x14ac:dyDescent="0.25">
      <c r="A230" s="71">
        <v>172100</v>
      </c>
      <c r="B230" s="71">
        <v>2007</v>
      </c>
      <c r="C230" s="71" t="s">
        <v>1941</v>
      </c>
      <c r="D230" s="71" t="s">
        <v>476</v>
      </c>
      <c r="E230" s="71" t="s">
        <v>475</v>
      </c>
      <c r="F230" s="66" t="s">
        <v>307</v>
      </c>
      <c r="G230" s="70" t="s">
        <v>1411</v>
      </c>
      <c r="H230" s="70" t="s">
        <v>1410</v>
      </c>
      <c r="I230" s="363">
        <v>4</v>
      </c>
      <c r="J230" s="64"/>
      <c r="K230" s="64"/>
      <c r="L230" s="64"/>
    </row>
    <row r="231" spans="1:12" x14ac:dyDescent="0.25">
      <c r="A231" s="71">
        <v>172200</v>
      </c>
      <c r="B231" s="71">
        <v>2007</v>
      </c>
      <c r="C231" s="71" t="s">
        <v>1940</v>
      </c>
      <c r="D231" s="71" t="s">
        <v>476</v>
      </c>
      <c r="E231" s="71" t="s">
        <v>475</v>
      </c>
      <c r="F231" s="66" t="s">
        <v>307</v>
      </c>
      <c r="G231" s="70" t="s">
        <v>1411</v>
      </c>
      <c r="H231" s="70" t="s">
        <v>1410</v>
      </c>
      <c r="I231" s="363">
        <v>4</v>
      </c>
      <c r="J231" s="64"/>
      <c r="K231" s="64"/>
      <c r="L231" s="64"/>
    </row>
    <row r="232" spans="1:12" x14ac:dyDescent="0.25">
      <c r="A232" s="71">
        <v>172300</v>
      </c>
      <c r="B232" s="71">
        <v>2007</v>
      </c>
      <c r="C232" s="71" t="s">
        <v>1939</v>
      </c>
      <c r="D232" s="71" t="s">
        <v>476</v>
      </c>
      <c r="E232" s="71" t="s">
        <v>475</v>
      </c>
      <c r="F232" s="66" t="s">
        <v>307</v>
      </c>
      <c r="G232" s="70" t="s">
        <v>1411</v>
      </c>
      <c r="H232" s="70" t="s">
        <v>1410</v>
      </c>
      <c r="I232" s="363">
        <v>4</v>
      </c>
      <c r="J232" s="64"/>
      <c r="K232" s="64"/>
      <c r="L232" s="64"/>
    </row>
    <row r="233" spans="1:12" x14ac:dyDescent="0.25">
      <c r="A233" s="71">
        <v>172301</v>
      </c>
      <c r="B233" s="71">
        <v>2007</v>
      </c>
      <c r="C233" s="71" t="s">
        <v>1938</v>
      </c>
      <c r="D233" s="71" t="s">
        <v>476</v>
      </c>
      <c r="E233" s="71" t="s">
        <v>475</v>
      </c>
      <c r="F233" s="66" t="s">
        <v>307</v>
      </c>
      <c r="G233" s="70" t="s">
        <v>1411</v>
      </c>
      <c r="H233" s="70" t="s">
        <v>1410</v>
      </c>
      <c r="I233" s="363">
        <v>4</v>
      </c>
      <c r="J233" s="64"/>
      <c r="K233" s="64"/>
      <c r="L233" s="64"/>
    </row>
    <row r="234" spans="1:12" x14ac:dyDescent="0.25">
      <c r="A234" s="71">
        <v>172309</v>
      </c>
      <c r="B234" s="71">
        <v>2007</v>
      </c>
      <c r="C234" s="71" t="s">
        <v>1937</v>
      </c>
      <c r="D234" s="71" t="s">
        <v>476</v>
      </c>
      <c r="E234" s="71" t="s">
        <v>475</v>
      </c>
      <c r="F234" s="66" t="s">
        <v>307</v>
      </c>
      <c r="G234" s="70" t="s">
        <v>1411</v>
      </c>
      <c r="H234" s="70" t="s">
        <v>1410</v>
      </c>
      <c r="I234" s="363">
        <v>4</v>
      </c>
      <c r="J234" s="64"/>
      <c r="K234" s="64"/>
      <c r="L234" s="64"/>
    </row>
    <row r="235" spans="1:12" x14ac:dyDescent="0.25">
      <c r="A235" s="71">
        <v>172400</v>
      </c>
      <c r="B235" s="71">
        <v>2007</v>
      </c>
      <c r="C235" s="71" t="s">
        <v>1936</v>
      </c>
      <c r="D235" s="71" t="s">
        <v>476</v>
      </c>
      <c r="E235" s="71" t="s">
        <v>475</v>
      </c>
      <c r="F235" s="66" t="s">
        <v>307</v>
      </c>
      <c r="G235" s="70" t="s">
        <v>1411</v>
      </c>
      <c r="H235" s="70" t="s">
        <v>1410</v>
      </c>
      <c r="I235" s="363">
        <v>4</v>
      </c>
      <c r="J235" s="64"/>
      <c r="K235" s="64"/>
      <c r="L235" s="64"/>
    </row>
    <row r="236" spans="1:12" x14ac:dyDescent="0.25">
      <c r="A236" s="71">
        <v>172900</v>
      </c>
      <c r="B236" s="71">
        <v>2007</v>
      </c>
      <c r="C236" s="71" t="s">
        <v>1935</v>
      </c>
      <c r="D236" s="71" t="s">
        <v>476</v>
      </c>
      <c r="E236" s="71" t="s">
        <v>475</v>
      </c>
      <c r="F236" s="66" t="s">
        <v>307</v>
      </c>
      <c r="G236" s="70" t="s">
        <v>1411</v>
      </c>
      <c r="H236" s="70" t="s">
        <v>1410</v>
      </c>
      <c r="I236" s="363">
        <v>4</v>
      </c>
      <c r="J236" s="64"/>
      <c r="K236" s="64"/>
      <c r="L236" s="64"/>
    </row>
    <row r="237" spans="1:12" x14ac:dyDescent="0.25">
      <c r="A237" s="71">
        <v>180000</v>
      </c>
      <c r="B237" s="71">
        <v>2007</v>
      </c>
      <c r="C237" s="71" t="s">
        <v>1934</v>
      </c>
      <c r="D237" s="71" t="s">
        <v>476</v>
      </c>
      <c r="E237" s="71" t="s">
        <v>475</v>
      </c>
      <c r="F237" s="66" t="s">
        <v>307</v>
      </c>
      <c r="G237" s="70" t="s">
        <v>1411</v>
      </c>
      <c r="H237" s="70" t="s">
        <v>1410</v>
      </c>
      <c r="I237" s="363">
        <v>4</v>
      </c>
      <c r="J237" s="64"/>
      <c r="K237" s="64"/>
      <c r="L237" s="64"/>
    </row>
    <row r="238" spans="1:12" x14ac:dyDescent="0.25">
      <c r="A238" s="71">
        <v>181000</v>
      </c>
      <c r="B238" s="71">
        <v>2007</v>
      </c>
      <c r="C238" s="71" t="s">
        <v>1933</v>
      </c>
      <c r="D238" s="71" t="s">
        <v>476</v>
      </c>
      <c r="E238" s="71" t="s">
        <v>475</v>
      </c>
      <c r="F238" s="66" t="s">
        <v>307</v>
      </c>
      <c r="G238" s="70" t="s">
        <v>1411</v>
      </c>
      <c r="H238" s="70" t="s">
        <v>1410</v>
      </c>
      <c r="I238" s="363">
        <v>4</v>
      </c>
      <c r="J238" s="64"/>
      <c r="K238" s="64"/>
      <c r="L238" s="64"/>
    </row>
    <row r="239" spans="1:12" x14ac:dyDescent="0.25">
      <c r="A239" s="71">
        <v>181100</v>
      </c>
      <c r="B239" s="71">
        <v>2007</v>
      </c>
      <c r="C239" s="71" t="s">
        <v>1932</v>
      </c>
      <c r="D239" s="71" t="s">
        <v>476</v>
      </c>
      <c r="E239" s="71" t="s">
        <v>475</v>
      </c>
      <c r="F239" s="66" t="s">
        <v>307</v>
      </c>
      <c r="G239" s="70" t="s">
        <v>1411</v>
      </c>
      <c r="H239" s="70" t="s">
        <v>1410</v>
      </c>
      <c r="I239" s="363">
        <v>4</v>
      </c>
      <c r="J239" s="64"/>
      <c r="K239" s="64"/>
      <c r="L239" s="64"/>
    </row>
    <row r="240" spans="1:12" x14ac:dyDescent="0.25">
      <c r="A240" s="71">
        <v>181200</v>
      </c>
      <c r="B240" s="71">
        <v>2007</v>
      </c>
      <c r="C240" s="71" t="s">
        <v>1931</v>
      </c>
      <c r="D240" s="71" t="s">
        <v>476</v>
      </c>
      <c r="E240" s="71" t="s">
        <v>475</v>
      </c>
      <c r="F240" s="66" t="s">
        <v>307</v>
      </c>
      <c r="G240" s="70" t="s">
        <v>1411</v>
      </c>
      <c r="H240" s="70" t="s">
        <v>1410</v>
      </c>
      <c r="I240" s="363">
        <v>4</v>
      </c>
      <c r="J240" s="64"/>
      <c r="K240" s="64"/>
      <c r="L240" s="64"/>
    </row>
    <row r="241" spans="1:12" x14ac:dyDescent="0.25">
      <c r="A241" s="71">
        <v>181300</v>
      </c>
      <c r="B241" s="71">
        <v>2007</v>
      </c>
      <c r="C241" s="71" t="s">
        <v>1930</v>
      </c>
      <c r="D241" s="71" t="s">
        <v>476</v>
      </c>
      <c r="E241" s="71" t="s">
        <v>475</v>
      </c>
      <c r="F241" s="66" t="s">
        <v>307</v>
      </c>
      <c r="G241" s="70" t="s">
        <v>1411</v>
      </c>
      <c r="H241" s="70" t="s">
        <v>1410</v>
      </c>
      <c r="I241" s="363">
        <v>4</v>
      </c>
      <c r="J241" s="64"/>
      <c r="K241" s="64"/>
      <c r="L241" s="64"/>
    </row>
    <row r="242" spans="1:12" x14ac:dyDescent="0.25">
      <c r="A242" s="71">
        <v>181400</v>
      </c>
      <c r="B242" s="71">
        <v>2007</v>
      </c>
      <c r="C242" s="71" t="s">
        <v>1929</v>
      </c>
      <c r="D242" s="71" t="s">
        <v>476</v>
      </c>
      <c r="E242" s="71" t="s">
        <v>475</v>
      </c>
      <c r="F242" s="66" t="s">
        <v>307</v>
      </c>
      <c r="G242" s="70" t="s">
        <v>1411</v>
      </c>
      <c r="H242" s="70" t="s">
        <v>1410</v>
      </c>
      <c r="I242" s="363">
        <v>4</v>
      </c>
      <c r="J242" s="64"/>
      <c r="K242" s="64"/>
      <c r="L242" s="64"/>
    </row>
    <row r="243" spans="1:12" x14ac:dyDescent="0.25">
      <c r="A243" s="71">
        <v>182000</v>
      </c>
      <c r="B243" s="71">
        <v>2007</v>
      </c>
      <c r="C243" s="71" t="s">
        <v>1928</v>
      </c>
      <c r="D243" s="71" t="s">
        <v>476</v>
      </c>
      <c r="E243" s="71" t="s">
        <v>475</v>
      </c>
      <c r="F243" s="66" t="s">
        <v>307</v>
      </c>
      <c r="G243" s="70" t="s">
        <v>1411</v>
      </c>
      <c r="H243" s="70" t="s">
        <v>1410</v>
      </c>
      <c r="I243" s="363">
        <v>4</v>
      </c>
      <c r="J243" s="64"/>
      <c r="K243" s="64"/>
      <c r="L243" s="64"/>
    </row>
    <row r="244" spans="1:12" x14ac:dyDescent="0.25">
      <c r="A244" s="71">
        <v>190000</v>
      </c>
      <c r="B244" s="71">
        <v>2007</v>
      </c>
      <c r="C244" s="71" t="s">
        <v>1927</v>
      </c>
      <c r="D244" s="71" t="s">
        <v>476</v>
      </c>
      <c r="E244" s="71" t="s">
        <v>475</v>
      </c>
      <c r="F244" s="66" t="s">
        <v>307</v>
      </c>
      <c r="G244" s="70" t="s">
        <v>1411</v>
      </c>
      <c r="H244" s="70" t="s">
        <v>1410</v>
      </c>
      <c r="I244" s="363">
        <v>4</v>
      </c>
      <c r="J244" s="64"/>
      <c r="K244" s="64"/>
      <c r="L244" s="64"/>
    </row>
    <row r="245" spans="1:12" x14ac:dyDescent="0.25">
      <c r="A245" s="71">
        <v>191000</v>
      </c>
      <c r="B245" s="71">
        <v>2007</v>
      </c>
      <c r="C245" s="71" t="s">
        <v>1926</v>
      </c>
      <c r="D245" s="71" t="s">
        <v>476</v>
      </c>
      <c r="E245" s="71" t="s">
        <v>475</v>
      </c>
      <c r="F245" s="66" t="s">
        <v>307</v>
      </c>
      <c r="G245" s="70" t="s">
        <v>1411</v>
      </c>
      <c r="H245" s="70" t="s">
        <v>1410</v>
      </c>
      <c r="I245" s="363">
        <v>4</v>
      </c>
      <c r="J245" s="64"/>
      <c r="K245" s="64"/>
      <c r="L245" s="64"/>
    </row>
    <row r="246" spans="1:12" x14ac:dyDescent="0.25">
      <c r="A246" s="71">
        <v>191001</v>
      </c>
      <c r="B246" s="71">
        <v>2007</v>
      </c>
      <c r="C246" s="71" t="s">
        <v>1925</v>
      </c>
      <c r="D246" s="71" t="s">
        <v>476</v>
      </c>
      <c r="E246" s="71" t="s">
        <v>475</v>
      </c>
      <c r="F246" s="66" t="s">
        <v>307</v>
      </c>
      <c r="G246" s="70" t="s">
        <v>1411</v>
      </c>
      <c r="H246" s="70" t="s">
        <v>1410</v>
      </c>
      <c r="I246" s="363">
        <v>4</v>
      </c>
      <c r="J246" s="64"/>
      <c r="K246" s="64"/>
      <c r="L246" s="64"/>
    </row>
    <row r="247" spans="1:12" x14ac:dyDescent="0.25">
      <c r="A247" s="71">
        <v>191009</v>
      </c>
      <c r="B247" s="71">
        <v>2007</v>
      </c>
      <c r="C247" s="71" t="s">
        <v>1924</v>
      </c>
      <c r="D247" s="71" t="s">
        <v>476</v>
      </c>
      <c r="E247" s="71" t="s">
        <v>475</v>
      </c>
      <c r="F247" s="66" t="s">
        <v>307</v>
      </c>
      <c r="G247" s="70" t="s">
        <v>1411</v>
      </c>
      <c r="H247" s="70" t="s">
        <v>1410</v>
      </c>
      <c r="I247" s="363">
        <v>4</v>
      </c>
      <c r="J247" s="64"/>
      <c r="K247" s="64"/>
      <c r="L247" s="64"/>
    </row>
    <row r="248" spans="1:12" x14ac:dyDescent="0.25">
      <c r="A248" s="71">
        <v>192000</v>
      </c>
      <c r="B248" s="71">
        <v>2007</v>
      </c>
      <c r="C248" s="71" t="s">
        <v>1923</v>
      </c>
      <c r="D248" s="71" t="s">
        <v>476</v>
      </c>
      <c r="E248" s="71" t="s">
        <v>475</v>
      </c>
      <c r="F248" s="66" t="s">
        <v>307</v>
      </c>
      <c r="G248" s="70" t="s">
        <v>1411</v>
      </c>
      <c r="H248" s="70" t="s">
        <v>1410</v>
      </c>
      <c r="I248" s="363">
        <v>4</v>
      </c>
      <c r="J248" s="64"/>
      <c r="K248" s="64"/>
      <c r="L248" s="64"/>
    </row>
    <row r="249" spans="1:12" x14ac:dyDescent="0.25">
      <c r="A249" s="71">
        <v>192010</v>
      </c>
      <c r="B249" s="71">
        <v>2007</v>
      </c>
      <c r="C249" s="71" t="s">
        <v>1922</v>
      </c>
      <c r="D249" s="71" t="s">
        <v>476</v>
      </c>
      <c r="E249" s="71" t="s">
        <v>475</v>
      </c>
      <c r="F249" s="66" t="s">
        <v>307</v>
      </c>
      <c r="G249" s="70" t="s">
        <v>1411</v>
      </c>
      <c r="H249" s="70" t="s">
        <v>1410</v>
      </c>
      <c r="I249" s="363">
        <v>4</v>
      </c>
      <c r="J249" s="64"/>
      <c r="K249" s="64"/>
      <c r="L249" s="64"/>
    </row>
    <row r="250" spans="1:12" x14ac:dyDescent="0.25">
      <c r="A250" s="71">
        <v>192020</v>
      </c>
      <c r="B250" s="71">
        <v>2007</v>
      </c>
      <c r="C250" s="71" t="s">
        <v>1921</v>
      </c>
      <c r="D250" s="71" t="s">
        <v>476</v>
      </c>
      <c r="E250" s="71" t="s">
        <v>475</v>
      </c>
      <c r="F250" s="66" t="s">
        <v>307</v>
      </c>
      <c r="G250" s="70" t="s">
        <v>1411</v>
      </c>
      <c r="H250" s="70" t="s">
        <v>1410</v>
      </c>
      <c r="I250" s="363">
        <v>4</v>
      </c>
      <c r="J250" s="64"/>
      <c r="K250" s="64"/>
      <c r="L250" s="64"/>
    </row>
    <row r="251" spans="1:12" x14ac:dyDescent="0.25">
      <c r="A251" s="71">
        <v>192030</v>
      </c>
      <c r="B251" s="71">
        <v>2007</v>
      </c>
      <c r="C251" s="71" t="s">
        <v>1920</v>
      </c>
      <c r="D251" s="71" t="s">
        <v>476</v>
      </c>
      <c r="E251" s="71" t="s">
        <v>475</v>
      </c>
      <c r="F251" s="66" t="s">
        <v>307</v>
      </c>
      <c r="G251" s="70" t="s">
        <v>1411</v>
      </c>
      <c r="H251" s="70" t="s">
        <v>1410</v>
      </c>
      <c r="I251" s="363">
        <v>4</v>
      </c>
      <c r="J251" s="64"/>
      <c r="K251" s="64"/>
      <c r="L251" s="64"/>
    </row>
    <row r="252" spans="1:12" x14ac:dyDescent="0.25">
      <c r="A252" s="71">
        <v>192040</v>
      </c>
      <c r="B252" s="71">
        <v>2007</v>
      </c>
      <c r="C252" s="71" t="s">
        <v>1919</v>
      </c>
      <c r="D252" s="71" t="s">
        <v>476</v>
      </c>
      <c r="E252" s="71" t="s">
        <v>475</v>
      </c>
      <c r="F252" s="66" t="s">
        <v>307</v>
      </c>
      <c r="G252" s="70" t="s">
        <v>1411</v>
      </c>
      <c r="H252" s="70" t="s">
        <v>1410</v>
      </c>
      <c r="I252" s="363">
        <v>4</v>
      </c>
      <c r="J252" s="64"/>
      <c r="K252" s="64"/>
      <c r="L252" s="64"/>
    </row>
    <row r="253" spans="1:12" x14ac:dyDescent="0.25">
      <c r="A253" s="71">
        <v>192090</v>
      </c>
      <c r="B253" s="71">
        <v>2007</v>
      </c>
      <c r="C253" s="71" t="s">
        <v>1918</v>
      </c>
      <c r="D253" s="71" t="s">
        <v>476</v>
      </c>
      <c r="E253" s="71" t="s">
        <v>475</v>
      </c>
      <c r="F253" s="66" t="s">
        <v>307</v>
      </c>
      <c r="G253" s="70" t="s">
        <v>1411</v>
      </c>
      <c r="H253" s="70" t="s">
        <v>1410</v>
      </c>
      <c r="I253" s="363">
        <v>4</v>
      </c>
      <c r="J253" s="64"/>
      <c r="K253" s="64"/>
      <c r="L253" s="64"/>
    </row>
    <row r="254" spans="1:12" x14ac:dyDescent="0.25">
      <c r="A254" s="71">
        <v>200000</v>
      </c>
      <c r="B254" s="71">
        <v>2007</v>
      </c>
      <c r="C254" s="71" t="s">
        <v>1917</v>
      </c>
      <c r="D254" s="71" t="s">
        <v>476</v>
      </c>
      <c r="E254" s="71" t="s">
        <v>475</v>
      </c>
      <c r="F254" s="66" t="s">
        <v>307</v>
      </c>
      <c r="G254" s="70" t="s">
        <v>1411</v>
      </c>
      <c r="H254" s="70" t="s">
        <v>1410</v>
      </c>
      <c r="I254" s="363">
        <v>4</v>
      </c>
      <c r="J254" s="64"/>
      <c r="K254" s="64"/>
      <c r="L254" s="64"/>
    </row>
    <row r="255" spans="1:12" x14ac:dyDescent="0.25">
      <c r="A255" s="71">
        <v>201000</v>
      </c>
      <c r="B255" s="71">
        <v>2007</v>
      </c>
      <c r="C255" s="71" t="s">
        <v>1916</v>
      </c>
      <c r="D255" s="71" t="s">
        <v>476</v>
      </c>
      <c r="E255" s="71" t="s">
        <v>475</v>
      </c>
      <c r="F255" s="66" t="s">
        <v>307</v>
      </c>
      <c r="G255" s="70" t="s">
        <v>1411</v>
      </c>
      <c r="H255" s="70" t="s">
        <v>1410</v>
      </c>
      <c r="I255" s="363">
        <v>4</v>
      </c>
      <c r="J255" s="64"/>
      <c r="K255" s="64"/>
      <c r="L255" s="64"/>
    </row>
    <row r="256" spans="1:12" x14ac:dyDescent="0.25">
      <c r="A256" s="71">
        <v>201100</v>
      </c>
      <c r="B256" s="71">
        <v>2007</v>
      </c>
      <c r="C256" s="71" t="s">
        <v>1915</v>
      </c>
      <c r="D256" s="71" t="s">
        <v>476</v>
      </c>
      <c r="E256" s="71" t="s">
        <v>475</v>
      </c>
      <c r="F256" s="66" t="s">
        <v>307</v>
      </c>
      <c r="G256" s="70" t="s">
        <v>1411</v>
      </c>
      <c r="H256" s="70" t="s">
        <v>1410</v>
      </c>
      <c r="I256" s="363">
        <v>4</v>
      </c>
      <c r="J256" s="64"/>
      <c r="K256" s="64"/>
      <c r="L256" s="64"/>
    </row>
    <row r="257" spans="1:12" x14ac:dyDescent="0.25">
      <c r="A257" s="71">
        <v>201200</v>
      </c>
      <c r="B257" s="71">
        <v>2007</v>
      </c>
      <c r="C257" s="71" t="s">
        <v>1914</v>
      </c>
      <c r="D257" s="71" t="s">
        <v>476</v>
      </c>
      <c r="E257" s="71" t="s">
        <v>475</v>
      </c>
      <c r="F257" s="66" t="s">
        <v>307</v>
      </c>
      <c r="G257" s="70" t="s">
        <v>1411</v>
      </c>
      <c r="H257" s="70" t="s">
        <v>1410</v>
      </c>
      <c r="I257" s="363">
        <v>4</v>
      </c>
      <c r="J257" s="64"/>
      <c r="K257" s="64"/>
      <c r="L257" s="64"/>
    </row>
    <row r="258" spans="1:12" x14ac:dyDescent="0.25">
      <c r="A258" s="71">
        <v>201300</v>
      </c>
      <c r="B258" s="71">
        <v>2007</v>
      </c>
      <c r="C258" s="71" t="s">
        <v>1912</v>
      </c>
      <c r="D258" s="71" t="s">
        <v>476</v>
      </c>
      <c r="E258" s="71" t="s">
        <v>475</v>
      </c>
      <c r="F258" s="66" t="s">
        <v>307</v>
      </c>
      <c r="G258" s="70" t="s">
        <v>1411</v>
      </c>
      <c r="H258" s="70" t="s">
        <v>1410</v>
      </c>
      <c r="I258" s="363">
        <v>4</v>
      </c>
      <c r="J258" s="64"/>
      <c r="K258" s="64"/>
      <c r="L258" s="64"/>
    </row>
    <row r="259" spans="1:12" x14ac:dyDescent="0.25">
      <c r="A259" s="71">
        <v>201301</v>
      </c>
      <c r="B259" s="71">
        <v>2007</v>
      </c>
      <c r="C259" s="71" t="s">
        <v>1913</v>
      </c>
      <c r="D259" s="71" t="s">
        <v>476</v>
      </c>
      <c r="E259" s="71" t="s">
        <v>475</v>
      </c>
      <c r="F259" s="66" t="s">
        <v>307</v>
      </c>
      <c r="G259" s="70" t="s">
        <v>1411</v>
      </c>
      <c r="H259" s="70" t="s">
        <v>1410</v>
      </c>
      <c r="I259" s="363">
        <v>4</v>
      </c>
      <c r="J259" s="64"/>
      <c r="K259" s="64"/>
      <c r="L259" s="64"/>
    </row>
    <row r="260" spans="1:12" x14ac:dyDescent="0.25">
      <c r="A260" s="71">
        <v>201309</v>
      </c>
      <c r="B260" s="71">
        <v>2007</v>
      </c>
      <c r="C260" s="71" t="s">
        <v>1912</v>
      </c>
      <c r="D260" s="71" t="s">
        <v>476</v>
      </c>
      <c r="E260" s="71" t="s">
        <v>475</v>
      </c>
      <c r="F260" s="66" t="s">
        <v>307</v>
      </c>
      <c r="G260" s="70" t="s">
        <v>1411</v>
      </c>
      <c r="H260" s="70" t="s">
        <v>1410</v>
      </c>
      <c r="I260" s="363">
        <v>4</v>
      </c>
      <c r="J260" s="64"/>
      <c r="K260" s="64"/>
      <c r="L260" s="64"/>
    </row>
    <row r="261" spans="1:12" x14ac:dyDescent="0.25">
      <c r="A261" s="71">
        <v>201400</v>
      </c>
      <c r="B261" s="71">
        <v>2007</v>
      </c>
      <c r="C261" s="71" t="s">
        <v>1911</v>
      </c>
      <c r="D261" s="71" t="s">
        <v>476</v>
      </c>
      <c r="E261" s="71" t="s">
        <v>475</v>
      </c>
      <c r="F261" s="66" t="s">
        <v>307</v>
      </c>
      <c r="G261" s="70" t="s">
        <v>1411</v>
      </c>
      <c r="H261" s="70" t="s">
        <v>1410</v>
      </c>
      <c r="I261" s="363">
        <v>4</v>
      </c>
      <c r="J261" s="64"/>
      <c r="K261" s="64"/>
      <c r="L261" s="64"/>
    </row>
    <row r="262" spans="1:12" x14ac:dyDescent="0.25">
      <c r="A262" s="71">
        <v>201401</v>
      </c>
      <c r="B262" s="71">
        <v>2007</v>
      </c>
      <c r="C262" s="71" t="s">
        <v>1910</v>
      </c>
      <c r="D262" s="71" t="s">
        <v>476</v>
      </c>
      <c r="E262" s="71" t="s">
        <v>475</v>
      </c>
      <c r="F262" s="66" t="s">
        <v>307</v>
      </c>
      <c r="G262" s="70" t="s">
        <v>1411</v>
      </c>
      <c r="H262" s="70" t="s">
        <v>1410</v>
      </c>
      <c r="I262" s="363">
        <v>4</v>
      </c>
      <c r="J262" s="64"/>
      <c r="K262" s="64"/>
      <c r="L262" s="64"/>
    </row>
    <row r="263" spans="1:12" x14ac:dyDescent="0.25">
      <c r="A263" s="71">
        <v>201409</v>
      </c>
      <c r="B263" s="71">
        <v>2007</v>
      </c>
      <c r="C263" s="71" t="s">
        <v>1909</v>
      </c>
      <c r="D263" s="71" t="s">
        <v>476</v>
      </c>
      <c r="E263" s="71" t="s">
        <v>475</v>
      </c>
      <c r="F263" s="66" t="s">
        <v>307</v>
      </c>
      <c r="G263" s="70" t="s">
        <v>1411</v>
      </c>
      <c r="H263" s="70" t="s">
        <v>1410</v>
      </c>
      <c r="I263" s="363">
        <v>4</v>
      </c>
      <c r="J263" s="64"/>
      <c r="K263" s="64"/>
      <c r="L263" s="64"/>
    </row>
    <row r="264" spans="1:12" x14ac:dyDescent="0.25">
      <c r="A264" s="71">
        <v>201500</v>
      </c>
      <c r="B264" s="71">
        <v>2007</v>
      </c>
      <c r="C264" s="71" t="s">
        <v>1908</v>
      </c>
      <c r="D264" s="71" t="s">
        <v>476</v>
      </c>
      <c r="E264" s="71" t="s">
        <v>475</v>
      </c>
      <c r="F264" s="66" t="s">
        <v>307</v>
      </c>
      <c r="G264" s="70" t="s">
        <v>1411</v>
      </c>
      <c r="H264" s="70" t="s">
        <v>1410</v>
      </c>
      <c r="I264" s="363">
        <v>4</v>
      </c>
      <c r="J264" s="64"/>
      <c r="K264" s="64"/>
      <c r="L264" s="64"/>
    </row>
    <row r="265" spans="1:12" x14ac:dyDescent="0.25">
      <c r="A265" s="71">
        <v>201600</v>
      </c>
      <c r="B265" s="71">
        <v>2007</v>
      </c>
      <c r="C265" s="71" t="s">
        <v>1907</v>
      </c>
      <c r="D265" s="71" t="s">
        <v>476</v>
      </c>
      <c r="E265" s="71" t="s">
        <v>475</v>
      </c>
      <c r="F265" s="66" t="s">
        <v>307</v>
      </c>
      <c r="G265" s="70" t="s">
        <v>1411</v>
      </c>
      <c r="H265" s="70" t="s">
        <v>1410</v>
      </c>
      <c r="I265" s="363">
        <v>4</v>
      </c>
      <c r="J265" s="64"/>
      <c r="K265" s="64"/>
      <c r="L265" s="64"/>
    </row>
    <row r="266" spans="1:12" x14ac:dyDescent="0.25">
      <c r="A266" s="71">
        <v>201700</v>
      </c>
      <c r="B266" s="71">
        <v>2007</v>
      </c>
      <c r="C266" s="71" t="s">
        <v>1906</v>
      </c>
      <c r="D266" s="71" t="s">
        <v>476</v>
      </c>
      <c r="E266" s="71" t="s">
        <v>475</v>
      </c>
      <c r="F266" s="66" t="s">
        <v>307</v>
      </c>
      <c r="G266" s="70" t="s">
        <v>1411</v>
      </c>
      <c r="H266" s="70" t="s">
        <v>1410</v>
      </c>
      <c r="I266" s="363">
        <v>4</v>
      </c>
      <c r="J266" s="64"/>
      <c r="K266" s="64"/>
      <c r="L266" s="64"/>
    </row>
    <row r="267" spans="1:12" x14ac:dyDescent="0.25">
      <c r="A267" s="71">
        <v>202000</v>
      </c>
      <c r="B267" s="71">
        <v>2007</v>
      </c>
      <c r="C267" s="71" t="s">
        <v>1905</v>
      </c>
      <c r="D267" s="71" t="s">
        <v>476</v>
      </c>
      <c r="E267" s="71" t="s">
        <v>475</v>
      </c>
      <c r="F267" s="66" t="s">
        <v>307</v>
      </c>
      <c r="G267" s="70" t="s">
        <v>1411</v>
      </c>
      <c r="H267" s="70" t="s">
        <v>1410</v>
      </c>
      <c r="I267" s="363">
        <v>4</v>
      </c>
      <c r="J267" s="64"/>
      <c r="K267" s="64"/>
      <c r="L267" s="64"/>
    </row>
    <row r="268" spans="1:12" x14ac:dyDescent="0.25">
      <c r="A268" s="71">
        <v>203000</v>
      </c>
      <c r="B268" s="71">
        <v>2007</v>
      </c>
      <c r="C268" s="71" t="s">
        <v>1904</v>
      </c>
      <c r="D268" s="71" t="s">
        <v>476</v>
      </c>
      <c r="E268" s="71" t="s">
        <v>475</v>
      </c>
      <c r="F268" s="66" t="s">
        <v>307</v>
      </c>
      <c r="G268" s="70" t="s">
        <v>1411</v>
      </c>
      <c r="H268" s="70" t="s">
        <v>1410</v>
      </c>
      <c r="I268" s="363">
        <v>4</v>
      </c>
      <c r="J268" s="64"/>
      <c r="K268" s="64"/>
      <c r="L268" s="64"/>
    </row>
    <row r="269" spans="1:12" x14ac:dyDescent="0.25">
      <c r="A269" s="71">
        <v>204000</v>
      </c>
      <c r="B269" s="71">
        <v>2007</v>
      </c>
      <c r="C269" s="71" t="s">
        <v>1903</v>
      </c>
      <c r="D269" s="71" t="s">
        <v>476</v>
      </c>
      <c r="E269" s="71" t="s">
        <v>475</v>
      </c>
      <c r="F269" s="66" t="s">
        <v>307</v>
      </c>
      <c r="G269" s="70" t="s">
        <v>1411</v>
      </c>
      <c r="H269" s="70" t="s">
        <v>1410</v>
      </c>
      <c r="I269" s="363">
        <v>4</v>
      </c>
      <c r="J269" s="64"/>
      <c r="K269" s="64"/>
      <c r="L269" s="64"/>
    </row>
    <row r="270" spans="1:12" x14ac:dyDescent="0.25">
      <c r="A270" s="71">
        <v>204100</v>
      </c>
      <c r="B270" s="71">
        <v>2007</v>
      </c>
      <c r="C270" s="71" t="s">
        <v>1902</v>
      </c>
      <c r="D270" s="71" t="s">
        <v>476</v>
      </c>
      <c r="E270" s="71" t="s">
        <v>475</v>
      </c>
      <c r="F270" s="66" t="s">
        <v>307</v>
      </c>
      <c r="G270" s="70" t="s">
        <v>1411</v>
      </c>
      <c r="H270" s="70" t="s">
        <v>1410</v>
      </c>
      <c r="I270" s="363">
        <v>4</v>
      </c>
      <c r="J270" s="64"/>
      <c r="K270" s="64"/>
      <c r="L270" s="64"/>
    </row>
    <row r="271" spans="1:12" x14ac:dyDescent="0.25">
      <c r="A271" s="71">
        <v>204110</v>
      </c>
      <c r="B271" s="71">
        <v>2007</v>
      </c>
      <c r="C271" s="71" t="s">
        <v>1901</v>
      </c>
      <c r="D271" s="71" t="s">
        <v>476</v>
      </c>
      <c r="E271" s="71" t="s">
        <v>475</v>
      </c>
      <c r="F271" s="66" t="s">
        <v>307</v>
      </c>
      <c r="G271" s="70" t="s">
        <v>1411</v>
      </c>
      <c r="H271" s="70" t="s">
        <v>1410</v>
      </c>
      <c r="I271" s="363">
        <v>4</v>
      </c>
      <c r="J271" s="64"/>
      <c r="K271" s="64"/>
      <c r="L271" s="64"/>
    </row>
    <row r="272" spans="1:12" x14ac:dyDescent="0.25">
      <c r="A272" s="71">
        <v>204120</v>
      </c>
      <c r="B272" s="71">
        <v>2007</v>
      </c>
      <c r="C272" s="71" t="s">
        <v>1900</v>
      </c>
      <c r="D272" s="71" t="s">
        <v>476</v>
      </c>
      <c r="E272" s="71" t="s">
        <v>475</v>
      </c>
      <c r="F272" s="66" t="s">
        <v>307</v>
      </c>
      <c r="G272" s="70" t="s">
        <v>1411</v>
      </c>
      <c r="H272" s="70" t="s">
        <v>1410</v>
      </c>
      <c r="I272" s="363">
        <v>4</v>
      </c>
      <c r="J272" s="64"/>
      <c r="K272" s="64"/>
      <c r="L272" s="64"/>
    </row>
    <row r="273" spans="1:12" x14ac:dyDescent="0.25">
      <c r="A273" s="71">
        <v>204200</v>
      </c>
      <c r="B273" s="71">
        <v>2007</v>
      </c>
      <c r="C273" s="71" t="s">
        <v>1899</v>
      </c>
      <c r="D273" s="71" t="s">
        <v>476</v>
      </c>
      <c r="E273" s="71" t="s">
        <v>475</v>
      </c>
      <c r="F273" s="66" t="s">
        <v>307</v>
      </c>
      <c r="G273" s="70" t="s">
        <v>1411</v>
      </c>
      <c r="H273" s="70" t="s">
        <v>1410</v>
      </c>
      <c r="I273" s="363">
        <v>4</v>
      </c>
      <c r="J273" s="64"/>
      <c r="K273" s="64"/>
      <c r="L273" s="64"/>
    </row>
    <row r="274" spans="1:12" x14ac:dyDescent="0.25">
      <c r="A274" s="71">
        <v>205000</v>
      </c>
      <c r="B274" s="71">
        <v>2007</v>
      </c>
      <c r="C274" s="71" t="s">
        <v>1898</v>
      </c>
      <c r="D274" s="71" t="s">
        <v>476</v>
      </c>
      <c r="E274" s="71" t="s">
        <v>475</v>
      </c>
      <c r="F274" s="66" t="s">
        <v>307</v>
      </c>
      <c r="G274" s="70" t="s">
        <v>1411</v>
      </c>
      <c r="H274" s="70" t="s">
        <v>1410</v>
      </c>
      <c r="I274" s="363">
        <v>4</v>
      </c>
      <c r="J274" s="64"/>
      <c r="K274" s="64"/>
      <c r="L274" s="64"/>
    </row>
    <row r="275" spans="1:12" x14ac:dyDescent="0.25">
      <c r="A275" s="71">
        <v>205100</v>
      </c>
      <c r="B275" s="71">
        <v>2007</v>
      </c>
      <c r="C275" s="71" t="s">
        <v>1897</v>
      </c>
      <c r="D275" s="71" t="s">
        <v>476</v>
      </c>
      <c r="E275" s="71" t="s">
        <v>475</v>
      </c>
      <c r="F275" s="66" t="s">
        <v>307</v>
      </c>
      <c r="G275" s="70" t="s">
        <v>1411</v>
      </c>
      <c r="H275" s="70" t="s">
        <v>1410</v>
      </c>
      <c r="I275" s="363">
        <v>4</v>
      </c>
      <c r="J275" s="64"/>
      <c r="K275" s="64"/>
      <c r="L275" s="64"/>
    </row>
    <row r="276" spans="1:12" x14ac:dyDescent="0.25">
      <c r="A276" s="71">
        <v>205101</v>
      </c>
      <c r="B276" s="71">
        <v>2007</v>
      </c>
      <c r="C276" s="71" t="s">
        <v>1896</v>
      </c>
      <c r="D276" s="71" t="s">
        <v>476</v>
      </c>
      <c r="E276" s="71" t="s">
        <v>475</v>
      </c>
      <c r="F276" s="66" t="s">
        <v>307</v>
      </c>
      <c r="G276" s="70" t="s">
        <v>1411</v>
      </c>
      <c r="H276" s="70" t="s">
        <v>1410</v>
      </c>
      <c r="I276" s="363">
        <v>4</v>
      </c>
      <c r="J276" s="64"/>
      <c r="K276" s="64"/>
      <c r="L276" s="64"/>
    </row>
    <row r="277" spans="1:12" x14ac:dyDescent="0.25">
      <c r="A277" s="71">
        <v>205102</v>
      </c>
      <c r="B277" s="71">
        <v>2007</v>
      </c>
      <c r="C277" s="71" t="s">
        <v>1895</v>
      </c>
      <c r="D277" s="71" t="s">
        <v>476</v>
      </c>
      <c r="E277" s="71" t="s">
        <v>475</v>
      </c>
      <c r="F277" s="66" t="s">
        <v>307</v>
      </c>
      <c r="G277" s="70" t="s">
        <v>1411</v>
      </c>
      <c r="H277" s="70" t="s">
        <v>1410</v>
      </c>
      <c r="I277" s="363">
        <v>4</v>
      </c>
      <c r="J277" s="64"/>
      <c r="K277" s="64"/>
      <c r="L277" s="64"/>
    </row>
    <row r="278" spans="1:12" x14ac:dyDescent="0.25">
      <c r="A278" s="71">
        <v>205200</v>
      </c>
      <c r="B278" s="71">
        <v>2007</v>
      </c>
      <c r="C278" s="71" t="s">
        <v>1894</v>
      </c>
      <c r="D278" s="71" t="s">
        <v>476</v>
      </c>
      <c r="E278" s="71" t="s">
        <v>475</v>
      </c>
      <c r="F278" s="66" t="s">
        <v>307</v>
      </c>
      <c r="G278" s="70" t="s">
        <v>1411</v>
      </c>
      <c r="H278" s="70" t="s">
        <v>1410</v>
      </c>
      <c r="I278" s="363">
        <v>4</v>
      </c>
      <c r="J278" s="64"/>
      <c r="K278" s="64"/>
      <c r="L278" s="64"/>
    </row>
    <row r="279" spans="1:12" x14ac:dyDescent="0.25">
      <c r="A279" s="71">
        <v>205300</v>
      </c>
      <c r="B279" s="71">
        <v>2007</v>
      </c>
      <c r="C279" s="71" t="s">
        <v>1893</v>
      </c>
      <c r="D279" s="71" t="s">
        <v>476</v>
      </c>
      <c r="E279" s="71" t="s">
        <v>475</v>
      </c>
      <c r="F279" s="66" t="s">
        <v>307</v>
      </c>
      <c r="G279" s="70" t="s">
        <v>1411</v>
      </c>
      <c r="H279" s="70" t="s">
        <v>1410</v>
      </c>
      <c r="I279" s="363">
        <v>4</v>
      </c>
      <c r="J279" s="64"/>
      <c r="K279" s="64"/>
      <c r="L279" s="64"/>
    </row>
    <row r="280" spans="1:12" x14ac:dyDescent="0.25">
      <c r="A280" s="71">
        <v>205900</v>
      </c>
      <c r="B280" s="71">
        <v>2007</v>
      </c>
      <c r="C280" s="71" t="s">
        <v>1885</v>
      </c>
      <c r="D280" s="71" t="s">
        <v>476</v>
      </c>
      <c r="E280" s="71" t="s">
        <v>475</v>
      </c>
      <c r="F280" s="66" t="s">
        <v>307</v>
      </c>
      <c r="G280" s="70" t="s">
        <v>1411</v>
      </c>
      <c r="H280" s="70" t="s">
        <v>1410</v>
      </c>
      <c r="I280" s="363">
        <v>4</v>
      </c>
      <c r="J280" s="64"/>
      <c r="K280" s="64"/>
      <c r="L280" s="64"/>
    </row>
    <row r="281" spans="1:12" x14ac:dyDescent="0.25">
      <c r="A281" s="71">
        <v>205910</v>
      </c>
      <c r="B281" s="71">
        <v>2007</v>
      </c>
      <c r="C281" s="71" t="s">
        <v>1892</v>
      </c>
      <c r="D281" s="71" t="s">
        <v>476</v>
      </c>
      <c r="E281" s="71" t="s">
        <v>475</v>
      </c>
      <c r="F281" s="66" t="s">
        <v>307</v>
      </c>
      <c r="G281" s="70" t="s">
        <v>1411</v>
      </c>
      <c r="H281" s="70" t="s">
        <v>1410</v>
      </c>
      <c r="I281" s="363">
        <v>4</v>
      </c>
      <c r="J281" s="64"/>
      <c r="K281" s="64"/>
      <c r="L281" s="64"/>
    </row>
    <row r="282" spans="1:12" x14ac:dyDescent="0.25">
      <c r="A282" s="71">
        <v>205920</v>
      </c>
      <c r="B282" s="71">
        <v>2007</v>
      </c>
      <c r="C282" s="71" t="s">
        <v>1891</v>
      </c>
      <c r="D282" s="71" t="s">
        <v>476</v>
      </c>
      <c r="E282" s="71" t="s">
        <v>475</v>
      </c>
      <c r="F282" s="66" t="s">
        <v>307</v>
      </c>
      <c r="G282" s="70" t="s">
        <v>1411</v>
      </c>
      <c r="H282" s="70" t="s">
        <v>1410</v>
      </c>
      <c r="I282" s="363">
        <v>4</v>
      </c>
      <c r="J282" s="64"/>
      <c r="K282" s="64"/>
      <c r="L282" s="64"/>
    </row>
    <row r="283" spans="1:12" x14ac:dyDescent="0.25">
      <c r="A283" s="71">
        <v>205930</v>
      </c>
      <c r="B283" s="71">
        <v>2007</v>
      </c>
      <c r="C283" s="71" t="s">
        <v>1890</v>
      </c>
      <c r="D283" s="71" t="s">
        <v>476</v>
      </c>
      <c r="E283" s="71" t="s">
        <v>475</v>
      </c>
      <c r="F283" s="66" t="s">
        <v>307</v>
      </c>
      <c r="G283" s="70" t="s">
        <v>1411</v>
      </c>
      <c r="H283" s="70" t="s">
        <v>1410</v>
      </c>
      <c r="I283" s="363">
        <v>4</v>
      </c>
      <c r="J283" s="64"/>
      <c r="K283" s="64"/>
      <c r="L283" s="64"/>
    </row>
    <row r="284" spans="1:12" x14ac:dyDescent="0.25">
      <c r="A284" s="71">
        <v>205940</v>
      </c>
      <c r="B284" s="71">
        <v>2007</v>
      </c>
      <c r="C284" s="71" t="s">
        <v>1889</v>
      </c>
      <c r="D284" s="71" t="s">
        <v>476</v>
      </c>
      <c r="E284" s="71" t="s">
        <v>475</v>
      </c>
      <c r="F284" s="66" t="s">
        <v>307</v>
      </c>
      <c r="G284" s="70" t="s">
        <v>1411</v>
      </c>
      <c r="H284" s="70" t="s">
        <v>1410</v>
      </c>
      <c r="I284" s="363">
        <v>4</v>
      </c>
      <c r="J284" s="64"/>
      <c r="K284" s="64"/>
      <c r="L284" s="64"/>
    </row>
    <row r="285" spans="1:12" x14ac:dyDescent="0.25">
      <c r="A285" s="71">
        <v>205950</v>
      </c>
      <c r="B285" s="71">
        <v>2007</v>
      </c>
      <c r="C285" s="71" t="s">
        <v>1888</v>
      </c>
      <c r="D285" s="71" t="s">
        <v>476</v>
      </c>
      <c r="E285" s="71" t="s">
        <v>475</v>
      </c>
      <c r="F285" s="66" t="s">
        <v>307</v>
      </c>
      <c r="G285" s="70" t="s">
        <v>1411</v>
      </c>
      <c r="H285" s="70" t="s">
        <v>1410</v>
      </c>
      <c r="I285" s="363">
        <v>4</v>
      </c>
      <c r="J285" s="64"/>
      <c r="K285" s="64"/>
      <c r="L285" s="64"/>
    </row>
    <row r="286" spans="1:12" x14ac:dyDescent="0.25">
      <c r="A286" s="71">
        <v>205960</v>
      </c>
      <c r="B286" s="71">
        <v>2007</v>
      </c>
      <c r="C286" s="71" t="s">
        <v>1887</v>
      </c>
      <c r="D286" s="71" t="s">
        <v>476</v>
      </c>
      <c r="E286" s="71" t="s">
        <v>475</v>
      </c>
      <c r="F286" s="66" t="s">
        <v>307</v>
      </c>
      <c r="G286" s="70" t="s">
        <v>1411</v>
      </c>
      <c r="H286" s="70" t="s">
        <v>1410</v>
      </c>
      <c r="I286" s="363">
        <v>4</v>
      </c>
      <c r="J286" s="64"/>
      <c r="K286" s="64"/>
      <c r="L286" s="64"/>
    </row>
    <row r="287" spans="1:12" x14ac:dyDescent="0.25">
      <c r="A287" s="71">
        <v>205970</v>
      </c>
      <c r="B287" s="71">
        <v>2007</v>
      </c>
      <c r="C287" s="71" t="s">
        <v>1886</v>
      </c>
      <c r="D287" s="71" t="s">
        <v>476</v>
      </c>
      <c r="E287" s="71" t="s">
        <v>475</v>
      </c>
      <c r="F287" s="66" t="s">
        <v>307</v>
      </c>
      <c r="G287" s="70" t="s">
        <v>1411</v>
      </c>
      <c r="H287" s="70" t="s">
        <v>1410</v>
      </c>
      <c r="I287" s="363">
        <v>4</v>
      </c>
      <c r="J287" s="64"/>
      <c r="K287" s="64"/>
      <c r="L287" s="64"/>
    </row>
    <row r="288" spans="1:12" x14ac:dyDescent="0.25">
      <c r="A288" s="71">
        <v>205990</v>
      </c>
      <c r="B288" s="71">
        <v>2007</v>
      </c>
      <c r="C288" s="71" t="s">
        <v>1885</v>
      </c>
      <c r="D288" s="71" t="s">
        <v>476</v>
      </c>
      <c r="E288" s="71" t="s">
        <v>475</v>
      </c>
      <c r="F288" s="66" t="s">
        <v>307</v>
      </c>
      <c r="G288" s="70" t="s">
        <v>1411</v>
      </c>
      <c r="H288" s="70" t="s">
        <v>1410</v>
      </c>
      <c r="I288" s="363">
        <v>4</v>
      </c>
      <c r="J288" s="64"/>
      <c r="K288" s="64"/>
      <c r="L288" s="64"/>
    </row>
    <row r="289" spans="1:12" x14ac:dyDescent="0.25">
      <c r="A289" s="71">
        <v>206000</v>
      </c>
      <c r="B289" s="71">
        <v>2007</v>
      </c>
      <c r="C289" s="71" t="s">
        <v>1884</v>
      </c>
      <c r="D289" s="71" t="s">
        <v>476</v>
      </c>
      <c r="E289" s="71" t="s">
        <v>475</v>
      </c>
      <c r="F289" s="66" t="s">
        <v>307</v>
      </c>
      <c r="G289" s="70" t="s">
        <v>1411</v>
      </c>
      <c r="H289" s="70" t="s">
        <v>1410</v>
      </c>
      <c r="I289" s="363">
        <v>4</v>
      </c>
      <c r="J289" s="64"/>
      <c r="K289" s="64"/>
      <c r="L289" s="64"/>
    </row>
    <row r="290" spans="1:12" x14ac:dyDescent="0.25">
      <c r="A290" s="71">
        <v>210000</v>
      </c>
      <c r="B290" s="71">
        <v>2007</v>
      </c>
      <c r="C290" s="71" t="s">
        <v>1883</v>
      </c>
      <c r="D290" s="71" t="s">
        <v>476</v>
      </c>
      <c r="E290" s="71" t="s">
        <v>475</v>
      </c>
      <c r="F290" s="66" t="s">
        <v>307</v>
      </c>
      <c r="G290" s="70" t="s">
        <v>1411</v>
      </c>
      <c r="H290" s="70" t="s">
        <v>1410</v>
      </c>
      <c r="I290" s="363">
        <v>4</v>
      </c>
      <c r="J290" s="64"/>
      <c r="K290" s="64"/>
      <c r="L290" s="64"/>
    </row>
    <row r="291" spans="1:12" x14ac:dyDescent="0.25">
      <c r="A291" s="71">
        <v>211000</v>
      </c>
      <c r="B291" s="71">
        <v>2007</v>
      </c>
      <c r="C291" s="71" t="s">
        <v>1882</v>
      </c>
      <c r="D291" s="71" t="s">
        <v>476</v>
      </c>
      <c r="E291" s="71" t="s">
        <v>475</v>
      </c>
      <c r="F291" s="66" t="s">
        <v>307</v>
      </c>
      <c r="G291" s="70" t="s">
        <v>1411</v>
      </c>
      <c r="H291" s="70" t="s">
        <v>1410</v>
      </c>
      <c r="I291" s="363">
        <v>4</v>
      </c>
      <c r="J291" s="64"/>
      <c r="K291" s="64"/>
      <c r="L291" s="64"/>
    </row>
    <row r="292" spans="1:12" x14ac:dyDescent="0.25">
      <c r="A292" s="71">
        <v>212000</v>
      </c>
      <c r="B292" s="71">
        <v>2007</v>
      </c>
      <c r="C292" s="71" t="s">
        <v>1881</v>
      </c>
      <c r="D292" s="71" t="s">
        <v>476</v>
      </c>
      <c r="E292" s="71" t="s">
        <v>475</v>
      </c>
      <c r="F292" s="66" t="s">
        <v>307</v>
      </c>
      <c r="G292" s="70" t="s">
        <v>1411</v>
      </c>
      <c r="H292" s="70" t="s">
        <v>1410</v>
      </c>
      <c r="I292" s="363">
        <v>4</v>
      </c>
      <c r="J292" s="64"/>
      <c r="K292" s="64"/>
      <c r="L292" s="64"/>
    </row>
    <row r="293" spans="1:12" x14ac:dyDescent="0.25">
      <c r="A293" s="71">
        <v>212001</v>
      </c>
      <c r="B293" s="71">
        <v>2007</v>
      </c>
      <c r="C293" s="71" t="s">
        <v>1880</v>
      </c>
      <c r="D293" s="71" t="s">
        <v>476</v>
      </c>
      <c r="E293" s="71" t="s">
        <v>475</v>
      </c>
      <c r="F293" s="66" t="s">
        <v>307</v>
      </c>
      <c r="G293" s="70" t="s">
        <v>1411</v>
      </c>
      <c r="H293" s="70" t="s">
        <v>1410</v>
      </c>
      <c r="I293" s="363">
        <v>4</v>
      </c>
      <c r="J293" s="64"/>
      <c r="K293" s="64"/>
      <c r="L293" s="64"/>
    </row>
    <row r="294" spans="1:12" x14ac:dyDescent="0.25">
      <c r="A294" s="71">
        <v>212009</v>
      </c>
      <c r="B294" s="71">
        <v>2007</v>
      </c>
      <c r="C294" s="71" t="s">
        <v>1879</v>
      </c>
      <c r="D294" s="71" t="s">
        <v>476</v>
      </c>
      <c r="E294" s="71" t="s">
        <v>475</v>
      </c>
      <c r="F294" s="66" t="s">
        <v>307</v>
      </c>
      <c r="G294" s="70" t="s">
        <v>1411</v>
      </c>
      <c r="H294" s="70" t="s">
        <v>1410</v>
      </c>
      <c r="I294" s="363">
        <v>4</v>
      </c>
      <c r="J294" s="64"/>
      <c r="K294" s="64"/>
      <c r="L294" s="64"/>
    </row>
    <row r="295" spans="1:12" x14ac:dyDescent="0.25">
      <c r="A295" s="71">
        <v>220000</v>
      </c>
      <c r="B295" s="71">
        <v>2007</v>
      </c>
      <c r="C295" s="71" t="s">
        <v>1878</v>
      </c>
      <c r="D295" s="71" t="s">
        <v>476</v>
      </c>
      <c r="E295" s="71" t="s">
        <v>475</v>
      </c>
      <c r="F295" s="66" t="s">
        <v>307</v>
      </c>
      <c r="G295" s="70" t="s">
        <v>1411</v>
      </c>
      <c r="H295" s="70" t="s">
        <v>1410</v>
      </c>
      <c r="I295" s="363">
        <v>4</v>
      </c>
      <c r="J295" s="64"/>
      <c r="K295" s="64"/>
      <c r="L295" s="64"/>
    </row>
    <row r="296" spans="1:12" x14ac:dyDescent="0.25">
      <c r="A296" s="71">
        <v>221000</v>
      </c>
      <c r="B296" s="71">
        <v>2007</v>
      </c>
      <c r="C296" s="71" t="s">
        <v>1877</v>
      </c>
      <c r="D296" s="71" t="s">
        <v>476</v>
      </c>
      <c r="E296" s="71" t="s">
        <v>475</v>
      </c>
      <c r="F296" s="66" t="s">
        <v>307</v>
      </c>
      <c r="G296" s="70" t="s">
        <v>1411</v>
      </c>
      <c r="H296" s="70" t="s">
        <v>1410</v>
      </c>
      <c r="I296" s="363">
        <v>4</v>
      </c>
      <c r="J296" s="64"/>
      <c r="K296" s="64"/>
      <c r="L296" s="64"/>
    </row>
    <row r="297" spans="1:12" x14ac:dyDescent="0.25">
      <c r="A297" s="71">
        <v>221100</v>
      </c>
      <c r="B297" s="71">
        <v>2007</v>
      </c>
      <c r="C297" s="71" t="s">
        <v>1876</v>
      </c>
      <c r="D297" s="71" t="s">
        <v>476</v>
      </c>
      <c r="E297" s="71" t="s">
        <v>475</v>
      </c>
      <c r="F297" s="66" t="s">
        <v>307</v>
      </c>
      <c r="G297" s="70" t="s">
        <v>1411</v>
      </c>
      <c r="H297" s="70" t="s">
        <v>1410</v>
      </c>
      <c r="I297" s="363">
        <v>4</v>
      </c>
      <c r="J297" s="64"/>
      <c r="K297" s="64"/>
      <c r="L297" s="64"/>
    </row>
    <row r="298" spans="1:12" x14ac:dyDescent="0.25">
      <c r="A298" s="71">
        <v>221110</v>
      </c>
      <c r="B298" s="71">
        <v>2007</v>
      </c>
      <c r="C298" s="71" t="s">
        <v>1875</v>
      </c>
      <c r="D298" s="71" t="s">
        <v>476</v>
      </c>
      <c r="E298" s="71" t="s">
        <v>475</v>
      </c>
      <c r="F298" s="66" t="s">
        <v>307</v>
      </c>
      <c r="G298" s="70" t="s">
        <v>1411</v>
      </c>
      <c r="H298" s="70" t="s">
        <v>1410</v>
      </c>
      <c r="I298" s="363">
        <v>4</v>
      </c>
      <c r="J298" s="64"/>
      <c r="K298" s="64"/>
      <c r="L298" s="64"/>
    </row>
    <row r="299" spans="1:12" x14ac:dyDescent="0.25">
      <c r="A299" s="71">
        <v>221120</v>
      </c>
      <c r="B299" s="71">
        <v>2007</v>
      </c>
      <c r="C299" s="71" t="s">
        <v>1874</v>
      </c>
      <c r="D299" s="71" t="s">
        <v>476</v>
      </c>
      <c r="E299" s="71" t="s">
        <v>475</v>
      </c>
      <c r="F299" s="66" t="s">
        <v>307</v>
      </c>
      <c r="G299" s="70" t="s">
        <v>1411</v>
      </c>
      <c r="H299" s="70" t="s">
        <v>1410</v>
      </c>
      <c r="I299" s="363">
        <v>4</v>
      </c>
      <c r="J299" s="64"/>
      <c r="K299" s="64"/>
      <c r="L299" s="64"/>
    </row>
    <row r="300" spans="1:12" x14ac:dyDescent="0.25">
      <c r="A300" s="71">
        <v>221900</v>
      </c>
      <c r="B300" s="71">
        <v>2007</v>
      </c>
      <c r="C300" s="71" t="s">
        <v>1873</v>
      </c>
      <c r="D300" s="71" t="s">
        <v>476</v>
      </c>
      <c r="E300" s="71" t="s">
        <v>475</v>
      </c>
      <c r="F300" s="66" t="s">
        <v>307</v>
      </c>
      <c r="G300" s="70" t="s">
        <v>1411</v>
      </c>
      <c r="H300" s="70" t="s">
        <v>1410</v>
      </c>
      <c r="I300" s="363">
        <v>4</v>
      </c>
      <c r="J300" s="64"/>
      <c r="K300" s="64"/>
      <c r="L300" s="64"/>
    </row>
    <row r="301" spans="1:12" x14ac:dyDescent="0.25">
      <c r="A301" s="71">
        <v>221901</v>
      </c>
      <c r="B301" s="71">
        <v>2007</v>
      </c>
      <c r="C301" s="71" t="s">
        <v>1872</v>
      </c>
      <c r="D301" s="71" t="s">
        <v>476</v>
      </c>
      <c r="E301" s="71" t="s">
        <v>475</v>
      </c>
      <c r="F301" s="66" t="s">
        <v>307</v>
      </c>
      <c r="G301" s="70" t="s">
        <v>1411</v>
      </c>
      <c r="H301" s="70" t="s">
        <v>1410</v>
      </c>
      <c r="I301" s="363">
        <v>4</v>
      </c>
      <c r="J301" s="64"/>
      <c r="K301" s="64"/>
      <c r="L301" s="64"/>
    </row>
    <row r="302" spans="1:12" x14ac:dyDescent="0.25">
      <c r="A302" s="71">
        <v>221909</v>
      </c>
      <c r="B302" s="71">
        <v>2007</v>
      </c>
      <c r="C302" s="71" t="s">
        <v>1871</v>
      </c>
      <c r="D302" s="71" t="s">
        <v>476</v>
      </c>
      <c r="E302" s="71" t="s">
        <v>475</v>
      </c>
      <c r="F302" s="66" t="s">
        <v>307</v>
      </c>
      <c r="G302" s="70" t="s">
        <v>1411</v>
      </c>
      <c r="H302" s="70" t="s">
        <v>1410</v>
      </c>
      <c r="I302" s="363">
        <v>4</v>
      </c>
      <c r="J302" s="64"/>
      <c r="K302" s="64"/>
      <c r="L302" s="64"/>
    </row>
    <row r="303" spans="1:12" x14ac:dyDescent="0.25">
      <c r="A303" s="71">
        <v>222000</v>
      </c>
      <c r="B303" s="71">
        <v>2007</v>
      </c>
      <c r="C303" s="71" t="s">
        <v>1870</v>
      </c>
      <c r="D303" s="71" t="s">
        <v>476</v>
      </c>
      <c r="E303" s="71" t="s">
        <v>475</v>
      </c>
      <c r="F303" s="66" t="s">
        <v>307</v>
      </c>
      <c r="G303" s="70" t="s">
        <v>1411</v>
      </c>
      <c r="H303" s="70" t="s">
        <v>1410</v>
      </c>
      <c r="I303" s="363">
        <v>4</v>
      </c>
      <c r="J303" s="64"/>
      <c r="K303" s="64"/>
      <c r="L303" s="64"/>
    </row>
    <row r="304" spans="1:12" x14ac:dyDescent="0.25">
      <c r="A304" s="71">
        <v>222100</v>
      </c>
      <c r="B304" s="71">
        <v>2007</v>
      </c>
      <c r="C304" s="71" t="s">
        <v>1869</v>
      </c>
      <c r="D304" s="71" t="s">
        <v>476</v>
      </c>
      <c r="E304" s="71" t="s">
        <v>475</v>
      </c>
      <c r="F304" s="66" t="s">
        <v>307</v>
      </c>
      <c r="G304" s="70" t="s">
        <v>1411</v>
      </c>
      <c r="H304" s="70" t="s">
        <v>1410</v>
      </c>
      <c r="I304" s="363">
        <v>4</v>
      </c>
      <c r="J304" s="64"/>
      <c r="K304" s="64"/>
      <c r="L304" s="64"/>
    </row>
    <row r="305" spans="1:12" x14ac:dyDescent="0.25">
      <c r="A305" s="71">
        <v>222200</v>
      </c>
      <c r="B305" s="71">
        <v>2007</v>
      </c>
      <c r="C305" s="71" t="s">
        <v>1868</v>
      </c>
      <c r="D305" s="71" t="s">
        <v>476</v>
      </c>
      <c r="E305" s="71" t="s">
        <v>475</v>
      </c>
      <c r="F305" s="66" t="s">
        <v>307</v>
      </c>
      <c r="G305" s="70" t="s">
        <v>1411</v>
      </c>
      <c r="H305" s="70" t="s">
        <v>1410</v>
      </c>
      <c r="I305" s="363">
        <v>4</v>
      </c>
      <c r="J305" s="64"/>
      <c r="K305" s="64"/>
      <c r="L305" s="64"/>
    </row>
    <row r="306" spans="1:12" x14ac:dyDescent="0.25">
      <c r="A306" s="71">
        <v>222300</v>
      </c>
      <c r="B306" s="71">
        <v>2007</v>
      </c>
      <c r="C306" s="71" t="s">
        <v>1867</v>
      </c>
      <c r="D306" s="71" t="s">
        <v>476</v>
      </c>
      <c r="E306" s="71" t="s">
        <v>475</v>
      </c>
      <c r="F306" s="66" t="s">
        <v>307</v>
      </c>
      <c r="G306" s="70" t="s">
        <v>1411</v>
      </c>
      <c r="H306" s="70" t="s">
        <v>1410</v>
      </c>
      <c r="I306" s="363">
        <v>4</v>
      </c>
      <c r="J306" s="64"/>
      <c r="K306" s="64"/>
      <c r="L306" s="64"/>
    </row>
    <row r="307" spans="1:12" x14ac:dyDescent="0.25">
      <c r="A307" s="71">
        <v>222301</v>
      </c>
      <c r="B307" s="71">
        <v>2007</v>
      </c>
      <c r="C307" s="71" t="s">
        <v>1866</v>
      </c>
      <c r="D307" s="71" t="s">
        <v>476</v>
      </c>
      <c r="E307" s="71" t="s">
        <v>475</v>
      </c>
      <c r="F307" s="66" t="s">
        <v>307</v>
      </c>
      <c r="G307" s="70" t="s">
        <v>1411</v>
      </c>
      <c r="H307" s="70" t="s">
        <v>1410</v>
      </c>
      <c r="I307" s="363">
        <v>4</v>
      </c>
      <c r="J307" s="64"/>
      <c r="K307" s="64"/>
      <c r="L307" s="64"/>
    </row>
    <row r="308" spans="1:12" x14ac:dyDescent="0.25">
      <c r="A308" s="71">
        <v>222302</v>
      </c>
      <c r="B308" s="71">
        <v>2007</v>
      </c>
      <c r="C308" s="71" t="s">
        <v>1865</v>
      </c>
      <c r="D308" s="71" t="s">
        <v>476</v>
      </c>
      <c r="E308" s="71" t="s">
        <v>475</v>
      </c>
      <c r="F308" s="66" t="s">
        <v>307</v>
      </c>
      <c r="G308" s="70" t="s">
        <v>1411</v>
      </c>
      <c r="H308" s="70" t="s">
        <v>1410</v>
      </c>
      <c r="I308" s="363">
        <v>4</v>
      </c>
      <c r="J308" s="64"/>
      <c r="K308" s="64"/>
      <c r="L308" s="64"/>
    </row>
    <row r="309" spans="1:12" x14ac:dyDescent="0.25">
      <c r="A309" s="71">
        <v>222309</v>
      </c>
      <c r="B309" s="71">
        <v>2007</v>
      </c>
      <c r="C309" s="71" t="s">
        <v>1864</v>
      </c>
      <c r="D309" s="71" t="s">
        <v>476</v>
      </c>
      <c r="E309" s="71" t="s">
        <v>475</v>
      </c>
      <c r="F309" s="66" t="s">
        <v>307</v>
      </c>
      <c r="G309" s="70" t="s">
        <v>1411</v>
      </c>
      <c r="H309" s="70" t="s">
        <v>1410</v>
      </c>
      <c r="I309" s="363">
        <v>4</v>
      </c>
      <c r="J309" s="64"/>
      <c r="K309" s="64"/>
      <c r="L309" s="64"/>
    </row>
    <row r="310" spans="1:12" x14ac:dyDescent="0.25">
      <c r="A310" s="71">
        <v>222900</v>
      </c>
      <c r="B310" s="71">
        <v>2007</v>
      </c>
      <c r="C310" s="71" t="s">
        <v>1863</v>
      </c>
      <c r="D310" s="71" t="s">
        <v>476</v>
      </c>
      <c r="E310" s="71" t="s">
        <v>475</v>
      </c>
      <c r="F310" s="66" t="s">
        <v>307</v>
      </c>
      <c r="G310" s="70" t="s">
        <v>1411</v>
      </c>
      <c r="H310" s="70" t="s">
        <v>1410</v>
      </c>
      <c r="I310" s="363">
        <v>4</v>
      </c>
      <c r="J310" s="64"/>
      <c r="K310" s="64"/>
      <c r="L310" s="64"/>
    </row>
    <row r="311" spans="1:12" x14ac:dyDescent="0.25">
      <c r="A311" s="71">
        <v>222901</v>
      </c>
      <c r="B311" s="71">
        <v>2007</v>
      </c>
      <c r="C311" s="71" t="s">
        <v>1862</v>
      </c>
      <c r="D311" s="71" t="s">
        <v>476</v>
      </c>
      <c r="E311" s="71" t="s">
        <v>475</v>
      </c>
      <c r="F311" s="66" t="s">
        <v>307</v>
      </c>
      <c r="G311" s="70" t="s">
        <v>1411</v>
      </c>
      <c r="H311" s="70" t="s">
        <v>1410</v>
      </c>
      <c r="I311" s="363">
        <v>4</v>
      </c>
      <c r="J311" s="64"/>
      <c r="K311" s="64"/>
      <c r="L311" s="64"/>
    </row>
    <row r="312" spans="1:12" x14ac:dyDescent="0.25">
      <c r="A312" s="71">
        <v>222902</v>
      </c>
      <c r="B312" s="71">
        <v>2007</v>
      </c>
      <c r="C312" s="71" t="s">
        <v>1861</v>
      </c>
      <c r="D312" s="71" t="s">
        <v>476</v>
      </c>
      <c r="E312" s="71" t="s">
        <v>475</v>
      </c>
      <c r="F312" s="66" t="s">
        <v>307</v>
      </c>
      <c r="G312" s="70" t="s">
        <v>1411</v>
      </c>
      <c r="H312" s="70" t="s">
        <v>1410</v>
      </c>
      <c r="I312" s="363">
        <v>4</v>
      </c>
      <c r="J312" s="64"/>
      <c r="K312" s="64"/>
      <c r="L312" s="64"/>
    </row>
    <row r="313" spans="1:12" x14ac:dyDescent="0.25">
      <c r="A313" s="71">
        <v>222909</v>
      </c>
      <c r="B313" s="71">
        <v>2007</v>
      </c>
      <c r="C313" s="71" t="s">
        <v>1860</v>
      </c>
      <c r="D313" s="71" t="s">
        <v>476</v>
      </c>
      <c r="E313" s="71" t="s">
        <v>475</v>
      </c>
      <c r="F313" s="66" t="s">
        <v>307</v>
      </c>
      <c r="G313" s="70" t="s">
        <v>1411</v>
      </c>
      <c r="H313" s="70" t="s">
        <v>1410</v>
      </c>
      <c r="I313" s="363">
        <v>4</v>
      </c>
      <c r="J313" s="64"/>
      <c r="K313" s="64"/>
      <c r="L313" s="64"/>
    </row>
    <row r="314" spans="1:12" x14ac:dyDescent="0.25">
      <c r="A314" s="71">
        <v>230000</v>
      </c>
      <c r="B314" s="71">
        <v>2007</v>
      </c>
      <c r="C314" s="71" t="s">
        <v>1859</v>
      </c>
      <c r="D314" s="71" t="s">
        <v>476</v>
      </c>
      <c r="E314" s="71" t="s">
        <v>475</v>
      </c>
      <c r="F314" s="66" t="s">
        <v>307</v>
      </c>
      <c r="G314" s="70" t="s">
        <v>1411</v>
      </c>
      <c r="H314" s="70" t="s">
        <v>1410</v>
      </c>
      <c r="I314" s="363">
        <v>4</v>
      </c>
      <c r="J314" s="64"/>
      <c r="K314" s="64"/>
      <c r="L314" s="64"/>
    </row>
    <row r="315" spans="1:12" x14ac:dyDescent="0.25">
      <c r="A315" s="71">
        <v>231000</v>
      </c>
      <c r="B315" s="71">
        <v>2007</v>
      </c>
      <c r="C315" s="71" t="s">
        <v>1858</v>
      </c>
      <c r="D315" s="71" t="s">
        <v>476</v>
      </c>
      <c r="E315" s="71" t="s">
        <v>475</v>
      </c>
      <c r="F315" s="66" t="s">
        <v>307</v>
      </c>
      <c r="G315" s="70" t="s">
        <v>1411</v>
      </c>
      <c r="H315" s="70" t="s">
        <v>1410</v>
      </c>
      <c r="I315" s="363">
        <v>4</v>
      </c>
      <c r="J315" s="64"/>
      <c r="K315" s="64"/>
      <c r="L315" s="64"/>
    </row>
    <row r="316" spans="1:12" x14ac:dyDescent="0.25">
      <c r="A316" s="71">
        <v>231100</v>
      </c>
      <c r="B316" s="71">
        <v>2007</v>
      </c>
      <c r="C316" s="71" t="s">
        <v>1857</v>
      </c>
      <c r="D316" s="71" t="s">
        <v>476</v>
      </c>
      <c r="E316" s="71" t="s">
        <v>475</v>
      </c>
      <c r="F316" s="66" t="s">
        <v>307</v>
      </c>
      <c r="G316" s="70" t="s">
        <v>1411</v>
      </c>
      <c r="H316" s="70" t="s">
        <v>1410</v>
      </c>
      <c r="I316" s="363">
        <v>4</v>
      </c>
      <c r="J316" s="64"/>
      <c r="K316" s="64"/>
      <c r="L316" s="64"/>
    </row>
    <row r="317" spans="1:12" x14ac:dyDescent="0.25">
      <c r="A317" s="71">
        <v>231200</v>
      </c>
      <c r="B317" s="71">
        <v>2007</v>
      </c>
      <c r="C317" s="71" t="s">
        <v>1856</v>
      </c>
      <c r="D317" s="71" t="s">
        <v>476</v>
      </c>
      <c r="E317" s="71" t="s">
        <v>475</v>
      </c>
      <c r="F317" s="66" t="s">
        <v>307</v>
      </c>
      <c r="G317" s="70" t="s">
        <v>1411</v>
      </c>
      <c r="H317" s="70" t="s">
        <v>1410</v>
      </c>
      <c r="I317" s="363">
        <v>4</v>
      </c>
      <c r="J317" s="64"/>
      <c r="K317" s="64"/>
      <c r="L317" s="64"/>
    </row>
    <row r="318" spans="1:12" x14ac:dyDescent="0.25">
      <c r="A318" s="71">
        <v>231300</v>
      </c>
      <c r="B318" s="71">
        <v>2007</v>
      </c>
      <c r="C318" s="71" t="s">
        <v>1855</v>
      </c>
      <c r="D318" s="71" t="s">
        <v>476</v>
      </c>
      <c r="E318" s="71" t="s">
        <v>475</v>
      </c>
      <c r="F318" s="66" t="s">
        <v>307</v>
      </c>
      <c r="G318" s="70" t="s">
        <v>1411</v>
      </c>
      <c r="H318" s="70" t="s">
        <v>1410</v>
      </c>
      <c r="I318" s="363">
        <v>4</v>
      </c>
      <c r="J318" s="64"/>
      <c r="K318" s="64"/>
      <c r="L318" s="64"/>
    </row>
    <row r="319" spans="1:12" x14ac:dyDescent="0.25">
      <c r="A319" s="71">
        <v>231400</v>
      </c>
      <c r="B319" s="71">
        <v>2007</v>
      </c>
      <c r="C319" s="71" t="s">
        <v>1854</v>
      </c>
      <c r="D319" s="71" t="s">
        <v>476</v>
      </c>
      <c r="E319" s="71" t="s">
        <v>475</v>
      </c>
      <c r="F319" s="66" t="s">
        <v>307</v>
      </c>
      <c r="G319" s="70" t="s">
        <v>1411</v>
      </c>
      <c r="H319" s="70" t="s">
        <v>1410</v>
      </c>
      <c r="I319" s="363">
        <v>4</v>
      </c>
      <c r="J319" s="64"/>
      <c r="K319" s="64"/>
      <c r="L319" s="64"/>
    </row>
    <row r="320" spans="1:12" x14ac:dyDescent="0.25">
      <c r="A320" s="71">
        <v>231900</v>
      </c>
      <c r="B320" s="71">
        <v>2007</v>
      </c>
      <c r="C320" s="71" t="s">
        <v>1853</v>
      </c>
      <c r="D320" s="71" t="s">
        <v>476</v>
      </c>
      <c r="E320" s="71" t="s">
        <v>475</v>
      </c>
      <c r="F320" s="66" t="s">
        <v>307</v>
      </c>
      <c r="G320" s="70" t="s">
        <v>1411</v>
      </c>
      <c r="H320" s="70" t="s">
        <v>1410</v>
      </c>
      <c r="I320" s="363">
        <v>4</v>
      </c>
      <c r="J320" s="64"/>
      <c r="K320" s="64"/>
      <c r="L320" s="64"/>
    </row>
    <row r="321" spans="1:12" x14ac:dyDescent="0.25">
      <c r="A321" s="71">
        <v>231910</v>
      </c>
      <c r="B321" s="71">
        <v>2007</v>
      </c>
      <c r="C321" s="71" t="s">
        <v>1852</v>
      </c>
      <c r="D321" s="71" t="s">
        <v>476</v>
      </c>
      <c r="E321" s="71" t="s">
        <v>475</v>
      </c>
      <c r="F321" s="66" t="s">
        <v>307</v>
      </c>
      <c r="G321" s="70" t="s">
        <v>1411</v>
      </c>
      <c r="H321" s="70" t="s">
        <v>1410</v>
      </c>
      <c r="I321" s="363">
        <v>4</v>
      </c>
      <c r="J321" s="64"/>
      <c r="K321" s="64"/>
      <c r="L321" s="64"/>
    </row>
    <row r="322" spans="1:12" x14ac:dyDescent="0.25">
      <c r="A322" s="71">
        <v>231920</v>
      </c>
      <c r="B322" s="71">
        <v>2007</v>
      </c>
      <c r="C322" s="71" t="s">
        <v>1851</v>
      </c>
      <c r="D322" s="71" t="s">
        <v>476</v>
      </c>
      <c r="E322" s="71" t="s">
        <v>475</v>
      </c>
      <c r="F322" s="66" t="s">
        <v>307</v>
      </c>
      <c r="G322" s="70" t="s">
        <v>1411</v>
      </c>
      <c r="H322" s="70" t="s">
        <v>1410</v>
      </c>
      <c r="I322" s="363">
        <v>4</v>
      </c>
      <c r="J322" s="64"/>
      <c r="K322" s="64"/>
      <c r="L322" s="64"/>
    </row>
    <row r="323" spans="1:12" x14ac:dyDescent="0.25">
      <c r="A323" s="71">
        <v>231990</v>
      </c>
      <c r="B323" s="71">
        <v>2007</v>
      </c>
      <c r="C323" s="71" t="s">
        <v>1850</v>
      </c>
      <c r="D323" s="71" t="s">
        <v>476</v>
      </c>
      <c r="E323" s="71" t="s">
        <v>475</v>
      </c>
      <c r="F323" s="66" t="s">
        <v>307</v>
      </c>
      <c r="G323" s="70" t="s">
        <v>1411</v>
      </c>
      <c r="H323" s="70" t="s">
        <v>1410</v>
      </c>
      <c r="I323" s="363">
        <v>4</v>
      </c>
      <c r="J323" s="64"/>
      <c r="K323" s="64"/>
      <c r="L323" s="64"/>
    </row>
    <row r="324" spans="1:12" x14ac:dyDescent="0.25">
      <c r="A324" s="71">
        <v>232000</v>
      </c>
      <c r="B324" s="71">
        <v>2007</v>
      </c>
      <c r="C324" s="71" t="s">
        <v>1849</v>
      </c>
      <c r="D324" s="71" t="s">
        <v>476</v>
      </c>
      <c r="E324" s="71" t="s">
        <v>475</v>
      </c>
      <c r="F324" s="66" t="s">
        <v>307</v>
      </c>
      <c r="G324" s="70" t="s">
        <v>1411</v>
      </c>
      <c r="H324" s="70" t="s">
        <v>1410</v>
      </c>
      <c r="I324" s="363">
        <v>4</v>
      </c>
      <c r="J324" s="64"/>
      <c r="K324" s="64"/>
      <c r="L324" s="64"/>
    </row>
    <row r="325" spans="1:12" x14ac:dyDescent="0.25">
      <c r="A325" s="71">
        <v>233000</v>
      </c>
      <c r="B325" s="71">
        <v>2007</v>
      </c>
      <c r="C325" s="71" t="s">
        <v>1848</v>
      </c>
      <c r="D325" s="71" t="s">
        <v>476</v>
      </c>
      <c r="E325" s="71" t="s">
        <v>475</v>
      </c>
      <c r="F325" s="66" t="s">
        <v>307</v>
      </c>
      <c r="G325" s="70" t="s">
        <v>1411</v>
      </c>
      <c r="H325" s="70" t="s">
        <v>1410</v>
      </c>
      <c r="I325" s="363">
        <v>4</v>
      </c>
      <c r="J325" s="64"/>
      <c r="K325" s="64"/>
      <c r="L325" s="64"/>
    </row>
    <row r="326" spans="1:12" x14ac:dyDescent="0.25">
      <c r="A326" s="71">
        <v>233100</v>
      </c>
      <c r="B326" s="71">
        <v>2007</v>
      </c>
      <c r="C326" s="71" t="s">
        <v>1847</v>
      </c>
      <c r="D326" s="71" t="s">
        <v>476</v>
      </c>
      <c r="E326" s="71" t="s">
        <v>475</v>
      </c>
      <c r="F326" s="66" t="s">
        <v>307</v>
      </c>
      <c r="G326" s="70" t="s">
        <v>1411</v>
      </c>
      <c r="H326" s="70" t="s">
        <v>1410</v>
      </c>
      <c r="I326" s="363">
        <v>4</v>
      </c>
      <c r="J326" s="64"/>
      <c r="K326" s="64"/>
      <c r="L326" s="64"/>
    </row>
    <row r="327" spans="1:12" x14ac:dyDescent="0.25">
      <c r="A327" s="71">
        <v>233200</v>
      </c>
      <c r="B327" s="71">
        <v>2007</v>
      </c>
      <c r="C327" s="71" t="s">
        <v>1846</v>
      </c>
      <c r="D327" s="71" t="s">
        <v>476</v>
      </c>
      <c r="E327" s="71" t="s">
        <v>475</v>
      </c>
      <c r="F327" s="66" t="s">
        <v>307</v>
      </c>
      <c r="G327" s="70" t="s">
        <v>1411</v>
      </c>
      <c r="H327" s="70" t="s">
        <v>1410</v>
      </c>
      <c r="I327" s="363">
        <v>4</v>
      </c>
      <c r="J327" s="64"/>
      <c r="K327" s="64"/>
      <c r="L327" s="64"/>
    </row>
    <row r="328" spans="1:12" x14ac:dyDescent="0.25">
      <c r="A328" s="71">
        <v>234000</v>
      </c>
      <c r="B328" s="71">
        <v>2007</v>
      </c>
      <c r="C328" s="71" t="s">
        <v>1845</v>
      </c>
      <c r="D328" s="71" t="s">
        <v>476</v>
      </c>
      <c r="E328" s="71" t="s">
        <v>475</v>
      </c>
      <c r="F328" s="66" t="s">
        <v>307</v>
      </c>
      <c r="G328" s="70" t="s">
        <v>1411</v>
      </c>
      <c r="H328" s="70" t="s">
        <v>1410</v>
      </c>
      <c r="I328" s="363">
        <v>4</v>
      </c>
      <c r="J328" s="64"/>
      <c r="K328" s="64"/>
      <c r="L328" s="64"/>
    </row>
    <row r="329" spans="1:12" x14ac:dyDescent="0.25">
      <c r="A329" s="71">
        <v>234100</v>
      </c>
      <c r="B329" s="71">
        <v>2007</v>
      </c>
      <c r="C329" s="71" t="s">
        <v>1844</v>
      </c>
      <c r="D329" s="71" t="s">
        <v>476</v>
      </c>
      <c r="E329" s="71" t="s">
        <v>475</v>
      </c>
      <c r="F329" s="66" t="s">
        <v>307</v>
      </c>
      <c r="G329" s="70" t="s">
        <v>1411</v>
      </c>
      <c r="H329" s="70" t="s">
        <v>1410</v>
      </c>
      <c r="I329" s="363">
        <v>4</v>
      </c>
      <c r="J329" s="64"/>
      <c r="K329" s="64"/>
      <c r="L329" s="64"/>
    </row>
    <row r="330" spans="1:12" x14ac:dyDescent="0.25">
      <c r="A330" s="71">
        <v>234200</v>
      </c>
      <c r="B330" s="71">
        <v>2007</v>
      </c>
      <c r="C330" s="71" t="s">
        <v>1843</v>
      </c>
      <c r="D330" s="71" t="s">
        <v>476</v>
      </c>
      <c r="E330" s="71" t="s">
        <v>475</v>
      </c>
      <c r="F330" s="66" t="s">
        <v>307</v>
      </c>
      <c r="G330" s="70" t="s">
        <v>1411</v>
      </c>
      <c r="H330" s="70" t="s">
        <v>1410</v>
      </c>
      <c r="I330" s="363">
        <v>4</v>
      </c>
      <c r="J330" s="64"/>
      <c r="K330" s="64"/>
      <c r="L330" s="64"/>
    </row>
    <row r="331" spans="1:12" x14ac:dyDescent="0.25">
      <c r="A331" s="71">
        <v>234300</v>
      </c>
      <c r="B331" s="71">
        <v>2007</v>
      </c>
      <c r="C331" s="71" t="s">
        <v>1842</v>
      </c>
      <c r="D331" s="71" t="s">
        <v>476</v>
      </c>
      <c r="E331" s="71" t="s">
        <v>475</v>
      </c>
      <c r="F331" s="66" t="s">
        <v>307</v>
      </c>
      <c r="G331" s="70" t="s">
        <v>1411</v>
      </c>
      <c r="H331" s="70" t="s">
        <v>1410</v>
      </c>
      <c r="I331" s="363">
        <v>4</v>
      </c>
      <c r="J331" s="64"/>
      <c r="K331" s="64"/>
      <c r="L331" s="64"/>
    </row>
    <row r="332" spans="1:12" x14ac:dyDescent="0.25">
      <c r="A332" s="71">
        <v>234400</v>
      </c>
      <c r="B332" s="71">
        <v>2007</v>
      </c>
      <c r="C332" s="71" t="s">
        <v>1841</v>
      </c>
      <c r="D332" s="71" t="s">
        <v>476</v>
      </c>
      <c r="E332" s="71" t="s">
        <v>475</v>
      </c>
      <c r="F332" s="66" t="s">
        <v>307</v>
      </c>
      <c r="G332" s="70" t="s">
        <v>1411</v>
      </c>
      <c r="H332" s="70" t="s">
        <v>1410</v>
      </c>
      <c r="I332" s="363">
        <v>4</v>
      </c>
      <c r="J332" s="64"/>
      <c r="K332" s="64"/>
      <c r="L332" s="64"/>
    </row>
    <row r="333" spans="1:12" x14ac:dyDescent="0.25">
      <c r="A333" s="71">
        <v>234900</v>
      </c>
      <c r="B333" s="71">
        <v>2007</v>
      </c>
      <c r="C333" s="71" t="s">
        <v>1840</v>
      </c>
      <c r="D333" s="71" t="s">
        <v>476</v>
      </c>
      <c r="E333" s="71" t="s">
        <v>475</v>
      </c>
      <c r="F333" s="66" t="s">
        <v>307</v>
      </c>
      <c r="G333" s="70" t="s">
        <v>1411</v>
      </c>
      <c r="H333" s="70" t="s">
        <v>1410</v>
      </c>
      <c r="I333" s="363">
        <v>4</v>
      </c>
      <c r="J333" s="64"/>
      <c r="K333" s="64"/>
      <c r="L333" s="64"/>
    </row>
    <row r="334" spans="1:12" x14ac:dyDescent="0.25">
      <c r="A334" s="71">
        <v>235000</v>
      </c>
      <c r="B334" s="71">
        <v>2007</v>
      </c>
      <c r="C334" s="71" t="s">
        <v>1839</v>
      </c>
      <c r="D334" s="71" t="s">
        <v>476</v>
      </c>
      <c r="E334" s="71" t="s">
        <v>475</v>
      </c>
      <c r="F334" s="66" t="s">
        <v>307</v>
      </c>
      <c r="G334" s="70" t="s">
        <v>1411</v>
      </c>
      <c r="H334" s="70" t="s">
        <v>1410</v>
      </c>
      <c r="I334" s="363">
        <v>4</v>
      </c>
      <c r="J334" s="64"/>
      <c r="K334" s="64"/>
      <c r="L334" s="64"/>
    </row>
    <row r="335" spans="1:12" x14ac:dyDescent="0.25">
      <c r="A335" s="71">
        <v>235100</v>
      </c>
      <c r="B335" s="71">
        <v>2007</v>
      </c>
      <c r="C335" s="71" t="s">
        <v>1838</v>
      </c>
      <c r="D335" s="71" t="s">
        <v>476</v>
      </c>
      <c r="E335" s="71" t="s">
        <v>475</v>
      </c>
      <c r="F335" s="66" t="s">
        <v>307</v>
      </c>
      <c r="G335" s="70" t="s">
        <v>1411</v>
      </c>
      <c r="H335" s="70" t="s">
        <v>1410</v>
      </c>
      <c r="I335" s="363">
        <v>4</v>
      </c>
      <c r="J335" s="64"/>
      <c r="K335" s="64"/>
      <c r="L335" s="64"/>
    </row>
    <row r="336" spans="1:12" x14ac:dyDescent="0.25">
      <c r="A336" s="71">
        <v>235200</v>
      </c>
      <c r="B336" s="71">
        <v>2007</v>
      </c>
      <c r="C336" s="71" t="s">
        <v>1837</v>
      </c>
      <c r="D336" s="71" t="s">
        <v>476</v>
      </c>
      <c r="E336" s="71" t="s">
        <v>475</v>
      </c>
      <c r="F336" s="66" t="s">
        <v>307</v>
      </c>
      <c r="G336" s="70" t="s">
        <v>1411</v>
      </c>
      <c r="H336" s="70" t="s">
        <v>1410</v>
      </c>
      <c r="I336" s="363">
        <v>4</v>
      </c>
      <c r="J336" s="64"/>
      <c r="K336" s="64"/>
      <c r="L336" s="64"/>
    </row>
    <row r="337" spans="1:12" x14ac:dyDescent="0.25">
      <c r="A337" s="71">
        <v>235210</v>
      </c>
      <c r="B337" s="71">
        <v>2007</v>
      </c>
      <c r="C337" s="71" t="s">
        <v>1836</v>
      </c>
      <c r="D337" s="71" t="s">
        <v>476</v>
      </c>
      <c r="E337" s="71" t="s">
        <v>475</v>
      </c>
      <c r="F337" s="66" t="s">
        <v>307</v>
      </c>
      <c r="G337" s="70" t="s">
        <v>1411</v>
      </c>
      <c r="H337" s="70" t="s">
        <v>1410</v>
      </c>
      <c r="I337" s="363">
        <v>4</v>
      </c>
      <c r="J337" s="64"/>
      <c r="K337" s="64"/>
      <c r="L337" s="64"/>
    </row>
    <row r="338" spans="1:12" x14ac:dyDescent="0.25">
      <c r="A338" s="71">
        <v>235220</v>
      </c>
      <c r="B338" s="71">
        <v>2007</v>
      </c>
      <c r="C338" s="71" t="s">
        <v>1835</v>
      </c>
      <c r="D338" s="71" t="s">
        <v>476</v>
      </c>
      <c r="E338" s="71" t="s">
        <v>475</v>
      </c>
      <c r="F338" s="66" t="s">
        <v>307</v>
      </c>
      <c r="G338" s="70" t="s">
        <v>1411</v>
      </c>
      <c r="H338" s="70" t="s">
        <v>1410</v>
      </c>
      <c r="I338" s="363">
        <v>4</v>
      </c>
      <c r="J338" s="64"/>
      <c r="K338" s="64"/>
      <c r="L338" s="64"/>
    </row>
    <row r="339" spans="1:12" x14ac:dyDescent="0.25">
      <c r="A339" s="71">
        <v>236000</v>
      </c>
      <c r="B339" s="71">
        <v>2007</v>
      </c>
      <c r="C339" s="71" t="s">
        <v>1834</v>
      </c>
      <c r="D339" s="71" t="s">
        <v>476</v>
      </c>
      <c r="E339" s="71" t="s">
        <v>475</v>
      </c>
      <c r="F339" s="66" t="s">
        <v>307</v>
      </c>
      <c r="G339" s="70" t="s">
        <v>1411</v>
      </c>
      <c r="H339" s="70" t="s">
        <v>1410</v>
      </c>
      <c r="I339" s="363">
        <v>4</v>
      </c>
      <c r="J339" s="64"/>
      <c r="K339" s="64"/>
      <c r="L339" s="64"/>
    </row>
    <row r="340" spans="1:12" x14ac:dyDescent="0.25">
      <c r="A340" s="71">
        <v>236100</v>
      </c>
      <c r="B340" s="71">
        <v>2007</v>
      </c>
      <c r="C340" s="71" t="s">
        <v>1833</v>
      </c>
      <c r="D340" s="71" t="s">
        <v>476</v>
      </c>
      <c r="E340" s="71" t="s">
        <v>475</v>
      </c>
      <c r="F340" s="66" t="s">
        <v>307</v>
      </c>
      <c r="G340" s="70" t="s">
        <v>1411</v>
      </c>
      <c r="H340" s="70" t="s">
        <v>1410</v>
      </c>
      <c r="I340" s="363">
        <v>4</v>
      </c>
      <c r="J340" s="64"/>
      <c r="K340" s="64"/>
      <c r="L340" s="64"/>
    </row>
    <row r="341" spans="1:12" x14ac:dyDescent="0.25">
      <c r="A341" s="71">
        <v>236200</v>
      </c>
      <c r="B341" s="71">
        <v>2007</v>
      </c>
      <c r="C341" s="71" t="s">
        <v>1832</v>
      </c>
      <c r="D341" s="71" t="s">
        <v>476</v>
      </c>
      <c r="E341" s="71" t="s">
        <v>475</v>
      </c>
      <c r="F341" s="66" t="s">
        <v>307</v>
      </c>
      <c r="G341" s="70" t="s">
        <v>1411</v>
      </c>
      <c r="H341" s="70" t="s">
        <v>1410</v>
      </c>
      <c r="I341" s="363">
        <v>4</v>
      </c>
      <c r="J341" s="64"/>
      <c r="K341" s="64"/>
      <c r="L341" s="64"/>
    </row>
    <row r="342" spans="1:12" x14ac:dyDescent="0.25">
      <c r="A342" s="71">
        <v>236300</v>
      </c>
      <c r="B342" s="71">
        <v>2007</v>
      </c>
      <c r="C342" s="71" t="s">
        <v>1831</v>
      </c>
      <c r="D342" s="71" t="s">
        <v>476</v>
      </c>
      <c r="E342" s="71" t="s">
        <v>475</v>
      </c>
      <c r="F342" s="66" t="s">
        <v>307</v>
      </c>
      <c r="G342" s="70" t="s">
        <v>1411</v>
      </c>
      <c r="H342" s="70" t="s">
        <v>1410</v>
      </c>
      <c r="I342" s="363">
        <v>4</v>
      </c>
      <c r="J342" s="64"/>
      <c r="K342" s="64"/>
      <c r="L342" s="64"/>
    </row>
    <row r="343" spans="1:12" x14ac:dyDescent="0.25">
      <c r="A343" s="71">
        <v>236400</v>
      </c>
      <c r="B343" s="71">
        <v>2007</v>
      </c>
      <c r="C343" s="71" t="s">
        <v>1830</v>
      </c>
      <c r="D343" s="71" t="s">
        <v>476</v>
      </c>
      <c r="E343" s="71" t="s">
        <v>475</v>
      </c>
      <c r="F343" s="66" t="s">
        <v>307</v>
      </c>
      <c r="G343" s="70" t="s">
        <v>1411</v>
      </c>
      <c r="H343" s="70" t="s">
        <v>1410</v>
      </c>
      <c r="I343" s="363">
        <v>4</v>
      </c>
      <c r="J343" s="64"/>
      <c r="K343" s="64"/>
      <c r="L343" s="64"/>
    </row>
    <row r="344" spans="1:12" x14ac:dyDescent="0.25">
      <c r="A344" s="71">
        <v>236500</v>
      </c>
      <c r="B344" s="71">
        <v>2007</v>
      </c>
      <c r="C344" s="71" t="s">
        <v>1829</v>
      </c>
      <c r="D344" s="71" t="s">
        <v>476</v>
      </c>
      <c r="E344" s="71" t="s">
        <v>475</v>
      </c>
      <c r="F344" s="66" t="s">
        <v>307</v>
      </c>
      <c r="G344" s="70" t="s">
        <v>1411</v>
      </c>
      <c r="H344" s="70" t="s">
        <v>1410</v>
      </c>
      <c r="I344" s="363">
        <v>4</v>
      </c>
      <c r="J344" s="64"/>
      <c r="K344" s="64"/>
      <c r="L344" s="64"/>
    </row>
    <row r="345" spans="1:12" x14ac:dyDescent="0.25">
      <c r="A345" s="71">
        <v>236900</v>
      </c>
      <c r="B345" s="71">
        <v>2007</v>
      </c>
      <c r="C345" s="71" t="s">
        <v>1828</v>
      </c>
      <c r="D345" s="71" t="s">
        <v>476</v>
      </c>
      <c r="E345" s="71" t="s">
        <v>475</v>
      </c>
      <c r="F345" s="66" t="s">
        <v>307</v>
      </c>
      <c r="G345" s="70" t="s">
        <v>1411</v>
      </c>
      <c r="H345" s="70" t="s">
        <v>1410</v>
      </c>
      <c r="I345" s="363">
        <v>4</v>
      </c>
      <c r="J345" s="64"/>
      <c r="K345" s="64"/>
      <c r="L345" s="64"/>
    </row>
    <row r="346" spans="1:12" x14ac:dyDescent="0.25">
      <c r="A346" s="71">
        <v>237000</v>
      </c>
      <c r="B346" s="71">
        <v>2007</v>
      </c>
      <c r="C346" s="71" t="s">
        <v>1827</v>
      </c>
      <c r="D346" s="71" t="s">
        <v>476</v>
      </c>
      <c r="E346" s="71" t="s">
        <v>475</v>
      </c>
      <c r="F346" s="66" t="s">
        <v>307</v>
      </c>
      <c r="G346" s="70" t="s">
        <v>1411</v>
      </c>
      <c r="H346" s="70" t="s">
        <v>1410</v>
      </c>
      <c r="I346" s="363">
        <v>4</v>
      </c>
      <c r="J346" s="64"/>
      <c r="K346" s="64"/>
      <c r="L346" s="64"/>
    </row>
    <row r="347" spans="1:12" x14ac:dyDescent="0.25">
      <c r="A347" s="71">
        <v>237010</v>
      </c>
      <c r="B347" s="71">
        <v>2007</v>
      </c>
      <c r="C347" s="71" t="s">
        <v>1826</v>
      </c>
      <c r="D347" s="71" t="s">
        <v>476</v>
      </c>
      <c r="E347" s="71" t="s">
        <v>475</v>
      </c>
      <c r="F347" s="66" t="s">
        <v>307</v>
      </c>
      <c r="G347" s="70" t="s">
        <v>1411</v>
      </c>
      <c r="H347" s="70" t="s">
        <v>1410</v>
      </c>
      <c r="I347" s="363">
        <v>4</v>
      </c>
      <c r="J347" s="64"/>
      <c r="K347" s="64"/>
      <c r="L347" s="64"/>
    </row>
    <row r="348" spans="1:12" x14ac:dyDescent="0.25">
      <c r="A348" s="71">
        <v>237020</v>
      </c>
      <c r="B348" s="71">
        <v>2007</v>
      </c>
      <c r="C348" s="71" t="s">
        <v>1825</v>
      </c>
      <c r="D348" s="71" t="s">
        <v>476</v>
      </c>
      <c r="E348" s="71" t="s">
        <v>475</v>
      </c>
      <c r="F348" s="66" t="s">
        <v>307</v>
      </c>
      <c r="G348" s="70" t="s">
        <v>1411</v>
      </c>
      <c r="H348" s="70" t="s">
        <v>1410</v>
      </c>
      <c r="I348" s="363">
        <v>4</v>
      </c>
      <c r="J348" s="64"/>
      <c r="K348" s="64"/>
      <c r="L348" s="64"/>
    </row>
    <row r="349" spans="1:12" x14ac:dyDescent="0.25">
      <c r="A349" s="71">
        <v>237030</v>
      </c>
      <c r="B349" s="71">
        <v>2007</v>
      </c>
      <c r="C349" s="71" t="s">
        <v>1824</v>
      </c>
      <c r="D349" s="71" t="s">
        <v>476</v>
      </c>
      <c r="E349" s="71" t="s">
        <v>475</v>
      </c>
      <c r="F349" s="66" t="s">
        <v>307</v>
      </c>
      <c r="G349" s="70" t="s">
        <v>1411</v>
      </c>
      <c r="H349" s="70" t="s">
        <v>1410</v>
      </c>
      <c r="I349" s="363">
        <v>4</v>
      </c>
      <c r="J349" s="64"/>
      <c r="K349" s="64"/>
      <c r="L349" s="64"/>
    </row>
    <row r="350" spans="1:12" x14ac:dyDescent="0.25">
      <c r="A350" s="71">
        <v>239000</v>
      </c>
      <c r="B350" s="71">
        <v>2007</v>
      </c>
      <c r="C350" s="71" t="s">
        <v>1823</v>
      </c>
      <c r="D350" s="71" t="s">
        <v>476</v>
      </c>
      <c r="E350" s="71" t="s">
        <v>475</v>
      </c>
      <c r="F350" s="66" t="s">
        <v>307</v>
      </c>
      <c r="G350" s="70" t="s">
        <v>1411</v>
      </c>
      <c r="H350" s="70" t="s">
        <v>1410</v>
      </c>
      <c r="I350" s="363">
        <v>4</v>
      </c>
      <c r="J350" s="64"/>
      <c r="K350" s="64"/>
      <c r="L350" s="64"/>
    </row>
    <row r="351" spans="1:12" x14ac:dyDescent="0.25">
      <c r="A351" s="71">
        <v>239100</v>
      </c>
      <c r="B351" s="71">
        <v>2007</v>
      </c>
      <c r="C351" s="71" t="s">
        <v>1822</v>
      </c>
      <c r="D351" s="71" t="s">
        <v>476</v>
      </c>
      <c r="E351" s="71" t="s">
        <v>475</v>
      </c>
      <c r="F351" s="66" t="s">
        <v>307</v>
      </c>
      <c r="G351" s="70" t="s">
        <v>1411</v>
      </c>
      <c r="H351" s="70" t="s">
        <v>1410</v>
      </c>
      <c r="I351" s="363">
        <v>4</v>
      </c>
      <c r="J351" s="64"/>
      <c r="K351" s="64"/>
      <c r="L351" s="64"/>
    </row>
    <row r="352" spans="1:12" x14ac:dyDescent="0.25">
      <c r="A352" s="71">
        <v>239900</v>
      </c>
      <c r="B352" s="71">
        <v>2007</v>
      </c>
      <c r="C352" s="71" t="s">
        <v>1821</v>
      </c>
      <c r="D352" s="71" t="s">
        <v>476</v>
      </c>
      <c r="E352" s="71" t="s">
        <v>475</v>
      </c>
      <c r="F352" s="66" t="s">
        <v>307</v>
      </c>
      <c r="G352" s="70" t="s">
        <v>1411</v>
      </c>
      <c r="H352" s="70" t="s">
        <v>1410</v>
      </c>
      <c r="I352" s="363">
        <v>4</v>
      </c>
      <c r="J352" s="64"/>
      <c r="K352" s="64"/>
      <c r="L352" s="64"/>
    </row>
    <row r="353" spans="1:12" x14ac:dyDescent="0.25">
      <c r="A353" s="71">
        <v>240000</v>
      </c>
      <c r="B353" s="71">
        <v>2007</v>
      </c>
      <c r="C353" s="71" t="s">
        <v>1820</v>
      </c>
      <c r="D353" s="71" t="s">
        <v>476</v>
      </c>
      <c r="E353" s="71" t="s">
        <v>475</v>
      </c>
      <c r="F353" s="66" t="s">
        <v>307</v>
      </c>
      <c r="G353" s="70" t="s">
        <v>1411</v>
      </c>
      <c r="H353" s="70" t="s">
        <v>1410</v>
      </c>
      <c r="I353" s="363">
        <v>4</v>
      </c>
      <c r="J353" s="64"/>
      <c r="K353" s="64"/>
      <c r="L353" s="64"/>
    </row>
    <row r="354" spans="1:12" x14ac:dyDescent="0.25">
      <c r="A354" s="71">
        <v>241000</v>
      </c>
      <c r="B354" s="71">
        <v>2007</v>
      </c>
      <c r="C354" s="71" t="s">
        <v>1819</v>
      </c>
      <c r="D354" s="71" t="s">
        <v>476</v>
      </c>
      <c r="E354" s="71" t="s">
        <v>475</v>
      </c>
      <c r="F354" s="66" t="s">
        <v>307</v>
      </c>
      <c r="G354" s="70" t="s">
        <v>1411</v>
      </c>
      <c r="H354" s="70" t="s">
        <v>1410</v>
      </c>
      <c r="I354" s="363">
        <v>4</v>
      </c>
      <c r="J354" s="64"/>
      <c r="K354" s="64"/>
      <c r="L354" s="64"/>
    </row>
    <row r="355" spans="1:12" x14ac:dyDescent="0.25">
      <c r="A355" s="71">
        <v>242000</v>
      </c>
      <c r="B355" s="71">
        <v>2007</v>
      </c>
      <c r="C355" s="71" t="s">
        <v>1818</v>
      </c>
      <c r="D355" s="71" t="s">
        <v>476</v>
      </c>
      <c r="E355" s="71" t="s">
        <v>475</v>
      </c>
      <c r="F355" s="66" t="s">
        <v>307</v>
      </c>
      <c r="G355" s="70" t="s">
        <v>1411</v>
      </c>
      <c r="H355" s="70" t="s">
        <v>1410</v>
      </c>
      <c r="I355" s="363">
        <v>4</v>
      </c>
      <c r="J355" s="64"/>
      <c r="K355" s="64"/>
      <c r="L355" s="64"/>
    </row>
    <row r="356" spans="1:12" x14ac:dyDescent="0.25">
      <c r="A356" s="71">
        <v>242010</v>
      </c>
      <c r="B356" s="71">
        <v>2007</v>
      </c>
      <c r="C356" s="71" t="s">
        <v>1817</v>
      </c>
      <c r="D356" s="71" t="s">
        <v>476</v>
      </c>
      <c r="E356" s="71" t="s">
        <v>475</v>
      </c>
      <c r="F356" s="66" t="s">
        <v>307</v>
      </c>
      <c r="G356" s="70" t="s">
        <v>1411</v>
      </c>
      <c r="H356" s="70" t="s">
        <v>1410</v>
      </c>
      <c r="I356" s="363">
        <v>4</v>
      </c>
      <c r="J356" s="64"/>
      <c r="K356" s="64"/>
      <c r="L356" s="64"/>
    </row>
    <row r="357" spans="1:12" x14ac:dyDescent="0.25">
      <c r="A357" s="71">
        <v>242020</v>
      </c>
      <c r="B357" s="71">
        <v>2007</v>
      </c>
      <c r="C357" s="71" t="s">
        <v>1816</v>
      </c>
      <c r="D357" s="71" t="s">
        <v>476</v>
      </c>
      <c r="E357" s="71" t="s">
        <v>475</v>
      </c>
      <c r="F357" s="66" t="s">
        <v>307</v>
      </c>
      <c r="G357" s="70" t="s">
        <v>1411</v>
      </c>
      <c r="H357" s="70" t="s">
        <v>1410</v>
      </c>
      <c r="I357" s="363">
        <v>4</v>
      </c>
      <c r="J357" s="64"/>
      <c r="K357" s="64"/>
      <c r="L357" s="64"/>
    </row>
    <row r="358" spans="1:12" x14ac:dyDescent="0.25">
      <c r="A358" s="71">
        <v>243000</v>
      </c>
      <c r="B358" s="71">
        <v>2007</v>
      </c>
      <c r="C358" s="71" t="s">
        <v>1815</v>
      </c>
      <c r="D358" s="71" t="s">
        <v>476</v>
      </c>
      <c r="E358" s="71" t="s">
        <v>475</v>
      </c>
      <c r="F358" s="66" t="s">
        <v>307</v>
      </c>
      <c r="G358" s="70" t="s">
        <v>1411</v>
      </c>
      <c r="H358" s="70" t="s">
        <v>1410</v>
      </c>
      <c r="I358" s="363">
        <v>4</v>
      </c>
      <c r="J358" s="64"/>
      <c r="K358" s="64"/>
      <c r="L358" s="64"/>
    </row>
    <row r="359" spans="1:12" x14ac:dyDescent="0.25">
      <c r="A359" s="71">
        <v>243100</v>
      </c>
      <c r="B359" s="71">
        <v>2007</v>
      </c>
      <c r="C359" s="71" t="s">
        <v>1814</v>
      </c>
      <c r="D359" s="71" t="s">
        <v>476</v>
      </c>
      <c r="E359" s="71" t="s">
        <v>475</v>
      </c>
      <c r="F359" s="66" t="s">
        <v>307</v>
      </c>
      <c r="G359" s="70" t="s">
        <v>1411</v>
      </c>
      <c r="H359" s="70" t="s">
        <v>1410</v>
      </c>
      <c r="I359" s="363">
        <v>4</v>
      </c>
      <c r="J359" s="64"/>
      <c r="K359" s="64"/>
      <c r="L359" s="64"/>
    </row>
    <row r="360" spans="1:12" x14ac:dyDescent="0.25">
      <c r="A360" s="71">
        <v>243200</v>
      </c>
      <c r="B360" s="71">
        <v>2007</v>
      </c>
      <c r="C360" s="71" t="s">
        <v>1813</v>
      </c>
      <c r="D360" s="71" t="s">
        <v>476</v>
      </c>
      <c r="E360" s="71" t="s">
        <v>475</v>
      </c>
      <c r="F360" s="66" t="s">
        <v>307</v>
      </c>
      <c r="G360" s="70" t="s">
        <v>1411</v>
      </c>
      <c r="H360" s="70" t="s">
        <v>1410</v>
      </c>
      <c r="I360" s="363">
        <v>4</v>
      </c>
      <c r="J360" s="64"/>
      <c r="K360" s="64"/>
      <c r="L360" s="64"/>
    </row>
    <row r="361" spans="1:12" x14ac:dyDescent="0.25">
      <c r="A361" s="71">
        <v>243300</v>
      </c>
      <c r="B361" s="71">
        <v>2007</v>
      </c>
      <c r="C361" s="71" t="s">
        <v>1811</v>
      </c>
      <c r="D361" s="71" t="s">
        <v>476</v>
      </c>
      <c r="E361" s="71" t="s">
        <v>475</v>
      </c>
      <c r="F361" s="66" t="s">
        <v>307</v>
      </c>
      <c r="G361" s="70" t="s">
        <v>1411</v>
      </c>
      <c r="H361" s="70" t="s">
        <v>1410</v>
      </c>
      <c r="I361" s="363">
        <v>4</v>
      </c>
      <c r="J361" s="64"/>
      <c r="K361" s="64"/>
      <c r="L361" s="64"/>
    </row>
    <row r="362" spans="1:12" x14ac:dyDescent="0.25">
      <c r="A362" s="71">
        <v>243301</v>
      </c>
      <c r="B362" s="71">
        <v>2007</v>
      </c>
      <c r="C362" s="71" t="s">
        <v>1812</v>
      </c>
      <c r="D362" s="71" t="s">
        <v>476</v>
      </c>
      <c r="E362" s="71" t="s">
        <v>475</v>
      </c>
      <c r="F362" s="66" t="s">
        <v>307</v>
      </c>
      <c r="G362" s="70" t="s">
        <v>1411</v>
      </c>
      <c r="H362" s="70" t="s">
        <v>1410</v>
      </c>
      <c r="I362" s="363">
        <v>4</v>
      </c>
      <c r="J362" s="64"/>
      <c r="K362" s="64"/>
      <c r="L362" s="64"/>
    </row>
    <row r="363" spans="1:12" x14ac:dyDescent="0.25">
      <c r="A363" s="71">
        <v>243302</v>
      </c>
      <c r="B363" s="71">
        <v>2007</v>
      </c>
      <c r="C363" s="71" t="s">
        <v>1811</v>
      </c>
      <c r="D363" s="71" t="s">
        <v>476</v>
      </c>
      <c r="E363" s="71" t="s">
        <v>475</v>
      </c>
      <c r="F363" s="66" t="s">
        <v>307</v>
      </c>
      <c r="G363" s="70" t="s">
        <v>1411</v>
      </c>
      <c r="H363" s="70" t="s">
        <v>1410</v>
      </c>
      <c r="I363" s="363">
        <v>4</v>
      </c>
      <c r="J363" s="64"/>
      <c r="K363" s="64"/>
      <c r="L363" s="64"/>
    </row>
    <row r="364" spans="1:12" x14ac:dyDescent="0.25">
      <c r="A364" s="71">
        <v>243400</v>
      </c>
      <c r="B364" s="71">
        <v>2007</v>
      </c>
      <c r="C364" s="71" t="s">
        <v>1810</v>
      </c>
      <c r="D364" s="71" t="s">
        <v>476</v>
      </c>
      <c r="E364" s="71" t="s">
        <v>475</v>
      </c>
      <c r="F364" s="66" t="s">
        <v>307</v>
      </c>
      <c r="G364" s="70" t="s">
        <v>1411</v>
      </c>
      <c r="H364" s="70" t="s">
        <v>1410</v>
      </c>
      <c r="I364" s="363">
        <v>4</v>
      </c>
      <c r="J364" s="64"/>
      <c r="K364" s="64"/>
      <c r="L364" s="64"/>
    </row>
    <row r="365" spans="1:12" x14ac:dyDescent="0.25">
      <c r="A365" s="71">
        <v>244000</v>
      </c>
      <c r="B365" s="71">
        <v>2007</v>
      </c>
      <c r="C365" s="71" t="s">
        <v>1809</v>
      </c>
      <c r="D365" s="71" t="s">
        <v>476</v>
      </c>
      <c r="E365" s="71" t="s">
        <v>475</v>
      </c>
      <c r="F365" s="66" t="s">
        <v>307</v>
      </c>
      <c r="G365" s="70" t="s">
        <v>1411</v>
      </c>
      <c r="H365" s="70" t="s">
        <v>1410</v>
      </c>
      <c r="I365" s="363">
        <v>4</v>
      </c>
      <c r="J365" s="64"/>
      <c r="K365" s="64"/>
      <c r="L365" s="64"/>
    </row>
    <row r="366" spans="1:12" x14ac:dyDescent="0.25">
      <c r="A366" s="71">
        <v>244100</v>
      </c>
      <c r="B366" s="71">
        <v>2007</v>
      </c>
      <c r="C366" s="71" t="s">
        <v>1808</v>
      </c>
      <c r="D366" s="71" t="s">
        <v>476</v>
      </c>
      <c r="E366" s="71" t="s">
        <v>475</v>
      </c>
      <c r="F366" s="66" t="s">
        <v>307</v>
      </c>
      <c r="G366" s="70" t="s">
        <v>1411</v>
      </c>
      <c r="H366" s="70" t="s">
        <v>1410</v>
      </c>
      <c r="I366" s="363">
        <v>4</v>
      </c>
      <c r="J366" s="64"/>
      <c r="K366" s="64"/>
      <c r="L366" s="64"/>
    </row>
    <row r="367" spans="1:12" x14ac:dyDescent="0.25">
      <c r="A367" s="71">
        <v>244200</v>
      </c>
      <c r="B367" s="71">
        <v>2007</v>
      </c>
      <c r="C367" s="71" t="s">
        <v>1807</v>
      </c>
      <c r="D367" s="71" t="s">
        <v>476</v>
      </c>
      <c r="E367" s="71" t="s">
        <v>475</v>
      </c>
      <c r="F367" s="66" t="s">
        <v>307</v>
      </c>
      <c r="G367" s="70" t="s">
        <v>1411</v>
      </c>
      <c r="H367" s="70" t="s">
        <v>1410</v>
      </c>
      <c r="I367" s="363">
        <v>4</v>
      </c>
      <c r="J367" s="64"/>
      <c r="K367" s="64"/>
      <c r="L367" s="64"/>
    </row>
    <row r="368" spans="1:12" x14ac:dyDescent="0.25">
      <c r="A368" s="71">
        <v>244300</v>
      </c>
      <c r="B368" s="71">
        <v>2007</v>
      </c>
      <c r="C368" s="71" t="s">
        <v>1806</v>
      </c>
      <c r="D368" s="71" t="s">
        <v>476</v>
      </c>
      <c r="E368" s="71" t="s">
        <v>475</v>
      </c>
      <c r="F368" s="66" t="s">
        <v>307</v>
      </c>
      <c r="G368" s="70" t="s">
        <v>1411</v>
      </c>
      <c r="H368" s="70" t="s">
        <v>1410</v>
      </c>
      <c r="I368" s="363">
        <v>4</v>
      </c>
      <c r="J368" s="64"/>
      <c r="K368" s="64"/>
      <c r="L368" s="64"/>
    </row>
    <row r="369" spans="1:12" x14ac:dyDescent="0.25">
      <c r="A369" s="71">
        <v>244400</v>
      </c>
      <c r="B369" s="71">
        <v>2007</v>
      </c>
      <c r="C369" s="71" t="s">
        <v>1805</v>
      </c>
      <c r="D369" s="71" t="s">
        <v>476</v>
      </c>
      <c r="E369" s="71" t="s">
        <v>475</v>
      </c>
      <c r="F369" s="66" t="s">
        <v>307</v>
      </c>
      <c r="G369" s="70" t="s">
        <v>1411</v>
      </c>
      <c r="H369" s="70" t="s">
        <v>1410</v>
      </c>
      <c r="I369" s="363">
        <v>4</v>
      </c>
      <c r="J369" s="64"/>
      <c r="K369" s="64"/>
      <c r="L369" s="64"/>
    </row>
    <row r="370" spans="1:12" x14ac:dyDescent="0.25">
      <c r="A370" s="71">
        <v>244500</v>
      </c>
      <c r="B370" s="71">
        <v>2007</v>
      </c>
      <c r="C370" s="71" t="s">
        <v>1804</v>
      </c>
      <c r="D370" s="71" t="s">
        <v>476</v>
      </c>
      <c r="E370" s="71" t="s">
        <v>475</v>
      </c>
      <c r="F370" s="66" t="s">
        <v>307</v>
      </c>
      <c r="G370" s="70" t="s">
        <v>1411</v>
      </c>
      <c r="H370" s="70" t="s">
        <v>1410</v>
      </c>
      <c r="I370" s="363">
        <v>4</v>
      </c>
      <c r="J370" s="64"/>
      <c r="K370" s="64"/>
      <c r="L370" s="64"/>
    </row>
    <row r="371" spans="1:12" x14ac:dyDescent="0.25">
      <c r="A371" s="71">
        <v>244600</v>
      </c>
      <c r="B371" s="71">
        <v>2007</v>
      </c>
      <c r="C371" s="71" t="s">
        <v>1803</v>
      </c>
      <c r="D371" s="71" t="s">
        <v>476</v>
      </c>
      <c r="E371" s="71" t="s">
        <v>475</v>
      </c>
      <c r="F371" s="66" t="s">
        <v>307</v>
      </c>
      <c r="G371" s="70" t="s">
        <v>1411</v>
      </c>
      <c r="H371" s="70" t="s">
        <v>1410</v>
      </c>
      <c r="I371" s="363">
        <v>4</v>
      </c>
      <c r="J371" s="64"/>
      <c r="K371" s="64"/>
      <c r="L371" s="64"/>
    </row>
    <row r="372" spans="1:12" x14ac:dyDescent="0.25">
      <c r="A372" s="71">
        <v>245000</v>
      </c>
      <c r="B372" s="71">
        <v>2007</v>
      </c>
      <c r="C372" s="71" t="s">
        <v>1802</v>
      </c>
      <c r="D372" s="71" t="s">
        <v>476</v>
      </c>
      <c r="E372" s="71" t="s">
        <v>475</v>
      </c>
      <c r="F372" s="66" t="s">
        <v>307</v>
      </c>
      <c r="G372" s="70" t="s">
        <v>1411</v>
      </c>
      <c r="H372" s="70" t="s">
        <v>1410</v>
      </c>
      <c r="I372" s="363">
        <v>4</v>
      </c>
      <c r="J372" s="64"/>
      <c r="K372" s="64"/>
      <c r="L372" s="64"/>
    </row>
    <row r="373" spans="1:12" x14ac:dyDescent="0.25">
      <c r="A373" s="71">
        <v>245100</v>
      </c>
      <c r="B373" s="71">
        <v>2007</v>
      </c>
      <c r="C373" s="71" t="s">
        <v>1801</v>
      </c>
      <c r="D373" s="71" t="s">
        <v>476</v>
      </c>
      <c r="E373" s="71" t="s">
        <v>475</v>
      </c>
      <c r="F373" s="66" t="s">
        <v>307</v>
      </c>
      <c r="G373" s="70" t="s">
        <v>1411</v>
      </c>
      <c r="H373" s="70" t="s">
        <v>1410</v>
      </c>
      <c r="I373" s="363">
        <v>4</v>
      </c>
      <c r="J373" s="64"/>
      <c r="K373" s="64"/>
      <c r="L373" s="64"/>
    </row>
    <row r="374" spans="1:12" x14ac:dyDescent="0.25">
      <c r="A374" s="71">
        <v>245200</v>
      </c>
      <c r="B374" s="71">
        <v>2007</v>
      </c>
      <c r="C374" s="71" t="s">
        <v>1800</v>
      </c>
      <c r="D374" s="71" t="s">
        <v>476</v>
      </c>
      <c r="E374" s="71" t="s">
        <v>475</v>
      </c>
      <c r="F374" s="66" t="s">
        <v>307</v>
      </c>
      <c r="G374" s="70" t="s">
        <v>1411</v>
      </c>
      <c r="H374" s="70" t="s">
        <v>1410</v>
      </c>
      <c r="I374" s="363">
        <v>4</v>
      </c>
      <c r="J374" s="64"/>
      <c r="K374" s="64"/>
      <c r="L374" s="64"/>
    </row>
    <row r="375" spans="1:12" x14ac:dyDescent="0.25">
      <c r="A375" s="71">
        <v>245300</v>
      </c>
      <c r="B375" s="71">
        <v>2007</v>
      </c>
      <c r="C375" s="71" t="s">
        <v>1799</v>
      </c>
      <c r="D375" s="71" t="s">
        <v>476</v>
      </c>
      <c r="E375" s="71" t="s">
        <v>475</v>
      </c>
      <c r="F375" s="66" t="s">
        <v>307</v>
      </c>
      <c r="G375" s="70" t="s">
        <v>1411</v>
      </c>
      <c r="H375" s="70" t="s">
        <v>1410</v>
      </c>
      <c r="I375" s="363">
        <v>4</v>
      </c>
      <c r="J375" s="64"/>
      <c r="K375" s="64"/>
      <c r="L375" s="64"/>
    </row>
    <row r="376" spans="1:12" x14ac:dyDescent="0.25">
      <c r="A376" s="71">
        <v>245400</v>
      </c>
      <c r="B376" s="71">
        <v>2007</v>
      </c>
      <c r="C376" s="71" t="s">
        <v>1798</v>
      </c>
      <c r="D376" s="71" t="s">
        <v>476</v>
      </c>
      <c r="E376" s="71" t="s">
        <v>475</v>
      </c>
      <c r="F376" s="66" t="s">
        <v>307</v>
      </c>
      <c r="G376" s="70" t="s">
        <v>1411</v>
      </c>
      <c r="H376" s="70" t="s">
        <v>1410</v>
      </c>
      <c r="I376" s="363">
        <v>4</v>
      </c>
      <c r="J376" s="64"/>
      <c r="K376" s="64"/>
      <c r="L376" s="64"/>
    </row>
    <row r="377" spans="1:12" x14ac:dyDescent="0.25">
      <c r="A377" s="71">
        <v>250000</v>
      </c>
      <c r="B377" s="71">
        <v>2007</v>
      </c>
      <c r="C377" s="71" t="s">
        <v>1797</v>
      </c>
      <c r="D377" s="71" t="s">
        <v>476</v>
      </c>
      <c r="E377" s="71" t="s">
        <v>475</v>
      </c>
      <c r="F377" s="66" t="s">
        <v>307</v>
      </c>
      <c r="G377" s="70" t="s">
        <v>1411</v>
      </c>
      <c r="H377" s="70" t="s">
        <v>1410</v>
      </c>
      <c r="I377" s="363">
        <v>4</v>
      </c>
      <c r="J377" s="64"/>
      <c r="K377" s="64"/>
      <c r="L377" s="64"/>
    </row>
    <row r="378" spans="1:12" x14ac:dyDescent="0.25">
      <c r="A378" s="71">
        <v>251000</v>
      </c>
      <c r="B378" s="71">
        <v>2007</v>
      </c>
      <c r="C378" s="71" t="s">
        <v>1796</v>
      </c>
      <c r="D378" s="71" t="s">
        <v>476</v>
      </c>
      <c r="E378" s="71" t="s">
        <v>475</v>
      </c>
      <c r="F378" s="66" t="s">
        <v>307</v>
      </c>
      <c r="G378" s="70" t="s">
        <v>1411</v>
      </c>
      <c r="H378" s="70" t="s">
        <v>1410</v>
      </c>
      <c r="I378" s="363">
        <v>4</v>
      </c>
      <c r="J378" s="64"/>
      <c r="K378" s="64"/>
      <c r="L378" s="64"/>
    </row>
    <row r="379" spans="1:12" x14ac:dyDescent="0.25">
      <c r="A379" s="71">
        <v>251100</v>
      </c>
      <c r="B379" s="71">
        <v>2007</v>
      </c>
      <c r="C379" s="71" t="s">
        <v>1795</v>
      </c>
      <c r="D379" s="71" t="s">
        <v>476</v>
      </c>
      <c r="E379" s="71" t="s">
        <v>475</v>
      </c>
      <c r="F379" s="66" t="s">
        <v>307</v>
      </c>
      <c r="G379" s="70" t="s">
        <v>1411</v>
      </c>
      <c r="H379" s="70" t="s">
        <v>1410</v>
      </c>
      <c r="I379" s="363">
        <v>4</v>
      </c>
      <c r="J379" s="64"/>
      <c r="K379" s="64"/>
      <c r="L379" s="64"/>
    </row>
    <row r="380" spans="1:12" x14ac:dyDescent="0.25">
      <c r="A380" s="71">
        <v>251200</v>
      </c>
      <c r="B380" s="71">
        <v>2007</v>
      </c>
      <c r="C380" s="71" t="s">
        <v>1794</v>
      </c>
      <c r="D380" s="71" t="s">
        <v>476</v>
      </c>
      <c r="E380" s="71" t="s">
        <v>475</v>
      </c>
      <c r="F380" s="66" t="s">
        <v>307</v>
      </c>
      <c r="G380" s="70" t="s">
        <v>1411</v>
      </c>
      <c r="H380" s="70" t="s">
        <v>1410</v>
      </c>
      <c r="I380" s="363">
        <v>4</v>
      </c>
      <c r="J380" s="64"/>
      <c r="K380" s="64"/>
      <c r="L380" s="64"/>
    </row>
    <row r="381" spans="1:12" x14ac:dyDescent="0.25">
      <c r="A381" s="71">
        <v>251210</v>
      </c>
      <c r="B381" s="71">
        <v>2007</v>
      </c>
      <c r="C381" s="71" t="s">
        <v>1793</v>
      </c>
      <c r="D381" s="71" t="s">
        <v>476</v>
      </c>
      <c r="E381" s="71" t="s">
        <v>475</v>
      </c>
      <c r="F381" s="66" t="s">
        <v>307</v>
      </c>
      <c r="G381" s="70" t="s">
        <v>1411</v>
      </c>
      <c r="H381" s="70" t="s">
        <v>1410</v>
      </c>
      <c r="I381" s="363">
        <v>4</v>
      </c>
      <c r="J381" s="64"/>
      <c r="K381" s="64"/>
      <c r="L381" s="64"/>
    </row>
    <row r="382" spans="1:12" x14ac:dyDescent="0.25">
      <c r="A382" s="71">
        <v>251220</v>
      </c>
      <c r="B382" s="71">
        <v>2007</v>
      </c>
      <c r="C382" s="71" t="s">
        <v>1792</v>
      </c>
      <c r="D382" s="71" t="s">
        <v>476</v>
      </c>
      <c r="E382" s="71" t="s">
        <v>475</v>
      </c>
      <c r="F382" s="66" t="s">
        <v>307</v>
      </c>
      <c r="G382" s="70" t="s">
        <v>1411</v>
      </c>
      <c r="H382" s="70" t="s">
        <v>1410</v>
      </c>
      <c r="I382" s="363">
        <v>4</v>
      </c>
      <c r="J382" s="64"/>
      <c r="K382" s="64"/>
      <c r="L382" s="64"/>
    </row>
    <row r="383" spans="1:12" x14ac:dyDescent="0.25">
      <c r="A383" s="71">
        <v>252000</v>
      </c>
      <c r="B383" s="71">
        <v>2007</v>
      </c>
      <c r="C383" s="71" t="s">
        <v>1791</v>
      </c>
      <c r="D383" s="71" t="s">
        <v>476</v>
      </c>
      <c r="E383" s="71" t="s">
        <v>475</v>
      </c>
      <c r="F383" s="66" t="s">
        <v>307</v>
      </c>
      <c r="G383" s="70" t="s">
        <v>1411</v>
      </c>
      <c r="H383" s="70" t="s">
        <v>1410</v>
      </c>
      <c r="I383" s="363">
        <v>4</v>
      </c>
      <c r="J383" s="64"/>
      <c r="K383" s="64"/>
      <c r="L383" s="64"/>
    </row>
    <row r="384" spans="1:12" x14ac:dyDescent="0.25">
      <c r="A384" s="71">
        <v>252100</v>
      </c>
      <c r="B384" s="71">
        <v>2007</v>
      </c>
      <c r="C384" s="71" t="s">
        <v>1790</v>
      </c>
      <c r="D384" s="71" t="s">
        <v>476</v>
      </c>
      <c r="E384" s="71" t="s">
        <v>475</v>
      </c>
      <c r="F384" s="66" t="s">
        <v>307</v>
      </c>
      <c r="G384" s="70" t="s">
        <v>1411</v>
      </c>
      <c r="H384" s="70" t="s">
        <v>1410</v>
      </c>
      <c r="I384" s="363">
        <v>4</v>
      </c>
      <c r="J384" s="64"/>
      <c r="K384" s="64"/>
      <c r="L384" s="64"/>
    </row>
    <row r="385" spans="1:12" x14ac:dyDescent="0.25">
      <c r="A385" s="71">
        <v>252900</v>
      </c>
      <c r="B385" s="71">
        <v>2007</v>
      </c>
      <c r="C385" s="71" t="s">
        <v>1789</v>
      </c>
      <c r="D385" s="71" t="s">
        <v>476</v>
      </c>
      <c r="E385" s="71" t="s">
        <v>475</v>
      </c>
      <c r="F385" s="66" t="s">
        <v>307</v>
      </c>
      <c r="G385" s="70" t="s">
        <v>1411</v>
      </c>
      <c r="H385" s="70" t="s">
        <v>1410</v>
      </c>
      <c r="I385" s="363">
        <v>4</v>
      </c>
      <c r="J385" s="64"/>
      <c r="K385" s="64"/>
      <c r="L385" s="64"/>
    </row>
    <row r="386" spans="1:12" x14ac:dyDescent="0.25">
      <c r="A386" s="71">
        <v>253000</v>
      </c>
      <c r="B386" s="71">
        <v>2007</v>
      </c>
      <c r="C386" s="71" t="s">
        <v>1788</v>
      </c>
      <c r="D386" s="71" t="s">
        <v>476</v>
      </c>
      <c r="E386" s="71" t="s">
        <v>475</v>
      </c>
      <c r="F386" s="66" t="s">
        <v>307</v>
      </c>
      <c r="G386" s="70" t="s">
        <v>1411</v>
      </c>
      <c r="H386" s="70" t="s">
        <v>1410</v>
      </c>
      <c r="I386" s="363">
        <v>4</v>
      </c>
      <c r="J386" s="64"/>
      <c r="K386" s="64"/>
      <c r="L386" s="64"/>
    </row>
    <row r="387" spans="1:12" x14ac:dyDescent="0.25">
      <c r="A387" s="71">
        <v>254000</v>
      </c>
      <c r="B387" s="71">
        <v>2007</v>
      </c>
      <c r="C387" s="71" t="s">
        <v>1787</v>
      </c>
      <c r="D387" s="71" t="s">
        <v>476</v>
      </c>
      <c r="E387" s="71" t="s">
        <v>475</v>
      </c>
      <c r="F387" s="66" t="s">
        <v>307</v>
      </c>
      <c r="G387" s="70" t="s">
        <v>1411</v>
      </c>
      <c r="H387" s="70" t="s">
        <v>1410</v>
      </c>
      <c r="I387" s="363">
        <v>4</v>
      </c>
      <c r="J387" s="64"/>
      <c r="K387" s="64"/>
      <c r="L387" s="64"/>
    </row>
    <row r="388" spans="1:12" x14ac:dyDescent="0.25">
      <c r="A388" s="71">
        <v>255000</v>
      </c>
      <c r="B388" s="71">
        <v>2007</v>
      </c>
      <c r="C388" s="71" t="s">
        <v>1786</v>
      </c>
      <c r="D388" s="71" t="s">
        <v>476</v>
      </c>
      <c r="E388" s="71" t="s">
        <v>475</v>
      </c>
      <c r="F388" s="66" t="s">
        <v>307</v>
      </c>
      <c r="G388" s="70" t="s">
        <v>1411</v>
      </c>
      <c r="H388" s="70" t="s">
        <v>1410</v>
      </c>
      <c r="I388" s="363">
        <v>4</v>
      </c>
      <c r="J388" s="64"/>
      <c r="K388" s="64"/>
      <c r="L388" s="64"/>
    </row>
    <row r="389" spans="1:12" x14ac:dyDescent="0.25">
      <c r="A389" s="71">
        <v>256000</v>
      </c>
      <c r="B389" s="71">
        <v>2007</v>
      </c>
      <c r="C389" s="71" t="s">
        <v>1785</v>
      </c>
      <c r="D389" s="71" t="s">
        <v>476</v>
      </c>
      <c r="E389" s="71" t="s">
        <v>475</v>
      </c>
      <c r="F389" s="66" t="s">
        <v>307</v>
      </c>
      <c r="G389" s="70" t="s">
        <v>1411</v>
      </c>
      <c r="H389" s="70" t="s">
        <v>1410</v>
      </c>
      <c r="I389" s="363">
        <v>4</v>
      </c>
      <c r="J389" s="64"/>
      <c r="K389" s="64"/>
      <c r="L389" s="64"/>
    </row>
    <row r="390" spans="1:12" x14ac:dyDescent="0.25">
      <c r="A390" s="71">
        <v>256100</v>
      </c>
      <c r="B390" s="71">
        <v>2007</v>
      </c>
      <c r="C390" s="71" t="s">
        <v>1784</v>
      </c>
      <c r="D390" s="71" t="s">
        <v>476</v>
      </c>
      <c r="E390" s="71" t="s">
        <v>475</v>
      </c>
      <c r="F390" s="66" t="s">
        <v>307</v>
      </c>
      <c r="G390" s="70" t="s">
        <v>1411</v>
      </c>
      <c r="H390" s="70" t="s">
        <v>1410</v>
      </c>
      <c r="I390" s="363">
        <v>4</v>
      </c>
      <c r="J390" s="64"/>
      <c r="K390" s="64"/>
      <c r="L390" s="64"/>
    </row>
    <row r="391" spans="1:12" x14ac:dyDescent="0.25">
      <c r="A391" s="71">
        <v>256200</v>
      </c>
      <c r="B391" s="71">
        <v>2007</v>
      </c>
      <c r="C391" s="71" t="s">
        <v>1783</v>
      </c>
      <c r="D391" s="71" t="s">
        <v>476</v>
      </c>
      <c r="E391" s="71" t="s">
        <v>475</v>
      </c>
      <c r="F391" s="66" t="s">
        <v>307</v>
      </c>
      <c r="G391" s="70" t="s">
        <v>1411</v>
      </c>
      <c r="H391" s="70" t="s">
        <v>1410</v>
      </c>
      <c r="I391" s="363">
        <v>4</v>
      </c>
      <c r="J391" s="64"/>
      <c r="K391" s="64"/>
      <c r="L391" s="64"/>
    </row>
    <row r="392" spans="1:12" x14ac:dyDescent="0.25">
      <c r="A392" s="71">
        <v>257000</v>
      </c>
      <c r="B392" s="71">
        <v>2007</v>
      </c>
      <c r="C392" s="71" t="s">
        <v>1782</v>
      </c>
      <c r="D392" s="71" t="s">
        <v>476</v>
      </c>
      <c r="E392" s="71" t="s">
        <v>475</v>
      </c>
      <c r="F392" s="66" t="s">
        <v>307</v>
      </c>
      <c r="G392" s="70" t="s">
        <v>1411</v>
      </c>
      <c r="H392" s="70" t="s">
        <v>1410</v>
      </c>
      <c r="I392" s="363">
        <v>4</v>
      </c>
      <c r="J392" s="64"/>
      <c r="K392" s="64"/>
      <c r="L392" s="64"/>
    </row>
    <row r="393" spans="1:12" x14ac:dyDescent="0.25">
      <c r="A393" s="71">
        <v>257100</v>
      </c>
      <c r="B393" s="71">
        <v>2007</v>
      </c>
      <c r="C393" s="71" t="s">
        <v>1781</v>
      </c>
      <c r="D393" s="71" t="s">
        <v>476</v>
      </c>
      <c r="E393" s="71" t="s">
        <v>475</v>
      </c>
      <c r="F393" s="66" t="s">
        <v>307</v>
      </c>
      <c r="G393" s="70" t="s">
        <v>1411</v>
      </c>
      <c r="H393" s="70" t="s">
        <v>1410</v>
      </c>
      <c r="I393" s="363">
        <v>4</v>
      </c>
      <c r="J393" s="64"/>
      <c r="K393" s="64"/>
      <c r="L393" s="64"/>
    </row>
    <row r="394" spans="1:12" x14ac:dyDescent="0.25">
      <c r="A394" s="71">
        <v>257200</v>
      </c>
      <c r="B394" s="71">
        <v>2007</v>
      </c>
      <c r="C394" s="71" t="s">
        <v>1780</v>
      </c>
      <c r="D394" s="71" t="s">
        <v>476</v>
      </c>
      <c r="E394" s="71" t="s">
        <v>475</v>
      </c>
      <c r="F394" s="66" t="s">
        <v>307</v>
      </c>
      <c r="G394" s="70" t="s">
        <v>1411</v>
      </c>
      <c r="H394" s="70" t="s">
        <v>1410</v>
      </c>
      <c r="I394" s="363">
        <v>4</v>
      </c>
      <c r="J394" s="64"/>
      <c r="K394" s="64"/>
      <c r="L394" s="64"/>
    </row>
    <row r="395" spans="1:12" x14ac:dyDescent="0.25">
      <c r="A395" s="71">
        <v>257300</v>
      </c>
      <c r="B395" s="71">
        <v>2007</v>
      </c>
      <c r="C395" s="71" t="s">
        <v>1779</v>
      </c>
      <c r="D395" s="71" t="s">
        <v>476</v>
      </c>
      <c r="E395" s="71" t="s">
        <v>475</v>
      </c>
      <c r="F395" s="66" t="s">
        <v>307</v>
      </c>
      <c r="G395" s="70" t="s">
        <v>1411</v>
      </c>
      <c r="H395" s="70" t="s">
        <v>1410</v>
      </c>
      <c r="I395" s="363">
        <v>4</v>
      </c>
      <c r="J395" s="64"/>
      <c r="K395" s="64"/>
      <c r="L395" s="64"/>
    </row>
    <row r="396" spans="1:12" x14ac:dyDescent="0.25">
      <c r="A396" s="71">
        <v>257310</v>
      </c>
      <c r="B396" s="71">
        <v>2007</v>
      </c>
      <c r="C396" s="71" t="s">
        <v>1778</v>
      </c>
      <c r="D396" s="71" t="s">
        <v>476</v>
      </c>
      <c r="E396" s="71" t="s">
        <v>475</v>
      </c>
      <c r="F396" s="66" t="s">
        <v>307</v>
      </c>
      <c r="G396" s="70" t="s">
        <v>1411</v>
      </c>
      <c r="H396" s="70" t="s">
        <v>1410</v>
      </c>
      <c r="I396" s="363">
        <v>4</v>
      </c>
      <c r="J396" s="64"/>
      <c r="K396" s="64"/>
      <c r="L396" s="64"/>
    </row>
    <row r="397" spans="1:12" x14ac:dyDescent="0.25">
      <c r="A397" s="71">
        <v>257311</v>
      </c>
      <c r="B397" s="71">
        <v>2007</v>
      </c>
      <c r="C397" s="71" t="s">
        <v>1777</v>
      </c>
      <c r="D397" s="71" t="s">
        <v>476</v>
      </c>
      <c r="E397" s="71" t="s">
        <v>475</v>
      </c>
      <c r="F397" s="66" t="s">
        <v>307</v>
      </c>
      <c r="G397" s="70" t="s">
        <v>1411</v>
      </c>
      <c r="H397" s="70" t="s">
        <v>1410</v>
      </c>
      <c r="I397" s="363">
        <v>4</v>
      </c>
      <c r="J397" s="64"/>
      <c r="K397" s="64"/>
      <c r="L397" s="64"/>
    </row>
    <row r="398" spans="1:12" x14ac:dyDescent="0.25">
      <c r="A398" s="71">
        <v>257312</v>
      </c>
      <c r="B398" s="71">
        <v>2007</v>
      </c>
      <c r="C398" s="71" t="s">
        <v>1776</v>
      </c>
      <c r="D398" s="71" t="s">
        <v>476</v>
      </c>
      <c r="E398" s="71" t="s">
        <v>475</v>
      </c>
      <c r="F398" s="66" t="s">
        <v>307</v>
      </c>
      <c r="G398" s="70" t="s">
        <v>1411</v>
      </c>
      <c r="H398" s="70" t="s">
        <v>1410</v>
      </c>
      <c r="I398" s="363">
        <v>4</v>
      </c>
      <c r="J398" s="64"/>
      <c r="K398" s="64"/>
      <c r="L398" s="64"/>
    </row>
    <row r="399" spans="1:12" x14ac:dyDescent="0.25">
      <c r="A399" s="71">
        <v>257320</v>
      </c>
      <c r="B399" s="71">
        <v>2007</v>
      </c>
      <c r="C399" s="71" t="s">
        <v>1775</v>
      </c>
      <c r="D399" s="71" t="s">
        <v>476</v>
      </c>
      <c r="E399" s="71" t="s">
        <v>475</v>
      </c>
      <c r="F399" s="66" t="s">
        <v>307</v>
      </c>
      <c r="G399" s="70" t="s">
        <v>1411</v>
      </c>
      <c r="H399" s="70" t="s">
        <v>1410</v>
      </c>
      <c r="I399" s="363">
        <v>4</v>
      </c>
      <c r="J399" s="64"/>
      <c r="K399" s="64"/>
      <c r="L399" s="64"/>
    </row>
    <row r="400" spans="1:12" x14ac:dyDescent="0.25">
      <c r="A400" s="71">
        <v>259000</v>
      </c>
      <c r="B400" s="71">
        <v>2007</v>
      </c>
      <c r="C400" s="71" t="s">
        <v>1774</v>
      </c>
      <c r="D400" s="71" t="s">
        <v>476</v>
      </c>
      <c r="E400" s="71" t="s">
        <v>475</v>
      </c>
      <c r="F400" s="66" t="s">
        <v>307</v>
      </c>
      <c r="G400" s="70" t="s">
        <v>1411</v>
      </c>
      <c r="H400" s="70" t="s">
        <v>1410</v>
      </c>
      <c r="I400" s="363">
        <v>4</v>
      </c>
      <c r="J400" s="64"/>
      <c r="K400" s="64"/>
      <c r="L400" s="64"/>
    </row>
    <row r="401" spans="1:12" x14ac:dyDescent="0.25">
      <c r="A401" s="71">
        <v>259100</v>
      </c>
      <c r="B401" s="71">
        <v>2007</v>
      </c>
      <c r="C401" s="71" t="s">
        <v>1773</v>
      </c>
      <c r="D401" s="71" t="s">
        <v>476</v>
      </c>
      <c r="E401" s="71" t="s">
        <v>475</v>
      </c>
      <c r="F401" s="66" t="s">
        <v>307</v>
      </c>
      <c r="G401" s="70" t="s">
        <v>1411</v>
      </c>
      <c r="H401" s="70" t="s">
        <v>1410</v>
      </c>
      <c r="I401" s="363">
        <v>4</v>
      </c>
      <c r="J401" s="64"/>
      <c r="K401" s="64"/>
      <c r="L401" s="64"/>
    </row>
    <row r="402" spans="1:12" x14ac:dyDescent="0.25">
      <c r="A402" s="71">
        <v>259200</v>
      </c>
      <c r="B402" s="71">
        <v>2007</v>
      </c>
      <c r="C402" s="71" t="s">
        <v>1772</v>
      </c>
      <c r="D402" s="71" t="s">
        <v>476</v>
      </c>
      <c r="E402" s="71" t="s">
        <v>475</v>
      </c>
      <c r="F402" s="66" t="s">
        <v>307</v>
      </c>
      <c r="G402" s="70" t="s">
        <v>1411</v>
      </c>
      <c r="H402" s="70" t="s">
        <v>1410</v>
      </c>
      <c r="I402" s="363">
        <v>4</v>
      </c>
      <c r="J402" s="64"/>
      <c r="K402" s="64"/>
      <c r="L402" s="64"/>
    </row>
    <row r="403" spans="1:12" x14ac:dyDescent="0.25">
      <c r="A403" s="71">
        <v>259300</v>
      </c>
      <c r="B403" s="71">
        <v>2007</v>
      </c>
      <c r="C403" s="71" t="s">
        <v>1771</v>
      </c>
      <c r="D403" s="71" t="s">
        <v>476</v>
      </c>
      <c r="E403" s="71" t="s">
        <v>475</v>
      </c>
      <c r="F403" s="66" t="s">
        <v>307</v>
      </c>
      <c r="G403" s="70" t="s">
        <v>1411</v>
      </c>
      <c r="H403" s="70" t="s">
        <v>1410</v>
      </c>
      <c r="I403" s="363">
        <v>4</v>
      </c>
      <c r="J403" s="64"/>
      <c r="K403" s="64"/>
      <c r="L403" s="64"/>
    </row>
    <row r="404" spans="1:12" x14ac:dyDescent="0.25">
      <c r="A404" s="71">
        <v>259310</v>
      </c>
      <c r="B404" s="71">
        <v>2007</v>
      </c>
      <c r="C404" s="71" t="s">
        <v>1770</v>
      </c>
      <c r="D404" s="71" t="s">
        <v>476</v>
      </c>
      <c r="E404" s="71" t="s">
        <v>475</v>
      </c>
      <c r="F404" s="66" t="s">
        <v>307</v>
      </c>
      <c r="G404" s="70" t="s">
        <v>1411</v>
      </c>
      <c r="H404" s="70" t="s">
        <v>1410</v>
      </c>
      <c r="I404" s="363">
        <v>4</v>
      </c>
      <c r="J404" s="64"/>
      <c r="K404" s="64"/>
      <c r="L404" s="64"/>
    </row>
    <row r="405" spans="1:12" x14ac:dyDescent="0.25">
      <c r="A405" s="71">
        <v>259320</v>
      </c>
      <c r="B405" s="71">
        <v>2007</v>
      </c>
      <c r="C405" s="71" t="s">
        <v>1769</v>
      </c>
      <c r="D405" s="71" t="s">
        <v>476</v>
      </c>
      <c r="E405" s="71" t="s">
        <v>475</v>
      </c>
      <c r="F405" s="66" t="s">
        <v>307</v>
      </c>
      <c r="G405" s="70" t="s">
        <v>1411</v>
      </c>
      <c r="H405" s="70" t="s">
        <v>1410</v>
      </c>
      <c r="I405" s="363">
        <v>4</v>
      </c>
      <c r="J405" s="64"/>
      <c r="K405" s="64"/>
      <c r="L405" s="64"/>
    </row>
    <row r="406" spans="1:12" x14ac:dyDescent="0.25">
      <c r="A406" s="71">
        <v>259330</v>
      </c>
      <c r="B406" s="71">
        <v>2007</v>
      </c>
      <c r="C406" s="71" t="s">
        <v>1768</v>
      </c>
      <c r="D406" s="71" t="s">
        <v>476</v>
      </c>
      <c r="E406" s="71" t="s">
        <v>475</v>
      </c>
      <c r="F406" s="66" t="s">
        <v>307</v>
      </c>
      <c r="G406" s="70" t="s">
        <v>1411</v>
      </c>
      <c r="H406" s="70" t="s">
        <v>1410</v>
      </c>
      <c r="I406" s="363">
        <v>4</v>
      </c>
      <c r="J406" s="64"/>
      <c r="K406" s="64"/>
      <c r="L406" s="64"/>
    </row>
    <row r="407" spans="1:12" x14ac:dyDescent="0.25">
      <c r="A407" s="71">
        <v>259400</v>
      </c>
      <c r="B407" s="71">
        <v>2007</v>
      </c>
      <c r="C407" s="71" t="s">
        <v>1767</v>
      </c>
      <c r="D407" s="71" t="s">
        <v>476</v>
      </c>
      <c r="E407" s="71" t="s">
        <v>475</v>
      </c>
      <c r="F407" s="66" t="s">
        <v>307</v>
      </c>
      <c r="G407" s="70" t="s">
        <v>1411</v>
      </c>
      <c r="H407" s="70" t="s">
        <v>1410</v>
      </c>
      <c r="I407" s="363">
        <v>4</v>
      </c>
      <c r="J407" s="64"/>
      <c r="K407" s="64"/>
      <c r="L407" s="64"/>
    </row>
    <row r="408" spans="1:12" x14ac:dyDescent="0.25">
      <c r="A408" s="71">
        <v>259900</v>
      </c>
      <c r="B408" s="71">
        <v>2007</v>
      </c>
      <c r="C408" s="71" t="s">
        <v>1766</v>
      </c>
      <c r="D408" s="71" t="s">
        <v>476</v>
      </c>
      <c r="E408" s="71" t="s">
        <v>475</v>
      </c>
      <c r="F408" s="66" t="s">
        <v>307</v>
      </c>
      <c r="G408" s="70" t="s">
        <v>1411</v>
      </c>
      <c r="H408" s="70" t="s">
        <v>1410</v>
      </c>
      <c r="I408" s="363">
        <v>4</v>
      </c>
      <c r="J408" s="64"/>
      <c r="K408" s="64"/>
      <c r="L408" s="64"/>
    </row>
    <row r="409" spans="1:12" x14ac:dyDescent="0.25">
      <c r="A409" s="71">
        <v>259910</v>
      </c>
      <c r="B409" s="71">
        <v>2007</v>
      </c>
      <c r="C409" s="71" t="s">
        <v>1765</v>
      </c>
      <c r="D409" s="71" t="s">
        <v>476</v>
      </c>
      <c r="E409" s="71" t="s">
        <v>475</v>
      </c>
      <c r="F409" s="66" t="s">
        <v>307</v>
      </c>
      <c r="G409" s="70" t="s">
        <v>1411</v>
      </c>
      <c r="H409" s="70" t="s">
        <v>1410</v>
      </c>
      <c r="I409" s="363">
        <v>4</v>
      </c>
      <c r="J409" s="64"/>
      <c r="K409" s="64"/>
      <c r="L409" s="64"/>
    </row>
    <row r="410" spans="1:12" x14ac:dyDescent="0.25">
      <c r="A410" s="71">
        <v>259911</v>
      </c>
      <c r="B410" s="71">
        <v>2007</v>
      </c>
      <c r="C410" s="71" t="s">
        <v>1764</v>
      </c>
      <c r="D410" s="71" t="s">
        <v>476</v>
      </c>
      <c r="E410" s="71" t="s">
        <v>475</v>
      </c>
      <c r="F410" s="66" t="s">
        <v>307</v>
      </c>
      <c r="G410" s="70" t="s">
        <v>1411</v>
      </c>
      <c r="H410" s="70" t="s">
        <v>1410</v>
      </c>
      <c r="I410" s="363">
        <v>4</v>
      </c>
      <c r="J410" s="64"/>
      <c r="K410" s="64"/>
      <c r="L410" s="64"/>
    </row>
    <row r="411" spans="1:12" x14ac:dyDescent="0.25">
      <c r="A411" s="71">
        <v>259919</v>
      </c>
      <c r="B411" s="71">
        <v>2007</v>
      </c>
      <c r="C411" s="71" t="s">
        <v>1763</v>
      </c>
      <c r="D411" s="71" t="s">
        <v>476</v>
      </c>
      <c r="E411" s="71" t="s">
        <v>475</v>
      </c>
      <c r="F411" s="66" t="s">
        <v>307</v>
      </c>
      <c r="G411" s="70" t="s">
        <v>1411</v>
      </c>
      <c r="H411" s="70" t="s">
        <v>1410</v>
      </c>
      <c r="I411" s="363">
        <v>4</v>
      </c>
      <c r="J411" s="64"/>
      <c r="K411" s="64"/>
      <c r="L411" s="64"/>
    </row>
    <row r="412" spans="1:12" x14ac:dyDescent="0.25">
      <c r="A412" s="71">
        <v>259920</v>
      </c>
      <c r="B412" s="71">
        <v>2007</v>
      </c>
      <c r="C412" s="71" t="s">
        <v>1762</v>
      </c>
      <c r="D412" s="71" t="s">
        <v>476</v>
      </c>
      <c r="E412" s="71" t="s">
        <v>475</v>
      </c>
      <c r="F412" s="66" t="s">
        <v>307</v>
      </c>
      <c r="G412" s="70" t="s">
        <v>1411</v>
      </c>
      <c r="H412" s="70" t="s">
        <v>1410</v>
      </c>
      <c r="I412" s="363">
        <v>4</v>
      </c>
      <c r="J412" s="64"/>
      <c r="K412" s="64"/>
      <c r="L412" s="64"/>
    </row>
    <row r="413" spans="1:12" x14ac:dyDescent="0.25">
      <c r="A413" s="71">
        <v>259930</v>
      </c>
      <c r="B413" s="71">
        <v>2007</v>
      </c>
      <c r="C413" s="71" t="s">
        <v>1761</v>
      </c>
      <c r="D413" s="71" t="s">
        <v>476</v>
      </c>
      <c r="E413" s="71" t="s">
        <v>475</v>
      </c>
      <c r="F413" s="66" t="s">
        <v>307</v>
      </c>
      <c r="G413" s="70" t="s">
        <v>1411</v>
      </c>
      <c r="H413" s="70" t="s">
        <v>1410</v>
      </c>
      <c r="I413" s="363">
        <v>4</v>
      </c>
      <c r="J413" s="64"/>
      <c r="K413" s="64"/>
      <c r="L413" s="64"/>
    </row>
    <row r="414" spans="1:12" x14ac:dyDescent="0.25">
      <c r="A414" s="71">
        <v>259990</v>
      </c>
      <c r="B414" s="71">
        <v>2007</v>
      </c>
      <c r="C414" s="71" t="s">
        <v>1760</v>
      </c>
      <c r="D414" s="71" t="s">
        <v>476</v>
      </c>
      <c r="E414" s="71" t="s">
        <v>475</v>
      </c>
      <c r="F414" s="66" t="s">
        <v>307</v>
      </c>
      <c r="G414" s="70" t="s">
        <v>1411</v>
      </c>
      <c r="H414" s="70" t="s">
        <v>1410</v>
      </c>
      <c r="I414" s="363">
        <v>4</v>
      </c>
      <c r="J414" s="64"/>
      <c r="K414" s="64"/>
      <c r="L414" s="64"/>
    </row>
    <row r="415" spans="1:12" x14ac:dyDescent="0.25">
      <c r="A415" s="71">
        <v>259991</v>
      </c>
      <c r="B415" s="71">
        <v>2007</v>
      </c>
      <c r="C415" s="71" t="s">
        <v>1759</v>
      </c>
      <c r="D415" s="71" t="s">
        <v>476</v>
      </c>
      <c r="E415" s="71" t="s">
        <v>475</v>
      </c>
      <c r="F415" s="66" t="s">
        <v>307</v>
      </c>
      <c r="G415" s="70" t="s">
        <v>1411</v>
      </c>
      <c r="H415" s="70" t="s">
        <v>1410</v>
      </c>
      <c r="I415" s="363">
        <v>4</v>
      </c>
      <c r="J415" s="64"/>
      <c r="K415" s="64"/>
      <c r="L415" s="64"/>
    </row>
    <row r="416" spans="1:12" x14ac:dyDescent="0.25">
      <c r="A416" s="71">
        <v>259999</v>
      </c>
      <c r="B416" s="71">
        <v>2007</v>
      </c>
      <c r="C416" s="71" t="s">
        <v>1758</v>
      </c>
      <c r="D416" s="71" t="s">
        <v>476</v>
      </c>
      <c r="E416" s="71" t="s">
        <v>475</v>
      </c>
      <c r="F416" s="66" t="s">
        <v>307</v>
      </c>
      <c r="G416" s="70" t="s">
        <v>1411</v>
      </c>
      <c r="H416" s="70" t="s">
        <v>1410</v>
      </c>
      <c r="I416" s="363">
        <v>4</v>
      </c>
      <c r="J416" s="64"/>
      <c r="K416" s="64"/>
      <c r="L416" s="64"/>
    </row>
    <row r="417" spans="1:12" x14ac:dyDescent="0.25">
      <c r="A417" s="71">
        <v>260000</v>
      </c>
      <c r="B417" s="71">
        <v>2007</v>
      </c>
      <c r="C417" s="71" t="s">
        <v>1757</v>
      </c>
      <c r="D417" s="71" t="s">
        <v>476</v>
      </c>
      <c r="E417" s="71" t="s">
        <v>475</v>
      </c>
      <c r="F417" s="66" t="s">
        <v>307</v>
      </c>
      <c r="G417" s="70" t="s">
        <v>1411</v>
      </c>
      <c r="H417" s="70" t="s">
        <v>1410</v>
      </c>
      <c r="I417" s="363">
        <v>4</v>
      </c>
      <c r="J417" s="64"/>
      <c r="K417" s="64"/>
      <c r="L417" s="64"/>
    </row>
    <row r="418" spans="1:12" x14ac:dyDescent="0.25">
      <c r="A418" s="71">
        <v>261000</v>
      </c>
      <c r="B418" s="71">
        <v>2007</v>
      </c>
      <c r="C418" s="71" t="s">
        <v>1756</v>
      </c>
      <c r="D418" s="71" t="s">
        <v>476</v>
      </c>
      <c r="E418" s="71" t="s">
        <v>475</v>
      </c>
      <c r="F418" s="66" t="s">
        <v>307</v>
      </c>
      <c r="G418" s="70" t="s">
        <v>1411</v>
      </c>
      <c r="H418" s="70" t="s">
        <v>1410</v>
      </c>
      <c r="I418" s="363">
        <v>4</v>
      </c>
      <c r="J418" s="64"/>
      <c r="K418" s="64"/>
      <c r="L418" s="64"/>
    </row>
    <row r="419" spans="1:12" x14ac:dyDescent="0.25">
      <c r="A419" s="71">
        <v>261100</v>
      </c>
      <c r="B419" s="71">
        <v>2007</v>
      </c>
      <c r="C419" s="71" t="s">
        <v>1755</v>
      </c>
      <c r="D419" s="71" t="s">
        <v>476</v>
      </c>
      <c r="E419" s="71" t="s">
        <v>475</v>
      </c>
      <c r="F419" s="66" t="s">
        <v>307</v>
      </c>
      <c r="G419" s="70" t="s">
        <v>1411</v>
      </c>
      <c r="H419" s="70" t="s">
        <v>1410</v>
      </c>
      <c r="I419" s="363">
        <v>4</v>
      </c>
      <c r="J419" s="64"/>
      <c r="K419" s="64"/>
      <c r="L419" s="64"/>
    </row>
    <row r="420" spans="1:12" x14ac:dyDescent="0.25">
      <c r="A420" s="71">
        <v>261101</v>
      </c>
      <c r="B420" s="71">
        <v>2007</v>
      </c>
      <c r="C420" s="71" t="s">
        <v>1754</v>
      </c>
      <c r="D420" s="71" t="s">
        <v>476</v>
      </c>
      <c r="E420" s="71" t="s">
        <v>475</v>
      </c>
      <c r="F420" s="66" t="s">
        <v>307</v>
      </c>
      <c r="G420" s="70" t="s">
        <v>1411</v>
      </c>
      <c r="H420" s="70" t="s">
        <v>1410</v>
      </c>
      <c r="I420" s="363">
        <v>4</v>
      </c>
      <c r="J420" s="64"/>
      <c r="K420" s="64"/>
      <c r="L420" s="64"/>
    </row>
    <row r="421" spans="1:12" x14ac:dyDescent="0.25">
      <c r="A421" s="71">
        <v>261109</v>
      </c>
      <c r="B421" s="71">
        <v>2007</v>
      </c>
      <c r="C421" s="71" t="s">
        <v>1753</v>
      </c>
      <c r="D421" s="71" t="s">
        <v>476</v>
      </c>
      <c r="E421" s="71" t="s">
        <v>475</v>
      </c>
      <c r="F421" s="66" t="s">
        <v>307</v>
      </c>
      <c r="G421" s="70" t="s">
        <v>1411</v>
      </c>
      <c r="H421" s="70" t="s">
        <v>1410</v>
      </c>
      <c r="I421" s="363">
        <v>4</v>
      </c>
      <c r="J421" s="64"/>
      <c r="K421" s="64"/>
      <c r="L421" s="64"/>
    </row>
    <row r="422" spans="1:12" x14ac:dyDescent="0.25">
      <c r="A422" s="71">
        <v>261200</v>
      </c>
      <c r="B422" s="71">
        <v>2007</v>
      </c>
      <c r="C422" s="71" t="s">
        <v>1752</v>
      </c>
      <c r="D422" s="71" t="s">
        <v>476</v>
      </c>
      <c r="E422" s="71" t="s">
        <v>475</v>
      </c>
      <c r="F422" s="66" t="s">
        <v>307</v>
      </c>
      <c r="G422" s="70" t="s">
        <v>1411</v>
      </c>
      <c r="H422" s="70" t="s">
        <v>1410</v>
      </c>
      <c r="I422" s="363">
        <v>4</v>
      </c>
      <c r="J422" s="64"/>
      <c r="K422" s="64"/>
      <c r="L422" s="64"/>
    </row>
    <row r="423" spans="1:12" x14ac:dyDescent="0.25">
      <c r="A423" s="71">
        <v>262000</v>
      </c>
      <c r="B423" s="71">
        <v>2007</v>
      </c>
      <c r="C423" s="71" t="s">
        <v>1751</v>
      </c>
      <c r="D423" s="71" t="s">
        <v>476</v>
      </c>
      <c r="E423" s="71" t="s">
        <v>475</v>
      </c>
      <c r="F423" s="66" t="s">
        <v>307</v>
      </c>
      <c r="G423" s="70" t="s">
        <v>1411</v>
      </c>
      <c r="H423" s="70" t="s">
        <v>1410</v>
      </c>
      <c r="I423" s="363">
        <v>4</v>
      </c>
      <c r="J423" s="64"/>
      <c r="K423" s="64"/>
      <c r="L423" s="64"/>
    </row>
    <row r="424" spans="1:12" x14ac:dyDescent="0.25">
      <c r="A424" s="71">
        <v>263000</v>
      </c>
      <c r="B424" s="71">
        <v>2007</v>
      </c>
      <c r="C424" s="71" t="s">
        <v>1750</v>
      </c>
      <c r="D424" s="71" t="s">
        <v>476</v>
      </c>
      <c r="E424" s="71" t="s">
        <v>475</v>
      </c>
      <c r="F424" s="66" t="s">
        <v>307</v>
      </c>
      <c r="G424" s="70" t="s">
        <v>1411</v>
      </c>
      <c r="H424" s="70" t="s">
        <v>1410</v>
      </c>
      <c r="I424" s="363">
        <v>4</v>
      </c>
      <c r="J424" s="64"/>
      <c r="K424" s="64"/>
      <c r="L424" s="64"/>
    </row>
    <row r="425" spans="1:12" x14ac:dyDescent="0.25">
      <c r="A425" s="71">
        <v>263010</v>
      </c>
      <c r="B425" s="71">
        <v>2007</v>
      </c>
      <c r="C425" s="71" t="s">
        <v>1749</v>
      </c>
      <c r="D425" s="71" t="s">
        <v>476</v>
      </c>
      <c r="E425" s="71" t="s">
        <v>475</v>
      </c>
      <c r="F425" s="66" t="s">
        <v>307</v>
      </c>
      <c r="G425" s="70" t="s">
        <v>1411</v>
      </c>
      <c r="H425" s="70" t="s">
        <v>1410</v>
      </c>
      <c r="I425" s="363">
        <v>4</v>
      </c>
      <c r="J425" s="64"/>
      <c r="K425" s="64"/>
      <c r="L425" s="64"/>
    </row>
    <row r="426" spans="1:12" x14ac:dyDescent="0.25">
      <c r="A426" s="71">
        <v>263020</v>
      </c>
      <c r="B426" s="71">
        <v>2007</v>
      </c>
      <c r="C426" s="71" t="s">
        <v>1748</v>
      </c>
      <c r="D426" s="71" t="s">
        <v>476</v>
      </c>
      <c r="E426" s="71" t="s">
        <v>475</v>
      </c>
      <c r="F426" s="66" t="s">
        <v>307</v>
      </c>
      <c r="G426" s="70" t="s">
        <v>1411</v>
      </c>
      <c r="H426" s="70" t="s">
        <v>1410</v>
      </c>
      <c r="I426" s="363">
        <v>4</v>
      </c>
      <c r="J426" s="64"/>
      <c r="K426" s="64"/>
      <c r="L426" s="64"/>
    </row>
    <row r="427" spans="1:12" x14ac:dyDescent="0.25">
      <c r="A427" s="71">
        <v>263021</v>
      </c>
      <c r="B427" s="71">
        <v>2007</v>
      </c>
      <c r="C427" s="71" t="s">
        <v>1747</v>
      </c>
      <c r="D427" s="71" t="s">
        <v>476</v>
      </c>
      <c r="E427" s="71" t="s">
        <v>475</v>
      </c>
      <c r="F427" s="66" t="s">
        <v>307</v>
      </c>
      <c r="G427" s="70" t="s">
        <v>1411</v>
      </c>
      <c r="H427" s="70" t="s">
        <v>1410</v>
      </c>
      <c r="I427" s="363">
        <v>4</v>
      </c>
      <c r="J427" s="64"/>
      <c r="K427" s="64"/>
      <c r="L427" s="64"/>
    </row>
    <row r="428" spans="1:12" x14ac:dyDescent="0.25">
      <c r="A428" s="71">
        <v>263029</v>
      </c>
      <c r="B428" s="71">
        <v>2007</v>
      </c>
      <c r="C428" s="71" t="s">
        <v>1746</v>
      </c>
      <c r="D428" s="71" t="s">
        <v>476</v>
      </c>
      <c r="E428" s="71" t="s">
        <v>475</v>
      </c>
      <c r="F428" s="66" t="s">
        <v>307</v>
      </c>
      <c r="G428" s="70" t="s">
        <v>1411</v>
      </c>
      <c r="H428" s="70" t="s">
        <v>1410</v>
      </c>
      <c r="I428" s="363">
        <v>4</v>
      </c>
      <c r="J428" s="64"/>
      <c r="K428" s="64"/>
      <c r="L428" s="64"/>
    </row>
    <row r="429" spans="1:12" x14ac:dyDescent="0.25">
      <c r="A429" s="71">
        <v>264000</v>
      </c>
      <c r="B429" s="71">
        <v>2007</v>
      </c>
      <c r="C429" s="71" t="s">
        <v>1745</v>
      </c>
      <c r="D429" s="71" t="s">
        <v>476</v>
      </c>
      <c r="E429" s="71" t="s">
        <v>475</v>
      </c>
      <c r="F429" s="66" t="s">
        <v>307</v>
      </c>
      <c r="G429" s="70" t="s">
        <v>1411</v>
      </c>
      <c r="H429" s="70" t="s">
        <v>1410</v>
      </c>
      <c r="I429" s="363">
        <v>4</v>
      </c>
      <c r="J429" s="64"/>
      <c r="K429" s="64"/>
      <c r="L429" s="64"/>
    </row>
    <row r="430" spans="1:12" x14ac:dyDescent="0.25">
      <c r="A430" s="71">
        <v>264001</v>
      </c>
      <c r="B430" s="71">
        <v>2007</v>
      </c>
      <c r="C430" s="71" t="s">
        <v>1744</v>
      </c>
      <c r="D430" s="71" t="s">
        <v>476</v>
      </c>
      <c r="E430" s="71" t="s">
        <v>475</v>
      </c>
      <c r="F430" s="66" t="s">
        <v>307</v>
      </c>
      <c r="G430" s="70" t="s">
        <v>1411</v>
      </c>
      <c r="H430" s="70" t="s">
        <v>1410</v>
      </c>
      <c r="I430" s="363">
        <v>4</v>
      </c>
      <c r="J430" s="64"/>
      <c r="K430" s="64"/>
      <c r="L430" s="64"/>
    </row>
    <row r="431" spans="1:12" x14ac:dyDescent="0.25">
      <c r="A431" s="71">
        <v>264002</v>
      </c>
      <c r="B431" s="71">
        <v>2007</v>
      </c>
      <c r="C431" s="71" t="s">
        <v>1743</v>
      </c>
      <c r="D431" s="71" t="s">
        <v>476</v>
      </c>
      <c r="E431" s="71" t="s">
        <v>475</v>
      </c>
      <c r="F431" s="66" t="s">
        <v>307</v>
      </c>
      <c r="G431" s="70" t="s">
        <v>1411</v>
      </c>
      <c r="H431" s="70" t="s">
        <v>1410</v>
      </c>
      <c r="I431" s="363">
        <v>4</v>
      </c>
      <c r="J431" s="64"/>
      <c r="K431" s="64"/>
      <c r="L431" s="64"/>
    </row>
    <row r="432" spans="1:12" x14ac:dyDescent="0.25">
      <c r="A432" s="71">
        <v>265000</v>
      </c>
      <c r="B432" s="71">
        <v>2007</v>
      </c>
      <c r="C432" s="71" t="s">
        <v>1742</v>
      </c>
      <c r="D432" s="71" t="s">
        <v>476</v>
      </c>
      <c r="E432" s="71" t="s">
        <v>475</v>
      </c>
      <c r="F432" s="66" t="s">
        <v>307</v>
      </c>
      <c r="G432" s="70" t="s">
        <v>1411</v>
      </c>
      <c r="H432" s="70" t="s">
        <v>1410</v>
      </c>
      <c r="I432" s="363">
        <v>4</v>
      </c>
      <c r="J432" s="64"/>
      <c r="K432" s="64"/>
      <c r="L432" s="64"/>
    </row>
    <row r="433" spans="1:12" x14ac:dyDescent="0.25">
      <c r="A433" s="71">
        <v>265100</v>
      </c>
      <c r="B433" s="71">
        <v>2007</v>
      </c>
      <c r="C433" s="71" t="s">
        <v>1741</v>
      </c>
      <c r="D433" s="71" t="s">
        <v>476</v>
      </c>
      <c r="E433" s="71" t="s">
        <v>475</v>
      </c>
      <c r="F433" s="66" t="s">
        <v>307</v>
      </c>
      <c r="G433" s="70" t="s">
        <v>1411</v>
      </c>
      <c r="H433" s="70" t="s">
        <v>1410</v>
      </c>
      <c r="I433" s="363">
        <v>4</v>
      </c>
      <c r="J433" s="64"/>
      <c r="K433" s="64"/>
      <c r="L433" s="64"/>
    </row>
    <row r="434" spans="1:12" x14ac:dyDescent="0.25">
      <c r="A434" s="71">
        <v>265110</v>
      </c>
      <c r="B434" s="71">
        <v>2007</v>
      </c>
      <c r="C434" s="71" t="s">
        <v>1740</v>
      </c>
      <c r="D434" s="71" t="s">
        <v>476</v>
      </c>
      <c r="E434" s="71" t="s">
        <v>475</v>
      </c>
      <c r="F434" s="66" t="s">
        <v>307</v>
      </c>
      <c r="G434" s="70" t="s">
        <v>1411</v>
      </c>
      <c r="H434" s="70" t="s">
        <v>1410</v>
      </c>
      <c r="I434" s="363">
        <v>4</v>
      </c>
      <c r="J434" s="64"/>
      <c r="K434" s="64"/>
      <c r="L434" s="64"/>
    </row>
    <row r="435" spans="1:12" x14ac:dyDescent="0.25">
      <c r="A435" s="71">
        <v>265120</v>
      </c>
      <c r="B435" s="71">
        <v>2007</v>
      </c>
      <c r="C435" s="71" t="s">
        <v>1739</v>
      </c>
      <c r="D435" s="71" t="s">
        <v>476</v>
      </c>
      <c r="E435" s="71" t="s">
        <v>475</v>
      </c>
      <c r="F435" s="66" t="s">
        <v>307</v>
      </c>
      <c r="G435" s="70" t="s">
        <v>1411</v>
      </c>
      <c r="H435" s="70" t="s">
        <v>1410</v>
      </c>
      <c r="I435" s="363">
        <v>4</v>
      </c>
      <c r="J435" s="64"/>
      <c r="K435" s="64"/>
      <c r="L435" s="64"/>
    </row>
    <row r="436" spans="1:12" x14ac:dyDescent="0.25">
      <c r="A436" s="71">
        <v>265121</v>
      </c>
      <c r="B436" s="71">
        <v>2007</v>
      </c>
      <c r="C436" s="71" t="s">
        <v>1738</v>
      </c>
      <c r="D436" s="71" t="s">
        <v>476</v>
      </c>
      <c r="E436" s="71" t="s">
        <v>475</v>
      </c>
      <c r="F436" s="66" t="s">
        <v>307</v>
      </c>
      <c r="G436" s="70" t="s">
        <v>1411</v>
      </c>
      <c r="H436" s="70" t="s">
        <v>1410</v>
      </c>
      <c r="I436" s="363">
        <v>4</v>
      </c>
      <c r="J436" s="64"/>
      <c r="K436" s="64"/>
      <c r="L436" s="64"/>
    </row>
    <row r="437" spans="1:12" x14ac:dyDescent="0.25">
      <c r="A437" s="71">
        <v>265129</v>
      </c>
      <c r="B437" s="71">
        <v>2007</v>
      </c>
      <c r="C437" s="71" t="s">
        <v>1737</v>
      </c>
      <c r="D437" s="71" t="s">
        <v>476</v>
      </c>
      <c r="E437" s="71" t="s">
        <v>475</v>
      </c>
      <c r="F437" s="66" t="s">
        <v>307</v>
      </c>
      <c r="G437" s="70" t="s">
        <v>1411</v>
      </c>
      <c r="H437" s="70" t="s">
        <v>1410</v>
      </c>
      <c r="I437" s="363">
        <v>4</v>
      </c>
      <c r="J437" s="64"/>
      <c r="K437" s="64"/>
      <c r="L437" s="64"/>
    </row>
    <row r="438" spans="1:12" x14ac:dyDescent="0.25">
      <c r="A438" s="71">
        <v>265200</v>
      </c>
      <c r="B438" s="71">
        <v>2007</v>
      </c>
      <c r="C438" s="71" t="s">
        <v>1736</v>
      </c>
      <c r="D438" s="71" t="s">
        <v>476</v>
      </c>
      <c r="E438" s="71" t="s">
        <v>475</v>
      </c>
      <c r="F438" s="66" t="s">
        <v>307</v>
      </c>
      <c r="G438" s="70" t="s">
        <v>1411</v>
      </c>
      <c r="H438" s="70" t="s">
        <v>1410</v>
      </c>
      <c r="I438" s="363">
        <v>4</v>
      </c>
      <c r="J438" s="64"/>
      <c r="K438" s="64"/>
      <c r="L438" s="64"/>
    </row>
    <row r="439" spans="1:12" x14ac:dyDescent="0.25">
      <c r="A439" s="71">
        <v>266000</v>
      </c>
      <c r="B439" s="71">
        <v>2007</v>
      </c>
      <c r="C439" s="71" t="s">
        <v>1735</v>
      </c>
      <c r="D439" s="71" t="s">
        <v>476</v>
      </c>
      <c r="E439" s="71" t="s">
        <v>475</v>
      </c>
      <c r="F439" s="66" t="s">
        <v>307</v>
      </c>
      <c r="G439" s="70" t="s">
        <v>1411</v>
      </c>
      <c r="H439" s="70" t="s">
        <v>1410</v>
      </c>
      <c r="I439" s="363">
        <v>4</v>
      </c>
      <c r="J439" s="64"/>
      <c r="K439" s="64"/>
      <c r="L439" s="64"/>
    </row>
    <row r="440" spans="1:12" x14ac:dyDescent="0.25">
      <c r="A440" s="71">
        <v>266001</v>
      </c>
      <c r="B440" s="71">
        <v>2007</v>
      </c>
      <c r="C440" s="71" t="s">
        <v>1734</v>
      </c>
      <c r="D440" s="71" t="s">
        <v>476</v>
      </c>
      <c r="E440" s="71" t="s">
        <v>475</v>
      </c>
      <c r="F440" s="66" t="s">
        <v>307</v>
      </c>
      <c r="G440" s="70" t="s">
        <v>1411</v>
      </c>
      <c r="H440" s="70" t="s">
        <v>1410</v>
      </c>
      <c r="I440" s="363">
        <v>4</v>
      </c>
      <c r="J440" s="64"/>
      <c r="K440" s="64"/>
      <c r="L440" s="64"/>
    </row>
    <row r="441" spans="1:12" x14ac:dyDescent="0.25">
      <c r="A441" s="71">
        <v>266002</v>
      </c>
      <c r="B441" s="71">
        <v>2007</v>
      </c>
      <c r="C441" s="71" t="s">
        <v>1733</v>
      </c>
      <c r="D441" s="71" t="s">
        <v>476</v>
      </c>
      <c r="E441" s="71" t="s">
        <v>475</v>
      </c>
      <c r="F441" s="66" t="s">
        <v>307</v>
      </c>
      <c r="G441" s="70" t="s">
        <v>1411</v>
      </c>
      <c r="H441" s="70" t="s">
        <v>1410</v>
      </c>
      <c r="I441" s="363">
        <v>4</v>
      </c>
      <c r="J441" s="64"/>
      <c r="K441" s="64"/>
      <c r="L441" s="64"/>
    </row>
    <row r="442" spans="1:12" x14ac:dyDescent="0.25">
      <c r="A442" s="71">
        <v>266009</v>
      </c>
      <c r="B442" s="71">
        <v>2007</v>
      </c>
      <c r="C442" s="71" t="s">
        <v>1732</v>
      </c>
      <c r="D442" s="71" t="s">
        <v>476</v>
      </c>
      <c r="E442" s="71" t="s">
        <v>475</v>
      </c>
      <c r="F442" s="66" t="s">
        <v>307</v>
      </c>
      <c r="G442" s="70" t="s">
        <v>1411</v>
      </c>
      <c r="H442" s="70" t="s">
        <v>1410</v>
      </c>
      <c r="I442" s="363">
        <v>4</v>
      </c>
      <c r="J442" s="64"/>
      <c r="K442" s="64"/>
      <c r="L442" s="64"/>
    </row>
    <row r="443" spans="1:12" x14ac:dyDescent="0.25">
      <c r="A443" s="71">
        <v>267000</v>
      </c>
      <c r="B443" s="71">
        <v>2007</v>
      </c>
      <c r="C443" s="71" t="s">
        <v>1731</v>
      </c>
      <c r="D443" s="71" t="s">
        <v>476</v>
      </c>
      <c r="E443" s="71" t="s">
        <v>475</v>
      </c>
      <c r="F443" s="66" t="s">
        <v>307</v>
      </c>
      <c r="G443" s="70" t="s">
        <v>1411</v>
      </c>
      <c r="H443" s="70" t="s">
        <v>1410</v>
      </c>
      <c r="I443" s="363">
        <v>4</v>
      </c>
      <c r="J443" s="64"/>
      <c r="K443" s="64"/>
      <c r="L443" s="64"/>
    </row>
    <row r="444" spans="1:12" x14ac:dyDescent="0.25">
      <c r="A444" s="71">
        <v>267010</v>
      </c>
      <c r="B444" s="71">
        <v>2007</v>
      </c>
      <c r="C444" s="71" t="s">
        <v>1730</v>
      </c>
      <c r="D444" s="71" t="s">
        <v>476</v>
      </c>
      <c r="E444" s="71" t="s">
        <v>475</v>
      </c>
      <c r="F444" s="66" t="s">
        <v>307</v>
      </c>
      <c r="G444" s="70" t="s">
        <v>1411</v>
      </c>
      <c r="H444" s="70" t="s">
        <v>1410</v>
      </c>
      <c r="I444" s="363">
        <v>4</v>
      </c>
      <c r="J444" s="64"/>
      <c r="K444" s="64"/>
      <c r="L444" s="64"/>
    </row>
    <row r="445" spans="1:12" x14ac:dyDescent="0.25">
      <c r="A445" s="71">
        <v>267011</v>
      </c>
      <c r="B445" s="71">
        <v>2007</v>
      </c>
      <c r="C445" s="71" t="s">
        <v>1729</v>
      </c>
      <c r="D445" s="71" t="s">
        <v>476</v>
      </c>
      <c r="E445" s="71" t="s">
        <v>475</v>
      </c>
      <c r="F445" s="66" t="s">
        <v>307</v>
      </c>
      <c r="G445" s="70" t="s">
        <v>1411</v>
      </c>
      <c r="H445" s="70" t="s">
        <v>1410</v>
      </c>
      <c r="I445" s="363">
        <v>4</v>
      </c>
      <c r="J445" s="64"/>
      <c r="K445" s="64"/>
      <c r="L445" s="64"/>
    </row>
    <row r="446" spans="1:12" x14ac:dyDescent="0.25">
      <c r="A446" s="71">
        <v>267012</v>
      </c>
      <c r="B446" s="71">
        <v>2007</v>
      </c>
      <c r="C446" s="71" t="s">
        <v>1728</v>
      </c>
      <c r="D446" s="71" t="s">
        <v>476</v>
      </c>
      <c r="E446" s="71" t="s">
        <v>475</v>
      </c>
      <c r="F446" s="66" t="s">
        <v>307</v>
      </c>
      <c r="G446" s="70" t="s">
        <v>1411</v>
      </c>
      <c r="H446" s="70" t="s">
        <v>1410</v>
      </c>
      <c r="I446" s="363">
        <v>4</v>
      </c>
      <c r="J446" s="64"/>
      <c r="K446" s="64"/>
      <c r="L446" s="64"/>
    </row>
    <row r="447" spans="1:12" x14ac:dyDescent="0.25">
      <c r="A447" s="71">
        <v>267020</v>
      </c>
      <c r="B447" s="71">
        <v>2007</v>
      </c>
      <c r="C447" s="71" t="s">
        <v>1727</v>
      </c>
      <c r="D447" s="71" t="s">
        <v>476</v>
      </c>
      <c r="E447" s="71" t="s">
        <v>475</v>
      </c>
      <c r="F447" s="66" t="s">
        <v>307</v>
      </c>
      <c r="G447" s="70" t="s">
        <v>1411</v>
      </c>
      <c r="H447" s="70" t="s">
        <v>1410</v>
      </c>
      <c r="I447" s="363">
        <v>4</v>
      </c>
      <c r="J447" s="64"/>
      <c r="K447" s="64"/>
      <c r="L447" s="64"/>
    </row>
    <row r="448" spans="1:12" x14ac:dyDescent="0.25">
      <c r="A448" s="71">
        <v>268000</v>
      </c>
      <c r="B448" s="71">
        <v>2007</v>
      </c>
      <c r="C448" s="71" t="s">
        <v>1726</v>
      </c>
      <c r="D448" s="71" t="s">
        <v>476</v>
      </c>
      <c r="E448" s="71" t="s">
        <v>475</v>
      </c>
      <c r="F448" s="66" t="s">
        <v>307</v>
      </c>
      <c r="G448" s="70" t="s">
        <v>1411</v>
      </c>
      <c r="H448" s="70" t="s">
        <v>1410</v>
      </c>
      <c r="I448" s="363">
        <v>4</v>
      </c>
      <c r="J448" s="64"/>
      <c r="K448" s="64"/>
      <c r="L448" s="64"/>
    </row>
    <row r="449" spans="1:12" x14ac:dyDescent="0.25">
      <c r="A449" s="71">
        <v>270000</v>
      </c>
      <c r="B449" s="71">
        <v>2007</v>
      </c>
      <c r="C449" s="71" t="s">
        <v>1725</v>
      </c>
      <c r="D449" s="71" t="s">
        <v>476</v>
      </c>
      <c r="E449" s="71" t="s">
        <v>475</v>
      </c>
      <c r="F449" s="66" t="s">
        <v>307</v>
      </c>
      <c r="G449" s="70" t="s">
        <v>1411</v>
      </c>
      <c r="H449" s="70" t="s">
        <v>1410</v>
      </c>
      <c r="I449" s="363">
        <v>4</v>
      </c>
      <c r="J449" s="64"/>
      <c r="K449" s="64"/>
      <c r="L449" s="64"/>
    </row>
    <row r="450" spans="1:12" x14ac:dyDescent="0.25">
      <c r="A450" s="71">
        <v>271000</v>
      </c>
      <c r="B450" s="71">
        <v>2007</v>
      </c>
      <c r="C450" s="71" t="s">
        <v>1724</v>
      </c>
      <c r="D450" s="71" t="s">
        <v>476</v>
      </c>
      <c r="E450" s="71" t="s">
        <v>475</v>
      </c>
      <c r="F450" s="66" t="s">
        <v>307</v>
      </c>
      <c r="G450" s="70" t="s">
        <v>1411</v>
      </c>
      <c r="H450" s="70" t="s">
        <v>1410</v>
      </c>
      <c r="I450" s="363">
        <v>4</v>
      </c>
      <c r="J450" s="64"/>
      <c r="K450" s="64"/>
      <c r="L450" s="64"/>
    </row>
    <row r="451" spans="1:12" x14ac:dyDescent="0.25">
      <c r="A451" s="71">
        <v>271100</v>
      </c>
      <c r="B451" s="71">
        <v>2007</v>
      </c>
      <c r="C451" s="71" t="s">
        <v>1723</v>
      </c>
      <c r="D451" s="71" t="s">
        <v>476</v>
      </c>
      <c r="E451" s="71" t="s">
        <v>475</v>
      </c>
      <c r="F451" s="66" t="s">
        <v>307</v>
      </c>
      <c r="G451" s="70" t="s">
        <v>1411</v>
      </c>
      <c r="H451" s="70" t="s">
        <v>1410</v>
      </c>
      <c r="I451" s="363">
        <v>4</v>
      </c>
      <c r="J451" s="64"/>
      <c r="K451" s="64"/>
      <c r="L451" s="64"/>
    </row>
    <row r="452" spans="1:12" x14ac:dyDescent="0.25">
      <c r="A452" s="71">
        <v>271200</v>
      </c>
      <c r="B452" s="71">
        <v>2007</v>
      </c>
      <c r="C452" s="71" t="s">
        <v>1722</v>
      </c>
      <c r="D452" s="71" t="s">
        <v>476</v>
      </c>
      <c r="E452" s="71" t="s">
        <v>475</v>
      </c>
      <c r="F452" s="66" t="s">
        <v>307</v>
      </c>
      <c r="G452" s="70" t="s">
        <v>1411</v>
      </c>
      <c r="H452" s="70" t="s">
        <v>1410</v>
      </c>
      <c r="I452" s="363">
        <v>4</v>
      </c>
      <c r="J452" s="64"/>
      <c r="K452" s="64"/>
      <c r="L452" s="64"/>
    </row>
    <row r="453" spans="1:12" x14ac:dyDescent="0.25">
      <c r="A453" s="71">
        <v>272000</v>
      </c>
      <c r="B453" s="71">
        <v>2007</v>
      </c>
      <c r="C453" s="71" t="s">
        <v>1721</v>
      </c>
      <c r="D453" s="71" t="s">
        <v>476</v>
      </c>
      <c r="E453" s="71" t="s">
        <v>475</v>
      </c>
      <c r="F453" s="66" t="s">
        <v>307</v>
      </c>
      <c r="G453" s="70" t="s">
        <v>1411</v>
      </c>
      <c r="H453" s="70" t="s">
        <v>1410</v>
      </c>
      <c r="I453" s="363">
        <v>4</v>
      </c>
      <c r="J453" s="64"/>
      <c r="K453" s="64"/>
      <c r="L453" s="64"/>
    </row>
    <row r="454" spans="1:12" x14ac:dyDescent="0.25">
      <c r="A454" s="71">
        <v>273000</v>
      </c>
      <c r="B454" s="71">
        <v>2007</v>
      </c>
      <c r="C454" s="71" t="s">
        <v>1720</v>
      </c>
      <c r="D454" s="71" t="s">
        <v>476</v>
      </c>
      <c r="E454" s="71" t="s">
        <v>475</v>
      </c>
      <c r="F454" s="66" t="s">
        <v>307</v>
      </c>
      <c r="G454" s="70" t="s">
        <v>1411</v>
      </c>
      <c r="H454" s="70" t="s">
        <v>1410</v>
      </c>
      <c r="I454" s="363">
        <v>4</v>
      </c>
      <c r="J454" s="64"/>
      <c r="K454" s="64"/>
      <c r="L454" s="64"/>
    </row>
    <row r="455" spans="1:12" x14ac:dyDescent="0.25">
      <c r="A455" s="71">
        <v>273100</v>
      </c>
      <c r="B455" s="71">
        <v>2007</v>
      </c>
      <c r="C455" s="71" t="s">
        <v>1719</v>
      </c>
      <c r="D455" s="71" t="s">
        <v>476</v>
      </c>
      <c r="E455" s="71" t="s">
        <v>475</v>
      </c>
      <c r="F455" s="66" t="s">
        <v>307</v>
      </c>
      <c r="G455" s="70" t="s">
        <v>1411</v>
      </c>
      <c r="H455" s="70" t="s">
        <v>1410</v>
      </c>
      <c r="I455" s="363">
        <v>4</v>
      </c>
      <c r="J455" s="64"/>
      <c r="K455" s="64"/>
      <c r="L455" s="64"/>
    </row>
    <row r="456" spans="1:12" x14ac:dyDescent="0.25">
      <c r="A456" s="71">
        <v>273101</v>
      </c>
      <c r="B456" s="71">
        <v>2007</v>
      </c>
      <c r="C456" s="71" t="s">
        <v>1718</v>
      </c>
      <c r="D456" s="71" t="s">
        <v>476</v>
      </c>
      <c r="E456" s="71" t="s">
        <v>475</v>
      </c>
      <c r="F456" s="66" t="s">
        <v>307</v>
      </c>
      <c r="G456" s="70" t="s">
        <v>1411</v>
      </c>
      <c r="H456" s="70" t="s">
        <v>1410</v>
      </c>
      <c r="I456" s="363">
        <v>4</v>
      </c>
      <c r="J456" s="64"/>
      <c r="K456" s="64"/>
      <c r="L456" s="64"/>
    </row>
    <row r="457" spans="1:12" x14ac:dyDescent="0.25">
      <c r="A457" s="71">
        <v>273102</v>
      </c>
      <c r="B457" s="71">
        <v>2007</v>
      </c>
      <c r="C457" s="71" t="s">
        <v>1717</v>
      </c>
      <c r="D457" s="71" t="s">
        <v>476</v>
      </c>
      <c r="E457" s="71" t="s">
        <v>475</v>
      </c>
      <c r="F457" s="66" t="s">
        <v>307</v>
      </c>
      <c r="G457" s="70" t="s">
        <v>1411</v>
      </c>
      <c r="H457" s="70" t="s">
        <v>1410</v>
      </c>
      <c r="I457" s="363">
        <v>4</v>
      </c>
      <c r="J457" s="64"/>
      <c r="K457" s="64"/>
      <c r="L457" s="64"/>
    </row>
    <row r="458" spans="1:12" x14ac:dyDescent="0.25">
      <c r="A458" s="71">
        <v>273200</v>
      </c>
      <c r="B458" s="71">
        <v>2007</v>
      </c>
      <c r="C458" s="71" t="s">
        <v>1716</v>
      </c>
      <c r="D458" s="71" t="s">
        <v>476</v>
      </c>
      <c r="E458" s="71" t="s">
        <v>475</v>
      </c>
      <c r="F458" s="66" t="s">
        <v>307</v>
      </c>
      <c r="G458" s="70" t="s">
        <v>1411</v>
      </c>
      <c r="H458" s="70" t="s">
        <v>1410</v>
      </c>
      <c r="I458" s="363">
        <v>4</v>
      </c>
      <c r="J458" s="64"/>
      <c r="K458" s="64"/>
      <c r="L458" s="64"/>
    </row>
    <row r="459" spans="1:12" x14ac:dyDescent="0.25">
      <c r="A459" s="71">
        <v>273300</v>
      </c>
      <c r="B459" s="71">
        <v>2007</v>
      </c>
      <c r="C459" s="71" t="s">
        <v>1715</v>
      </c>
      <c r="D459" s="71" t="s">
        <v>476</v>
      </c>
      <c r="E459" s="71" t="s">
        <v>475</v>
      </c>
      <c r="F459" s="66" t="s">
        <v>307</v>
      </c>
      <c r="G459" s="70" t="s">
        <v>1411</v>
      </c>
      <c r="H459" s="70" t="s">
        <v>1410</v>
      </c>
      <c r="I459" s="363">
        <v>4</v>
      </c>
      <c r="J459" s="64"/>
      <c r="K459" s="64"/>
      <c r="L459" s="64"/>
    </row>
    <row r="460" spans="1:12" x14ac:dyDescent="0.25">
      <c r="A460" s="71">
        <v>273301</v>
      </c>
      <c r="B460" s="71">
        <v>2007</v>
      </c>
      <c r="C460" s="71" t="s">
        <v>1714</v>
      </c>
      <c r="D460" s="71" t="s">
        <v>476</v>
      </c>
      <c r="E460" s="71" t="s">
        <v>475</v>
      </c>
      <c r="F460" s="66" t="s">
        <v>307</v>
      </c>
      <c r="G460" s="70" t="s">
        <v>1411</v>
      </c>
      <c r="H460" s="70" t="s">
        <v>1410</v>
      </c>
      <c r="I460" s="363">
        <v>4</v>
      </c>
      <c r="J460" s="64"/>
      <c r="K460" s="64"/>
      <c r="L460" s="64"/>
    </row>
    <row r="461" spans="1:12" x14ac:dyDescent="0.25">
      <c r="A461" s="71">
        <v>273309</v>
      </c>
      <c r="B461" s="71">
        <v>2007</v>
      </c>
      <c r="C461" s="71" t="s">
        <v>1713</v>
      </c>
      <c r="D461" s="71" t="s">
        <v>476</v>
      </c>
      <c r="E461" s="71" t="s">
        <v>475</v>
      </c>
      <c r="F461" s="66" t="s">
        <v>307</v>
      </c>
      <c r="G461" s="70" t="s">
        <v>1411</v>
      </c>
      <c r="H461" s="70" t="s">
        <v>1410</v>
      </c>
      <c r="I461" s="363">
        <v>4</v>
      </c>
      <c r="J461" s="64"/>
      <c r="K461" s="64"/>
      <c r="L461" s="64"/>
    </row>
    <row r="462" spans="1:12" x14ac:dyDescent="0.25">
      <c r="A462" s="71">
        <v>274000</v>
      </c>
      <c r="B462" s="71">
        <v>2007</v>
      </c>
      <c r="C462" s="71" t="s">
        <v>1712</v>
      </c>
      <c r="D462" s="71" t="s">
        <v>476</v>
      </c>
      <c r="E462" s="71" t="s">
        <v>475</v>
      </c>
      <c r="F462" s="66" t="s">
        <v>307</v>
      </c>
      <c r="G462" s="70" t="s">
        <v>1411</v>
      </c>
      <c r="H462" s="70" t="s">
        <v>1410</v>
      </c>
      <c r="I462" s="363">
        <v>4</v>
      </c>
      <c r="J462" s="64"/>
      <c r="K462" s="64"/>
      <c r="L462" s="64"/>
    </row>
    <row r="463" spans="1:12" x14ac:dyDescent="0.25">
      <c r="A463" s="71">
        <v>274001</v>
      </c>
      <c r="B463" s="71">
        <v>2007</v>
      </c>
      <c r="C463" s="71" t="s">
        <v>1711</v>
      </c>
      <c r="D463" s="71" t="s">
        <v>476</v>
      </c>
      <c r="E463" s="71" t="s">
        <v>475</v>
      </c>
      <c r="F463" s="66" t="s">
        <v>307</v>
      </c>
      <c r="G463" s="70" t="s">
        <v>1411</v>
      </c>
      <c r="H463" s="70" t="s">
        <v>1410</v>
      </c>
      <c r="I463" s="363">
        <v>4</v>
      </c>
      <c r="J463" s="64"/>
      <c r="K463" s="64"/>
      <c r="L463" s="64"/>
    </row>
    <row r="464" spans="1:12" x14ac:dyDescent="0.25">
      <c r="A464" s="71">
        <v>274009</v>
      </c>
      <c r="B464" s="71">
        <v>2007</v>
      </c>
      <c r="C464" s="71" t="s">
        <v>1710</v>
      </c>
      <c r="D464" s="71" t="s">
        <v>476</v>
      </c>
      <c r="E464" s="71" t="s">
        <v>475</v>
      </c>
      <c r="F464" s="66" t="s">
        <v>307</v>
      </c>
      <c r="G464" s="70" t="s">
        <v>1411</v>
      </c>
      <c r="H464" s="70" t="s">
        <v>1410</v>
      </c>
      <c r="I464" s="363">
        <v>4</v>
      </c>
      <c r="J464" s="64"/>
      <c r="K464" s="64"/>
      <c r="L464" s="64"/>
    </row>
    <row r="465" spans="1:12" x14ac:dyDescent="0.25">
      <c r="A465" s="71">
        <v>275000</v>
      </c>
      <c r="B465" s="71">
        <v>2007</v>
      </c>
      <c r="C465" s="71" t="s">
        <v>1709</v>
      </c>
      <c r="D465" s="71" t="s">
        <v>476</v>
      </c>
      <c r="E465" s="71" t="s">
        <v>475</v>
      </c>
      <c r="F465" s="66" t="s">
        <v>307</v>
      </c>
      <c r="G465" s="70" t="s">
        <v>1411</v>
      </c>
      <c r="H465" s="70" t="s">
        <v>1410</v>
      </c>
      <c r="I465" s="363">
        <v>4</v>
      </c>
      <c r="J465" s="64"/>
      <c r="K465" s="64"/>
      <c r="L465" s="64"/>
    </row>
    <row r="466" spans="1:12" x14ac:dyDescent="0.25">
      <c r="A466" s="71">
        <v>275100</v>
      </c>
      <c r="B466" s="71">
        <v>2007</v>
      </c>
      <c r="C466" s="71" t="s">
        <v>1708</v>
      </c>
      <c r="D466" s="71" t="s">
        <v>476</v>
      </c>
      <c r="E466" s="71" t="s">
        <v>475</v>
      </c>
      <c r="F466" s="66" t="s">
        <v>307</v>
      </c>
      <c r="G466" s="70" t="s">
        <v>1411</v>
      </c>
      <c r="H466" s="70" t="s">
        <v>1410</v>
      </c>
      <c r="I466" s="363">
        <v>4</v>
      </c>
      <c r="J466" s="64"/>
      <c r="K466" s="64"/>
      <c r="L466" s="64"/>
    </row>
    <row r="467" spans="1:12" x14ac:dyDescent="0.25">
      <c r="A467" s="71">
        <v>275200</v>
      </c>
      <c r="B467" s="71">
        <v>2007</v>
      </c>
      <c r="C467" s="71" t="s">
        <v>1707</v>
      </c>
      <c r="D467" s="71" t="s">
        <v>476</v>
      </c>
      <c r="E467" s="71" t="s">
        <v>475</v>
      </c>
      <c r="F467" s="66" t="s">
        <v>307</v>
      </c>
      <c r="G467" s="70" t="s">
        <v>1411</v>
      </c>
      <c r="H467" s="70" t="s">
        <v>1410</v>
      </c>
      <c r="I467" s="363">
        <v>4</v>
      </c>
      <c r="J467" s="64"/>
      <c r="K467" s="64"/>
      <c r="L467" s="64"/>
    </row>
    <row r="468" spans="1:12" x14ac:dyDescent="0.25">
      <c r="A468" s="71">
        <v>279000</v>
      </c>
      <c r="B468" s="71">
        <v>2007</v>
      </c>
      <c r="C468" s="71" t="s">
        <v>1706</v>
      </c>
      <c r="D468" s="71" t="s">
        <v>476</v>
      </c>
      <c r="E468" s="71" t="s">
        <v>475</v>
      </c>
      <c r="F468" s="66" t="s">
        <v>307</v>
      </c>
      <c r="G468" s="70" t="s">
        <v>1411</v>
      </c>
      <c r="H468" s="70" t="s">
        <v>1410</v>
      </c>
      <c r="I468" s="363">
        <v>4</v>
      </c>
      <c r="J468" s="64"/>
      <c r="K468" s="64"/>
      <c r="L468" s="64"/>
    </row>
    <row r="469" spans="1:12" x14ac:dyDescent="0.25">
      <c r="A469" s="71">
        <v>279001</v>
      </c>
      <c r="B469" s="71">
        <v>2007</v>
      </c>
      <c r="C469" s="71" t="s">
        <v>1705</v>
      </c>
      <c r="D469" s="71" t="s">
        <v>476</v>
      </c>
      <c r="E469" s="71" t="s">
        <v>475</v>
      </c>
      <c r="F469" s="66" t="s">
        <v>307</v>
      </c>
      <c r="G469" s="70" t="s">
        <v>1411</v>
      </c>
      <c r="H469" s="70" t="s">
        <v>1410</v>
      </c>
      <c r="I469" s="363">
        <v>4</v>
      </c>
      <c r="J469" s="64"/>
      <c r="K469" s="64"/>
      <c r="L469" s="64"/>
    </row>
    <row r="470" spans="1:12" x14ac:dyDescent="0.25">
      <c r="A470" s="71">
        <v>279002</v>
      </c>
      <c r="B470" s="71">
        <v>2007</v>
      </c>
      <c r="C470" s="71" t="s">
        <v>1704</v>
      </c>
      <c r="D470" s="71" t="s">
        <v>476</v>
      </c>
      <c r="E470" s="71" t="s">
        <v>475</v>
      </c>
      <c r="F470" s="66" t="s">
        <v>307</v>
      </c>
      <c r="G470" s="70" t="s">
        <v>1411</v>
      </c>
      <c r="H470" s="70" t="s">
        <v>1410</v>
      </c>
      <c r="I470" s="363">
        <v>4</v>
      </c>
      <c r="J470" s="64"/>
      <c r="K470" s="64"/>
      <c r="L470" s="64"/>
    </row>
    <row r="471" spans="1:12" x14ac:dyDescent="0.25">
      <c r="A471" s="71">
        <v>279003</v>
      </c>
      <c r="B471" s="71">
        <v>2007</v>
      </c>
      <c r="C471" s="71" t="s">
        <v>1703</v>
      </c>
      <c r="D471" s="71" t="s">
        <v>476</v>
      </c>
      <c r="E471" s="71" t="s">
        <v>475</v>
      </c>
      <c r="F471" s="66" t="s">
        <v>307</v>
      </c>
      <c r="G471" s="70" t="s">
        <v>1411</v>
      </c>
      <c r="H471" s="70" t="s">
        <v>1410</v>
      </c>
      <c r="I471" s="363">
        <v>4</v>
      </c>
      <c r="J471" s="64"/>
      <c r="K471" s="64"/>
      <c r="L471" s="64"/>
    </row>
    <row r="472" spans="1:12" x14ac:dyDescent="0.25">
      <c r="A472" s="71">
        <v>279009</v>
      </c>
      <c r="B472" s="71">
        <v>2007</v>
      </c>
      <c r="C472" s="71" t="s">
        <v>1702</v>
      </c>
      <c r="D472" s="71" t="s">
        <v>476</v>
      </c>
      <c r="E472" s="71" t="s">
        <v>475</v>
      </c>
      <c r="F472" s="66" t="s">
        <v>307</v>
      </c>
      <c r="G472" s="70" t="s">
        <v>1411</v>
      </c>
      <c r="H472" s="70" t="s">
        <v>1410</v>
      </c>
      <c r="I472" s="363">
        <v>4</v>
      </c>
      <c r="J472" s="64"/>
      <c r="K472" s="64"/>
      <c r="L472" s="64"/>
    </row>
    <row r="473" spans="1:12" x14ac:dyDescent="0.25">
      <c r="A473" s="71">
        <v>280000</v>
      </c>
      <c r="B473" s="71">
        <v>2007</v>
      </c>
      <c r="C473" s="71" t="s">
        <v>1701</v>
      </c>
      <c r="D473" s="71" t="s">
        <v>476</v>
      </c>
      <c r="E473" s="71" t="s">
        <v>475</v>
      </c>
      <c r="F473" s="66" t="s">
        <v>307</v>
      </c>
      <c r="G473" s="70" t="s">
        <v>1411</v>
      </c>
      <c r="H473" s="70" t="s">
        <v>1410</v>
      </c>
      <c r="I473" s="363">
        <v>4</v>
      </c>
      <c r="J473" s="64"/>
      <c r="K473" s="64"/>
      <c r="L473" s="64"/>
    </row>
    <row r="474" spans="1:12" x14ac:dyDescent="0.25">
      <c r="A474" s="71">
        <v>281000</v>
      </c>
      <c r="B474" s="71">
        <v>2007</v>
      </c>
      <c r="C474" s="71" t="s">
        <v>1700</v>
      </c>
      <c r="D474" s="71" t="s">
        <v>476</v>
      </c>
      <c r="E474" s="71" t="s">
        <v>475</v>
      </c>
      <c r="F474" s="66" t="s">
        <v>307</v>
      </c>
      <c r="G474" s="70" t="s">
        <v>1411</v>
      </c>
      <c r="H474" s="70" t="s">
        <v>1410</v>
      </c>
      <c r="I474" s="363">
        <v>4</v>
      </c>
      <c r="J474" s="64"/>
      <c r="K474" s="64"/>
      <c r="L474" s="64"/>
    </row>
    <row r="475" spans="1:12" x14ac:dyDescent="0.25">
      <c r="A475" s="71">
        <v>281100</v>
      </c>
      <c r="B475" s="71">
        <v>2007</v>
      </c>
      <c r="C475" s="71" t="s">
        <v>1699</v>
      </c>
      <c r="D475" s="71" t="s">
        <v>476</v>
      </c>
      <c r="E475" s="71" t="s">
        <v>475</v>
      </c>
      <c r="F475" s="66" t="s">
        <v>307</v>
      </c>
      <c r="G475" s="70" t="s">
        <v>1411</v>
      </c>
      <c r="H475" s="70" t="s">
        <v>1410</v>
      </c>
      <c r="I475" s="363">
        <v>4</v>
      </c>
      <c r="J475" s="64"/>
      <c r="K475" s="64"/>
      <c r="L475" s="64"/>
    </row>
    <row r="476" spans="1:12" x14ac:dyDescent="0.25">
      <c r="A476" s="71">
        <v>281110</v>
      </c>
      <c r="B476" s="71">
        <v>2007</v>
      </c>
      <c r="C476" s="71" t="s">
        <v>1698</v>
      </c>
      <c r="D476" s="71" t="s">
        <v>476</v>
      </c>
      <c r="E476" s="71" t="s">
        <v>475</v>
      </c>
      <c r="F476" s="66" t="s">
        <v>307</v>
      </c>
      <c r="G476" s="70" t="s">
        <v>1411</v>
      </c>
      <c r="H476" s="70" t="s">
        <v>1410</v>
      </c>
      <c r="I476" s="363">
        <v>4</v>
      </c>
      <c r="J476" s="64"/>
      <c r="K476" s="64"/>
      <c r="L476" s="64"/>
    </row>
    <row r="477" spans="1:12" x14ac:dyDescent="0.25">
      <c r="A477" s="71">
        <v>281111</v>
      </c>
      <c r="B477" s="71">
        <v>2007</v>
      </c>
      <c r="C477" s="71" t="s">
        <v>1697</v>
      </c>
      <c r="D477" s="71" t="s">
        <v>476</v>
      </c>
      <c r="E477" s="71" t="s">
        <v>475</v>
      </c>
      <c r="F477" s="66" t="s">
        <v>307</v>
      </c>
      <c r="G477" s="70" t="s">
        <v>1411</v>
      </c>
      <c r="H477" s="70" t="s">
        <v>1410</v>
      </c>
      <c r="I477" s="363">
        <v>4</v>
      </c>
      <c r="J477" s="64"/>
      <c r="K477" s="64"/>
      <c r="L477" s="64"/>
    </row>
    <row r="478" spans="1:12" x14ac:dyDescent="0.25">
      <c r="A478" s="71">
        <v>281112</v>
      </c>
      <c r="B478" s="71">
        <v>2007</v>
      </c>
      <c r="C478" s="71" t="s">
        <v>1696</v>
      </c>
      <c r="D478" s="71" t="s">
        <v>476</v>
      </c>
      <c r="E478" s="71" t="s">
        <v>475</v>
      </c>
      <c r="F478" s="66" t="s">
        <v>307</v>
      </c>
      <c r="G478" s="70" t="s">
        <v>1411</v>
      </c>
      <c r="H478" s="70" t="s">
        <v>1410</v>
      </c>
      <c r="I478" s="363">
        <v>4</v>
      </c>
      <c r="J478" s="64"/>
      <c r="K478" s="64"/>
      <c r="L478" s="64"/>
    </row>
    <row r="479" spans="1:12" x14ac:dyDescent="0.25">
      <c r="A479" s="71">
        <v>281120</v>
      </c>
      <c r="B479" s="71">
        <v>2007</v>
      </c>
      <c r="C479" s="71" t="s">
        <v>1695</v>
      </c>
      <c r="D479" s="71" t="s">
        <v>476</v>
      </c>
      <c r="E479" s="71" t="s">
        <v>475</v>
      </c>
      <c r="F479" s="66" t="s">
        <v>307</v>
      </c>
      <c r="G479" s="70" t="s">
        <v>1411</v>
      </c>
      <c r="H479" s="70" t="s">
        <v>1410</v>
      </c>
      <c r="I479" s="363">
        <v>4</v>
      </c>
      <c r="J479" s="64"/>
      <c r="K479" s="64"/>
      <c r="L479" s="64"/>
    </row>
    <row r="480" spans="1:12" x14ac:dyDescent="0.25">
      <c r="A480" s="71">
        <v>281200</v>
      </c>
      <c r="B480" s="71">
        <v>2007</v>
      </c>
      <c r="C480" s="71" t="s">
        <v>1694</v>
      </c>
      <c r="D480" s="71" t="s">
        <v>476</v>
      </c>
      <c r="E480" s="71" t="s">
        <v>475</v>
      </c>
      <c r="F480" s="66" t="s">
        <v>307</v>
      </c>
      <c r="G480" s="70" t="s">
        <v>1411</v>
      </c>
      <c r="H480" s="70" t="s">
        <v>1410</v>
      </c>
      <c r="I480" s="363">
        <v>4</v>
      </c>
      <c r="J480" s="64"/>
      <c r="K480" s="64"/>
      <c r="L480" s="64"/>
    </row>
    <row r="481" spans="1:12" x14ac:dyDescent="0.25">
      <c r="A481" s="71">
        <v>281300</v>
      </c>
      <c r="B481" s="71">
        <v>2007</v>
      </c>
      <c r="C481" s="71" t="s">
        <v>1693</v>
      </c>
      <c r="D481" s="71" t="s">
        <v>476</v>
      </c>
      <c r="E481" s="71" t="s">
        <v>475</v>
      </c>
      <c r="F481" s="66" t="s">
        <v>307</v>
      </c>
      <c r="G481" s="70" t="s">
        <v>1411</v>
      </c>
      <c r="H481" s="70" t="s">
        <v>1410</v>
      </c>
      <c r="I481" s="363">
        <v>4</v>
      </c>
      <c r="J481" s="64"/>
      <c r="K481" s="64"/>
      <c r="L481" s="64"/>
    </row>
    <row r="482" spans="1:12" x14ac:dyDescent="0.25">
      <c r="A482" s="71">
        <v>281400</v>
      </c>
      <c r="B482" s="71">
        <v>2007</v>
      </c>
      <c r="C482" s="71" t="s">
        <v>1692</v>
      </c>
      <c r="D482" s="71" t="s">
        <v>476</v>
      </c>
      <c r="E482" s="71" t="s">
        <v>475</v>
      </c>
      <c r="F482" s="66" t="s">
        <v>307</v>
      </c>
      <c r="G482" s="70" t="s">
        <v>1411</v>
      </c>
      <c r="H482" s="70" t="s">
        <v>1410</v>
      </c>
      <c r="I482" s="363">
        <v>4</v>
      </c>
      <c r="J482" s="64"/>
      <c r="K482" s="64"/>
      <c r="L482" s="64"/>
    </row>
    <row r="483" spans="1:12" x14ac:dyDescent="0.25">
      <c r="A483" s="71">
        <v>281500</v>
      </c>
      <c r="B483" s="71">
        <v>2007</v>
      </c>
      <c r="C483" s="71" t="s">
        <v>1691</v>
      </c>
      <c r="D483" s="71" t="s">
        <v>476</v>
      </c>
      <c r="E483" s="71" t="s">
        <v>475</v>
      </c>
      <c r="F483" s="66" t="s">
        <v>307</v>
      </c>
      <c r="G483" s="70" t="s">
        <v>1411</v>
      </c>
      <c r="H483" s="70" t="s">
        <v>1410</v>
      </c>
      <c r="I483" s="363">
        <v>4</v>
      </c>
      <c r="J483" s="64"/>
      <c r="K483" s="64"/>
      <c r="L483" s="64"/>
    </row>
    <row r="484" spans="1:12" x14ac:dyDescent="0.25">
      <c r="A484" s="71">
        <v>281510</v>
      </c>
      <c r="B484" s="71">
        <v>2007</v>
      </c>
      <c r="C484" s="71" t="s">
        <v>1690</v>
      </c>
      <c r="D484" s="71" t="s">
        <v>476</v>
      </c>
      <c r="E484" s="71" t="s">
        <v>475</v>
      </c>
      <c r="F484" s="66" t="s">
        <v>307</v>
      </c>
      <c r="G484" s="70" t="s">
        <v>1411</v>
      </c>
      <c r="H484" s="70" t="s">
        <v>1410</v>
      </c>
      <c r="I484" s="363">
        <v>4</v>
      </c>
      <c r="J484" s="64"/>
      <c r="K484" s="64"/>
      <c r="L484" s="64"/>
    </row>
    <row r="485" spans="1:12" x14ac:dyDescent="0.25">
      <c r="A485" s="71">
        <v>281520</v>
      </c>
      <c r="B485" s="71">
        <v>2007</v>
      </c>
      <c r="C485" s="71" t="s">
        <v>1689</v>
      </c>
      <c r="D485" s="71" t="s">
        <v>476</v>
      </c>
      <c r="E485" s="71" t="s">
        <v>475</v>
      </c>
      <c r="F485" s="66" t="s">
        <v>307</v>
      </c>
      <c r="G485" s="70" t="s">
        <v>1411</v>
      </c>
      <c r="H485" s="70" t="s">
        <v>1410</v>
      </c>
      <c r="I485" s="363">
        <v>4</v>
      </c>
      <c r="J485" s="64"/>
      <c r="K485" s="64"/>
      <c r="L485" s="64"/>
    </row>
    <row r="486" spans="1:12" x14ac:dyDescent="0.25">
      <c r="A486" s="71">
        <v>282000</v>
      </c>
      <c r="B486" s="71">
        <v>2007</v>
      </c>
      <c r="C486" s="71" t="s">
        <v>1688</v>
      </c>
      <c r="D486" s="71" t="s">
        <v>476</v>
      </c>
      <c r="E486" s="71" t="s">
        <v>475</v>
      </c>
      <c r="F486" s="66" t="s">
        <v>307</v>
      </c>
      <c r="G486" s="70" t="s">
        <v>1411</v>
      </c>
      <c r="H486" s="70" t="s">
        <v>1410</v>
      </c>
      <c r="I486" s="363">
        <v>4</v>
      </c>
      <c r="J486" s="64"/>
      <c r="K486" s="64"/>
      <c r="L486" s="64"/>
    </row>
    <row r="487" spans="1:12" x14ac:dyDescent="0.25">
      <c r="A487" s="71">
        <v>282100</v>
      </c>
      <c r="B487" s="71">
        <v>2007</v>
      </c>
      <c r="C487" s="71" t="s">
        <v>1687</v>
      </c>
      <c r="D487" s="71" t="s">
        <v>476</v>
      </c>
      <c r="E487" s="71" t="s">
        <v>475</v>
      </c>
      <c r="F487" s="66" t="s">
        <v>307</v>
      </c>
      <c r="G487" s="70" t="s">
        <v>1411</v>
      </c>
      <c r="H487" s="70" t="s">
        <v>1410</v>
      </c>
      <c r="I487" s="363">
        <v>4</v>
      </c>
      <c r="J487" s="64"/>
      <c r="K487" s="64"/>
      <c r="L487" s="64"/>
    </row>
    <row r="488" spans="1:12" x14ac:dyDescent="0.25">
      <c r="A488" s="71">
        <v>282110</v>
      </c>
      <c r="B488" s="71">
        <v>2007</v>
      </c>
      <c r="C488" s="71" t="s">
        <v>1686</v>
      </c>
      <c r="D488" s="71" t="s">
        <v>476</v>
      </c>
      <c r="E488" s="71" t="s">
        <v>475</v>
      </c>
      <c r="F488" s="66" t="s">
        <v>307</v>
      </c>
      <c r="G488" s="70" t="s">
        <v>1411</v>
      </c>
      <c r="H488" s="70" t="s">
        <v>1410</v>
      </c>
      <c r="I488" s="363">
        <v>4</v>
      </c>
      <c r="J488" s="64"/>
      <c r="K488" s="64"/>
      <c r="L488" s="64"/>
    </row>
    <row r="489" spans="1:12" x14ac:dyDescent="0.25">
      <c r="A489" s="71">
        <v>282120</v>
      </c>
      <c r="B489" s="71">
        <v>2007</v>
      </c>
      <c r="C489" s="71" t="s">
        <v>1685</v>
      </c>
      <c r="D489" s="71" t="s">
        <v>476</v>
      </c>
      <c r="E489" s="71" t="s">
        <v>475</v>
      </c>
      <c r="F489" s="66" t="s">
        <v>307</v>
      </c>
      <c r="G489" s="70" t="s">
        <v>1411</v>
      </c>
      <c r="H489" s="70" t="s">
        <v>1410</v>
      </c>
      <c r="I489" s="363">
        <v>4</v>
      </c>
      <c r="J489" s="64"/>
      <c r="K489" s="64"/>
      <c r="L489" s="64"/>
    </row>
    <row r="490" spans="1:12" x14ac:dyDescent="0.25">
      <c r="A490" s="71">
        <v>282121</v>
      </c>
      <c r="B490" s="71">
        <v>2007</v>
      </c>
      <c r="C490" s="71" t="s">
        <v>1684</v>
      </c>
      <c r="D490" s="71" t="s">
        <v>476</v>
      </c>
      <c r="E490" s="71" t="s">
        <v>475</v>
      </c>
      <c r="F490" s="66" t="s">
        <v>307</v>
      </c>
      <c r="G490" s="70" t="s">
        <v>1411</v>
      </c>
      <c r="H490" s="70" t="s">
        <v>1410</v>
      </c>
      <c r="I490" s="363">
        <v>4</v>
      </c>
      <c r="J490" s="64"/>
      <c r="K490" s="64"/>
      <c r="L490" s="64"/>
    </row>
    <row r="491" spans="1:12" x14ac:dyDescent="0.25">
      <c r="A491" s="71">
        <v>282129</v>
      </c>
      <c r="B491" s="71">
        <v>2007</v>
      </c>
      <c r="C491" s="71" t="s">
        <v>1683</v>
      </c>
      <c r="D491" s="71" t="s">
        <v>476</v>
      </c>
      <c r="E491" s="71" t="s">
        <v>475</v>
      </c>
      <c r="F491" s="66" t="s">
        <v>307</v>
      </c>
      <c r="G491" s="70" t="s">
        <v>1411</v>
      </c>
      <c r="H491" s="70" t="s">
        <v>1410</v>
      </c>
      <c r="I491" s="363">
        <v>4</v>
      </c>
      <c r="J491" s="64"/>
      <c r="K491" s="64"/>
      <c r="L491" s="64"/>
    </row>
    <row r="492" spans="1:12" x14ac:dyDescent="0.25">
      <c r="A492" s="71">
        <v>282200</v>
      </c>
      <c r="B492" s="71">
        <v>2007</v>
      </c>
      <c r="C492" s="71" t="s">
        <v>1682</v>
      </c>
      <c r="D492" s="71" t="s">
        <v>476</v>
      </c>
      <c r="E492" s="71" t="s">
        <v>475</v>
      </c>
      <c r="F492" s="66" t="s">
        <v>307</v>
      </c>
      <c r="G492" s="70" t="s">
        <v>1411</v>
      </c>
      <c r="H492" s="70" t="s">
        <v>1410</v>
      </c>
      <c r="I492" s="363">
        <v>4</v>
      </c>
      <c r="J492" s="64"/>
      <c r="K492" s="64"/>
      <c r="L492" s="64"/>
    </row>
    <row r="493" spans="1:12" x14ac:dyDescent="0.25">
      <c r="A493" s="71">
        <v>282201</v>
      </c>
      <c r="B493" s="71">
        <v>2007</v>
      </c>
      <c r="C493" s="71" t="s">
        <v>1681</v>
      </c>
      <c r="D493" s="71" t="s">
        <v>476</v>
      </c>
      <c r="E493" s="71" t="s">
        <v>475</v>
      </c>
      <c r="F493" s="66" t="s">
        <v>307</v>
      </c>
      <c r="G493" s="70" t="s">
        <v>1411</v>
      </c>
      <c r="H493" s="70" t="s">
        <v>1410</v>
      </c>
      <c r="I493" s="363">
        <v>4</v>
      </c>
      <c r="J493" s="64"/>
      <c r="K493" s="64"/>
      <c r="L493" s="64"/>
    </row>
    <row r="494" spans="1:12" x14ac:dyDescent="0.25">
      <c r="A494" s="71">
        <v>282202</v>
      </c>
      <c r="B494" s="71">
        <v>2007</v>
      </c>
      <c r="C494" s="71" t="s">
        <v>1680</v>
      </c>
      <c r="D494" s="71" t="s">
        <v>476</v>
      </c>
      <c r="E494" s="71" t="s">
        <v>475</v>
      </c>
      <c r="F494" s="66" t="s">
        <v>307</v>
      </c>
      <c r="G494" s="70" t="s">
        <v>1411</v>
      </c>
      <c r="H494" s="70" t="s">
        <v>1410</v>
      </c>
      <c r="I494" s="363">
        <v>4</v>
      </c>
      <c r="J494" s="64"/>
      <c r="K494" s="64"/>
      <c r="L494" s="64"/>
    </row>
    <row r="495" spans="1:12" x14ac:dyDescent="0.25">
      <c r="A495" s="71">
        <v>282203</v>
      </c>
      <c r="B495" s="71">
        <v>2007</v>
      </c>
      <c r="C495" s="71" t="s">
        <v>1679</v>
      </c>
      <c r="D495" s="71" t="s">
        <v>476</v>
      </c>
      <c r="E495" s="71" t="s">
        <v>475</v>
      </c>
      <c r="F495" s="66" t="s">
        <v>307</v>
      </c>
      <c r="G495" s="70" t="s">
        <v>1411</v>
      </c>
      <c r="H495" s="70" t="s">
        <v>1410</v>
      </c>
      <c r="I495" s="363">
        <v>4</v>
      </c>
      <c r="J495" s="64"/>
      <c r="K495" s="64"/>
      <c r="L495" s="64"/>
    </row>
    <row r="496" spans="1:12" x14ac:dyDescent="0.25">
      <c r="A496" s="71">
        <v>282209</v>
      </c>
      <c r="B496" s="71">
        <v>2007</v>
      </c>
      <c r="C496" s="71" t="s">
        <v>1678</v>
      </c>
      <c r="D496" s="71" t="s">
        <v>476</v>
      </c>
      <c r="E496" s="71" t="s">
        <v>475</v>
      </c>
      <c r="F496" s="66" t="s">
        <v>307</v>
      </c>
      <c r="G496" s="70" t="s">
        <v>1411</v>
      </c>
      <c r="H496" s="70" t="s">
        <v>1410</v>
      </c>
      <c r="I496" s="363">
        <v>4</v>
      </c>
      <c r="J496" s="64"/>
      <c r="K496" s="64"/>
      <c r="L496" s="64"/>
    </row>
    <row r="497" spans="1:12" x14ac:dyDescent="0.25">
      <c r="A497" s="71">
        <v>282300</v>
      </c>
      <c r="B497" s="71">
        <v>2007</v>
      </c>
      <c r="C497" s="71" t="s">
        <v>1677</v>
      </c>
      <c r="D497" s="71" t="s">
        <v>476</v>
      </c>
      <c r="E497" s="71" t="s">
        <v>475</v>
      </c>
      <c r="F497" s="66" t="s">
        <v>307</v>
      </c>
      <c r="G497" s="70" t="s">
        <v>1411</v>
      </c>
      <c r="H497" s="70" t="s">
        <v>1410</v>
      </c>
      <c r="I497" s="363">
        <v>4</v>
      </c>
      <c r="J497" s="64"/>
      <c r="K497" s="64"/>
      <c r="L497" s="64"/>
    </row>
    <row r="498" spans="1:12" x14ac:dyDescent="0.25">
      <c r="A498" s="71">
        <v>282301</v>
      </c>
      <c r="B498" s="71">
        <v>2007</v>
      </c>
      <c r="C498" s="71" t="s">
        <v>1676</v>
      </c>
      <c r="D498" s="71" t="s">
        <v>476</v>
      </c>
      <c r="E498" s="71" t="s">
        <v>475</v>
      </c>
      <c r="F498" s="66" t="s">
        <v>307</v>
      </c>
      <c r="G498" s="70" t="s">
        <v>1411</v>
      </c>
      <c r="H498" s="70" t="s">
        <v>1410</v>
      </c>
      <c r="I498" s="363">
        <v>4</v>
      </c>
      <c r="J498" s="64"/>
      <c r="K498" s="64"/>
      <c r="L498" s="64"/>
    </row>
    <row r="499" spans="1:12" x14ac:dyDescent="0.25">
      <c r="A499" s="71">
        <v>282309</v>
      </c>
      <c r="B499" s="71">
        <v>2007</v>
      </c>
      <c r="C499" s="71" t="s">
        <v>1675</v>
      </c>
      <c r="D499" s="71" t="s">
        <v>476</v>
      </c>
      <c r="E499" s="71" t="s">
        <v>475</v>
      </c>
      <c r="F499" s="66" t="s">
        <v>307</v>
      </c>
      <c r="G499" s="70" t="s">
        <v>1411</v>
      </c>
      <c r="H499" s="70" t="s">
        <v>1410</v>
      </c>
      <c r="I499" s="363">
        <v>4</v>
      </c>
      <c r="J499" s="64"/>
      <c r="K499" s="64"/>
      <c r="L499" s="64"/>
    </row>
    <row r="500" spans="1:12" x14ac:dyDescent="0.25">
      <c r="A500" s="71">
        <v>282400</v>
      </c>
      <c r="B500" s="71">
        <v>2007</v>
      </c>
      <c r="C500" s="71" t="s">
        <v>1674</v>
      </c>
      <c r="D500" s="71" t="s">
        <v>476</v>
      </c>
      <c r="E500" s="71" t="s">
        <v>475</v>
      </c>
      <c r="F500" s="66" t="s">
        <v>307</v>
      </c>
      <c r="G500" s="70" t="s">
        <v>1411</v>
      </c>
      <c r="H500" s="70" t="s">
        <v>1410</v>
      </c>
      <c r="I500" s="363">
        <v>4</v>
      </c>
      <c r="J500" s="64"/>
      <c r="K500" s="64"/>
      <c r="L500" s="64"/>
    </row>
    <row r="501" spans="1:12" x14ac:dyDescent="0.25">
      <c r="A501" s="71">
        <v>282500</v>
      </c>
      <c r="B501" s="71">
        <v>2007</v>
      </c>
      <c r="C501" s="71" t="s">
        <v>1673</v>
      </c>
      <c r="D501" s="71" t="s">
        <v>476</v>
      </c>
      <c r="E501" s="71" t="s">
        <v>475</v>
      </c>
      <c r="F501" s="66" t="s">
        <v>307</v>
      </c>
      <c r="G501" s="70" t="s">
        <v>1411</v>
      </c>
      <c r="H501" s="70" t="s">
        <v>1410</v>
      </c>
      <c r="I501" s="363">
        <v>4</v>
      </c>
      <c r="J501" s="64"/>
      <c r="K501" s="64"/>
      <c r="L501" s="64"/>
    </row>
    <row r="502" spans="1:12" x14ac:dyDescent="0.25">
      <c r="A502" s="71">
        <v>282900</v>
      </c>
      <c r="B502" s="71">
        <v>2007</v>
      </c>
      <c r="C502" s="71" t="s">
        <v>1672</v>
      </c>
      <c r="D502" s="71" t="s">
        <v>476</v>
      </c>
      <c r="E502" s="71" t="s">
        <v>475</v>
      </c>
      <c r="F502" s="66" t="s">
        <v>307</v>
      </c>
      <c r="G502" s="70" t="s">
        <v>1411</v>
      </c>
      <c r="H502" s="70" t="s">
        <v>1410</v>
      </c>
      <c r="I502" s="363">
        <v>4</v>
      </c>
      <c r="J502" s="64"/>
      <c r="K502" s="64"/>
      <c r="L502" s="64"/>
    </row>
    <row r="503" spans="1:12" x14ac:dyDescent="0.25">
      <c r="A503" s="71">
        <v>282910</v>
      </c>
      <c r="B503" s="71">
        <v>2007</v>
      </c>
      <c r="C503" s="71" t="s">
        <v>1671</v>
      </c>
      <c r="D503" s="71" t="s">
        <v>476</v>
      </c>
      <c r="E503" s="71" t="s">
        <v>475</v>
      </c>
      <c r="F503" s="66" t="s">
        <v>307</v>
      </c>
      <c r="G503" s="70" t="s">
        <v>1411</v>
      </c>
      <c r="H503" s="70" t="s">
        <v>1410</v>
      </c>
      <c r="I503" s="363">
        <v>4</v>
      </c>
      <c r="J503" s="64"/>
      <c r="K503" s="64"/>
      <c r="L503" s="64"/>
    </row>
    <row r="504" spans="1:12" x14ac:dyDescent="0.25">
      <c r="A504" s="71">
        <v>282920</v>
      </c>
      <c r="B504" s="71">
        <v>2007</v>
      </c>
      <c r="C504" s="71" t="s">
        <v>1670</v>
      </c>
      <c r="D504" s="71" t="s">
        <v>476</v>
      </c>
      <c r="E504" s="71" t="s">
        <v>475</v>
      </c>
      <c r="F504" s="66" t="s">
        <v>307</v>
      </c>
      <c r="G504" s="70" t="s">
        <v>1411</v>
      </c>
      <c r="H504" s="70" t="s">
        <v>1410</v>
      </c>
      <c r="I504" s="363">
        <v>4</v>
      </c>
      <c r="J504" s="64"/>
      <c r="K504" s="64"/>
      <c r="L504" s="64"/>
    </row>
    <row r="505" spans="1:12" x14ac:dyDescent="0.25">
      <c r="A505" s="71">
        <v>282930</v>
      </c>
      <c r="B505" s="71">
        <v>2007</v>
      </c>
      <c r="C505" s="71" t="s">
        <v>1669</v>
      </c>
      <c r="D505" s="71" t="s">
        <v>476</v>
      </c>
      <c r="E505" s="71" t="s">
        <v>475</v>
      </c>
      <c r="F505" s="66" t="s">
        <v>307</v>
      </c>
      <c r="G505" s="70" t="s">
        <v>1411</v>
      </c>
      <c r="H505" s="70" t="s">
        <v>1410</v>
      </c>
      <c r="I505" s="363">
        <v>4</v>
      </c>
      <c r="J505" s="64"/>
      <c r="K505" s="64"/>
      <c r="L505" s="64"/>
    </row>
    <row r="506" spans="1:12" x14ac:dyDescent="0.25">
      <c r="A506" s="71">
        <v>282990</v>
      </c>
      <c r="B506" s="71">
        <v>2007</v>
      </c>
      <c r="C506" s="71" t="s">
        <v>1668</v>
      </c>
      <c r="D506" s="71" t="s">
        <v>476</v>
      </c>
      <c r="E506" s="71" t="s">
        <v>475</v>
      </c>
      <c r="F506" s="66" t="s">
        <v>307</v>
      </c>
      <c r="G506" s="70" t="s">
        <v>1411</v>
      </c>
      <c r="H506" s="70" t="s">
        <v>1410</v>
      </c>
      <c r="I506" s="363">
        <v>4</v>
      </c>
      <c r="J506" s="64"/>
      <c r="K506" s="64"/>
      <c r="L506" s="64"/>
    </row>
    <row r="507" spans="1:12" x14ac:dyDescent="0.25">
      <c r="A507" s="71">
        <v>282991</v>
      </c>
      <c r="B507" s="71">
        <v>2007</v>
      </c>
      <c r="C507" s="71" t="s">
        <v>1667</v>
      </c>
      <c r="D507" s="71" t="s">
        <v>476</v>
      </c>
      <c r="E507" s="71" t="s">
        <v>475</v>
      </c>
      <c r="F507" s="66" t="s">
        <v>307</v>
      </c>
      <c r="G507" s="70" t="s">
        <v>1411</v>
      </c>
      <c r="H507" s="70" t="s">
        <v>1410</v>
      </c>
      <c r="I507" s="363">
        <v>4</v>
      </c>
      <c r="J507" s="64"/>
      <c r="K507" s="64"/>
      <c r="L507" s="64"/>
    </row>
    <row r="508" spans="1:12" x14ac:dyDescent="0.25">
      <c r="A508" s="71">
        <v>282992</v>
      </c>
      <c r="B508" s="71">
        <v>2007</v>
      </c>
      <c r="C508" s="71" t="s">
        <v>1666</v>
      </c>
      <c r="D508" s="71" t="s">
        <v>476</v>
      </c>
      <c r="E508" s="71" t="s">
        <v>475</v>
      </c>
      <c r="F508" s="66" t="s">
        <v>307</v>
      </c>
      <c r="G508" s="70" t="s">
        <v>1411</v>
      </c>
      <c r="H508" s="70" t="s">
        <v>1410</v>
      </c>
      <c r="I508" s="363">
        <v>4</v>
      </c>
      <c r="J508" s="64"/>
      <c r="K508" s="64"/>
      <c r="L508" s="64"/>
    </row>
    <row r="509" spans="1:12" x14ac:dyDescent="0.25">
      <c r="A509" s="71">
        <v>282993</v>
      </c>
      <c r="B509" s="71">
        <v>2007</v>
      </c>
      <c r="C509" s="71" t="s">
        <v>1665</v>
      </c>
      <c r="D509" s="71" t="s">
        <v>476</v>
      </c>
      <c r="E509" s="71" t="s">
        <v>475</v>
      </c>
      <c r="F509" s="66" t="s">
        <v>307</v>
      </c>
      <c r="G509" s="70" t="s">
        <v>1411</v>
      </c>
      <c r="H509" s="70" t="s">
        <v>1410</v>
      </c>
      <c r="I509" s="363">
        <v>4</v>
      </c>
      <c r="J509" s="64"/>
      <c r="K509" s="64"/>
      <c r="L509" s="64"/>
    </row>
    <row r="510" spans="1:12" x14ac:dyDescent="0.25">
      <c r="A510" s="71">
        <v>282999</v>
      </c>
      <c r="B510" s="71">
        <v>2007</v>
      </c>
      <c r="C510" s="71" t="s">
        <v>1664</v>
      </c>
      <c r="D510" s="71" t="s">
        <v>476</v>
      </c>
      <c r="E510" s="71" t="s">
        <v>475</v>
      </c>
      <c r="F510" s="66" t="s">
        <v>307</v>
      </c>
      <c r="G510" s="70" t="s">
        <v>1411</v>
      </c>
      <c r="H510" s="70" t="s">
        <v>1410</v>
      </c>
      <c r="I510" s="363">
        <v>4</v>
      </c>
      <c r="J510" s="64"/>
      <c r="K510" s="64"/>
      <c r="L510" s="64"/>
    </row>
    <row r="511" spans="1:12" x14ac:dyDescent="0.25">
      <c r="A511" s="71">
        <v>283000</v>
      </c>
      <c r="B511" s="71">
        <v>2007</v>
      </c>
      <c r="C511" s="71" t="s">
        <v>1663</v>
      </c>
      <c r="D511" s="71" t="s">
        <v>476</v>
      </c>
      <c r="E511" s="71" t="s">
        <v>475</v>
      </c>
      <c r="F511" s="66" t="s">
        <v>307</v>
      </c>
      <c r="G511" s="70" t="s">
        <v>1411</v>
      </c>
      <c r="H511" s="70" t="s">
        <v>1410</v>
      </c>
      <c r="I511" s="363">
        <v>4</v>
      </c>
      <c r="J511" s="64"/>
      <c r="K511" s="64"/>
      <c r="L511" s="64"/>
    </row>
    <row r="512" spans="1:12" x14ac:dyDescent="0.25">
      <c r="A512" s="71">
        <v>283010</v>
      </c>
      <c r="B512" s="71">
        <v>2007</v>
      </c>
      <c r="C512" s="71" t="s">
        <v>1662</v>
      </c>
      <c r="D512" s="71" t="s">
        <v>476</v>
      </c>
      <c r="E512" s="71" t="s">
        <v>475</v>
      </c>
      <c r="F512" s="66" t="s">
        <v>307</v>
      </c>
      <c r="G512" s="70" t="s">
        <v>1411</v>
      </c>
      <c r="H512" s="70" t="s">
        <v>1410</v>
      </c>
      <c r="I512" s="363">
        <v>4</v>
      </c>
      <c r="J512" s="64"/>
      <c r="K512" s="64"/>
      <c r="L512" s="64"/>
    </row>
    <row r="513" spans="1:12" x14ac:dyDescent="0.25">
      <c r="A513" s="71">
        <v>283090</v>
      </c>
      <c r="B513" s="71">
        <v>2007</v>
      </c>
      <c r="C513" s="71" t="s">
        <v>1661</v>
      </c>
      <c r="D513" s="71" t="s">
        <v>476</v>
      </c>
      <c r="E513" s="71" t="s">
        <v>475</v>
      </c>
      <c r="F513" s="66" t="s">
        <v>307</v>
      </c>
      <c r="G513" s="70" t="s">
        <v>1411</v>
      </c>
      <c r="H513" s="70" t="s">
        <v>1410</v>
      </c>
      <c r="I513" s="363">
        <v>4</v>
      </c>
      <c r="J513" s="64"/>
      <c r="K513" s="64"/>
      <c r="L513" s="64"/>
    </row>
    <row r="514" spans="1:12" x14ac:dyDescent="0.25">
      <c r="A514" s="71">
        <v>284000</v>
      </c>
      <c r="B514" s="71">
        <v>2007</v>
      </c>
      <c r="C514" s="71" t="s">
        <v>1660</v>
      </c>
      <c r="D514" s="71" t="s">
        <v>476</v>
      </c>
      <c r="E514" s="71" t="s">
        <v>475</v>
      </c>
      <c r="F514" s="66" t="s">
        <v>307</v>
      </c>
      <c r="G514" s="70" t="s">
        <v>1411</v>
      </c>
      <c r="H514" s="70" t="s">
        <v>1410</v>
      </c>
      <c r="I514" s="363">
        <v>4</v>
      </c>
      <c r="J514" s="64"/>
      <c r="K514" s="64"/>
      <c r="L514" s="64"/>
    </row>
    <row r="515" spans="1:12" x14ac:dyDescent="0.25">
      <c r="A515" s="71">
        <v>284100</v>
      </c>
      <c r="B515" s="71">
        <v>2007</v>
      </c>
      <c r="C515" s="71" t="s">
        <v>1659</v>
      </c>
      <c r="D515" s="71" t="s">
        <v>476</v>
      </c>
      <c r="E515" s="71" t="s">
        <v>475</v>
      </c>
      <c r="F515" s="66" t="s">
        <v>307</v>
      </c>
      <c r="G515" s="70" t="s">
        <v>1411</v>
      </c>
      <c r="H515" s="70" t="s">
        <v>1410</v>
      </c>
      <c r="I515" s="363">
        <v>4</v>
      </c>
      <c r="J515" s="64"/>
      <c r="K515" s="64"/>
      <c r="L515" s="64"/>
    </row>
    <row r="516" spans="1:12" x14ac:dyDescent="0.25">
      <c r="A516" s="71">
        <v>284900</v>
      </c>
      <c r="B516" s="71">
        <v>2007</v>
      </c>
      <c r="C516" s="71" t="s">
        <v>1658</v>
      </c>
      <c r="D516" s="71" t="s">
        <v>476</v>
      </c>
      <c r="E516" s="71" t="s">
        <v>475</v>
      </c>
      <c r="F516" s="66" t="s">
        <v>307</v>
      </c>
      <c r="G516" s="70" t="s">
        <v>1411</v>
      </c>
      <c r="H516" s="70" t="s">
        <v>1410</v>
      </c>
      <c r="I516" s="363">
        <v>4</v>
      </c>
      <c r="J516" s="64"/>
      <c r="K516" s="64"/>
      <c r="L516" s="64"/>
    </row>
    <row r="517" spans="1:12" x14ac:dyDescent="0.25">
      <c r="A517" s="71">
        <v>284901</v>
      </c>
      <c r="B517" s="71">
        <v>2007</v>
      </c>
      <c r="C517" s="71" t="s">
        <v>1657</v>
      </c>
      <c r="D517" s="71" t="s">
        <v>476</v>
      </c>
      <c r="E517" s="71" t="s">
        <v>475</v>
      </c>
      <c r="F517" s="66" t="s">
        <v>307</v>
      </c>
      <c r="G517" s="70" t="s">
        <v>1411</v>
      </c>
      <c r="H517" s="70" t="s">
        <v>1410</v>
      </c>
      <c r="I517" s="363">
        <v>4</v>
      </c>
      <c r="J517" s="64"/>
      <c r="K517" s="64"/>
      <c r="L517" s="64"/>
    </row>
    <row r="518" spans="1:12" x14ac:dyDescent="0.25">
      <c r="A518" s="71">
        <v>284909</v>
      </c>
      <c r="B518" s="71">
        <v>2007</v>
      </c>
      <c r="C518" s="71" t="s">
        <v>1656</v>
      </c>
      <c r="D518" s="71" t="s">
        <v>476</v>
      </c>
      <c r="E518" s="71" t="s">
        <v>475</v>
      </c>
      <c r="F518" s="66" t="s">
        <v>307</v>
      </c>
      <c r="G518" s="70" t="s">
        <v>1411</v>
      </c>
      <c r="H518" s="70" t="s">
        <v>1410</v>
      </c>
      <c r="I518" s="363">
        <v>4</v>
      </c>
      <c r="J518" s="64"/>
      <c r="K518" s="64"/>
      <c r="L518" s="64"/>
    </row>
    <row r="519" spans="1:12" x14ac:dyDescent="0.25">
      <c r="A519" s="71">
        <v>289000</v>
      </c>
      <c r="B519" s="71">
        <v>2007</v>
      </c>
      <c r="C519" s="71" t="s">
        <v>1655</v>
      </c>
      <c r="D519" s="71" t="s">
        <v>476</v>
      </c>
      <c r="E519" s="71" t="s">
        <v>475</v>
      </c>
      <c r="F519" s="66" t="s">
        <v>307</v>
      </c>
      <c r="G519" s="70" t="s">
        <v>1411</v>
      </c>
      <c r="H519" s="70" t="s">
        <v>1410</v>
      </c>
      <c r="I519" s="363">
        <v>4</v>
      </c>
      <c r="J519" s="64"/>
      <c r="K519" s="64"/>
      <c r="L519" s="64"/>
    </row>
    <row r="520" spans="1:12" x14ac:dyDescent="0.25">
      <c r="A520" s="71">
        <v>289100</v>
      </c>
      <c r="B520" s="71">
        <v>2007</v>
      </c>
      <c r="C520" s="71" t="s">
        <v>1654</v>
      </c>
      <c r="D520" s="71" t="s">
        <v>476</v>
      </c>
      <c r="E520" s="71" t="s">
        <v>475</v>
      </c>
      <c r="F520" s="66" t="s">
        <v>307</v>
      </c>
      <c r="G520" s="70" t="s">
        <v>1411</v>
      </c>
      <c r="H520" s="70" t="s">
        <v>1410</v>
      </c>
      <c r="I520" s="363">
        <v>4</v>
      </c>
      <c r="J520" s="64"/>
      <c r="K520" s="64"/>
      <c r="L520" s="64"/>
    </row>
    <row r="521" spans="1:12" x14ac:dyDescent="0.25">
      <c r="A521" s="71">
        <v>289200</v>
      </c>
      <c r="B521" s="71">
        <v>2007</v>
      </c>
      <c r="C521" s="71" t="s">
        <v>1653</v>
      </c>
      <c r="D521" s="71" t="s">
        <v>476</v>
      </c>
      <c r="E521" s="71" t="s">
        <v>475</v>
      </c>
      <c r="F521" s="66" t="s">
        <v>307</v>
      </c>
      <c r="G521" s="70" t="s">
        <v>1411</v>
      </c>
      <c r="H521" s="70" t="s">
        <v>1410</v>
      </c>
      <c r="I521" s="363">
        <v>4</v>
      </c>
      <c r="J521" s="64"/>
      <c r="K521" s="64"/>
      <c r="L521" s="64"/>
    </row>
    <row r="522" spans="1:12" x14ac:dyDescent="0.25">
      <c r="A522" s="71">
        <v>289201</v>
      </c>
      <c r="B522" s="71">
        <v>2007</v>
      </c>
      <c r="C522" s="71" t="s">
        <v>1652</v>
      </c>
      <c r="D522" s="71" t="s">
        <v>476</v>
      </c>
      <c r="E522" s="71" t="s">
        <v>475</v>
      </c>
      <c r="F522" s="66" t="s">
        <v>307</v>
      </c>
      <c r="G522" s="70" t="s">
        <v>1411</v>
      </c>
      <c r="H522" s="70" t="s">
        <v>1410</v>
      </c>
      <c r="I522" s="363">
        <v>4</v>
      </c>
      <c r="J522" s="64"/>
      <c r="K522" s="64"/>
      <c r="L522" s="64"/>
    </row>
    <row r="523" spans="1:12" x14ac:dyDescent="0.25">
      <c r="A523" s="71">
        <v>289209</v>
      </c>
      <c r="B523" s="71">
        <v>2007</v>
      </c>
      <c r="C523" s="71" t="s">
        <v>1651</v>
      </c>
      <c r="D523" s="71" t="s">
        <v>476</v>
      </c>
      <c r="E523" s="71" t="s">
        <v>475</v>
      </c>
      <c r="F523" s="66" t="s">
        <v>307</v>
      </c>
      <c r="G523" s="70" t="s">
        <v>1411</v>
      </c>
      <c r="H523" s="70" t="s">
        <v>1410</v>
      </c>
      <c r="I523" s="363">
        <v>4</v>
      </c>
      <c r="J523" s="64"/>
      <c r="K523" s="64"/>
      <c r="L523" s="64"/>
    </row>
    <row r="524" spans="1:12" x14ac:dyDescent="0.25">
      <c r="A524" s="71">
        <v>289300</v>
      </c>
      <c r="B524" s="71">
        <v>2007</v>
      </c>
      <c r="C524" s="71" t="s">
        <v>1650</v>
      </c>
      <c r="D524" s="71" t="s">
        <v>476</v>
      </c>
      <c r="E524" s="71" t="s">
        <v>475</v>
      </c>
      <c r="F524" s="66" t="s">
        <v>307</v>
      </c>
      <c r="G524" s="70" t="s">
        <v>1411</v>
      </c>
      <c r="H524" s="70" t="s">
        <v>1410</v>
      </c>
      <c r="I524" s="363">
        <v>4</v>
      </c>
      <c r="J524" s="64"/>
      <c r="K524" s="64"/>
      <c r="L524" s="64"/>
    </row>
    <row r="525" spans="1:12" x14ac:dyDescent="0.25">
      <c r="A525" s="71">
        <v>289400</v>
      </c>
      <c r="B525" s="71">
        <v>2007</v>
      </c>
      <c r="C525" s="71" t="s">
        <v>1649</v>
      </c>
      <c r="D525" s="71" t="s">
        <v>476</v>
      </c>
      <c r="E525" s="71" t="s">
        <v>475</v>
      </c>
      <c r="F525" s="66" t="s">
        <v>307</v>
      </c>
      <c r="G525" s="70" t="s">
        <v>1411</v>
      </c>
      <c r="H525" s="70" t="s">
        <v>1410</v>
      </c>
      <c r="I525" s="363">
        <v>4</v>
      </c>
      <c r="J525" s="64"/>
      <c r="K525" s="64"/>
      <c r="L525" s="64"/>
    </row>
    <row r="526" spans="1:12" x14ac:dyDescent="0.25">
      <c r="A526" s="71">
        <v>289410</v>
      </c>
      <c r="B526" s="71">
        <v>2007</v>
      </c>
      <c r="C526" s="71" t="s">
        <v>1648</v>
      </c>
      <c r="D526" s="71" t="s">
        <v>476</v>
      </c>
      <c r="E526" s="71" t="s">
        <v>475</v>
      </c>
      <c r="F526" s="66" t="s">
        <v>307</v>
      </c>
      <c r="G526" s="70" t="s">
        <v>1411</v>
      </c>
      <c r="H526" s="70" t="s">
        <v>1410</v>
      </c>
      <c r="I526" s="363">
        <v>4</v>
      </c>
      <c r="J526" s="64"/>
      <c r="K526" s="64"/>
      <c r="L526" s="64"/>
    </row>
    <row r="527" spans="1:12" x14ac:dyDescent="0.25">
      <c r="A527" s="71">
        <v>289420</v>
      </c>
      <c r="B527" s="71">
        <v>2007</v>
      </c>
      <c r="C527" s="71" t="s">
        <v>1647</v>
      </c>
      <c r="D527" s="71" t="s">
        <v>476</v>
      </c>
      <c r="E527" s="71" t="s">
        <v>475</v>
      </c>
      <c r="F527" s="66" t="s">
        <v>307</v>
      </c>
      <c r="G527" s="70" t="s">
        <v>1411</v>
      </c>
      <c r="H527" s="70" t="s">
        <v>1410</v>
      </c>
      <c r="I527" s="363">
        <v>4</v>
      </c>
      <c r="J527" s="64"/>
      <c r="K527" s="64"/>
      <c r="L527" s="64"/>
    </row>
    <row r="528" spans="1:12" x14ac:dyDescent="0.25">
      <c r="A528" s="71">
        <v>289430</v>
      </c>
      <c r="B528" s="71">
        <v>2007</v>
      </c>
      <c r="C528" s="71" t="s">
        <v>1646</v>
      </c>
      <c r="D528" s="71" t="s">
        <v>476</v>
      </c>
      <c r="E528" s="71" t="s">
        <v>475</v>
      </c>
      <c r="F528" s="66" t="s">
        <v>307</v>
      </c>
      <c r="G528" s="70" t="s">
        <v>1411</v>
      </c>
      <c r="H528" s="70" t="s">
        <v>1410</v>
      </c>
      <c r="I528" s="363">
        <v>4</v>
      </c>
      <c r="J528" s="64"/>
      <c r="K528" s="64"/>
      <c r="L528" s="64"/>
    </row>
    <row r="529" spans="1:12" x14ac:dyDescent="0.25">
      <c r="A529" s="71">
        <v>289500</v>
      </c>
      <c r="B529" s="71">
        <v>2007</v>
      </c>
      <c r="C529" s="71" t="s">
        <v>1645</v>
      </c>
      <c r="D529" s="71" t="s">
        <v>476</v>
      </c>
      <c r="E529" s="71" t="s">
        <v>475</v>
      </c>
      <c r="F529" s="66" t="s">
        <v>307</v>
      </c>
      <c r="G529" s="70" t="s">
        <v>1411</v>
      </c>
      <c r="H529" s="70" t="s">
        <v>1410</v>
      </c>
      <c r="I529" s="363">
        <v>4</v>
      </c>
      <c r="J529" s="64"/>
      <c r="K529" s="64"/>
      <c r="L529" s="64"/>
    </row>
    <row r="530" spans="1:12" x14ac:dyDescent="0.25">
      <c r="A530" s="71">
        <v>289600</v>
      </c>
      <c r="B530" s="71">
        <v>2007</v>
      </c>
      <c r="C530" s="71" t="s">
        <v>1644</v>
      </c>
      <c r="D530" s="71" t="s">
        <v>476</v>
      </c>
      <c r="E530" s="71" t="s">
        <v>475</v>
      </c>
      <c r="F530" s="66" t="s">
        <v>307</v>
      </c>
      <c r="G530" s="70" t="s">
        <v>1411</v>
      </c>
      <c r="H530" s="70" t="s">
        <v>1410</v>
      </c>
      <c r="I530" s="363">
        <v>4</v>
      </c>
      <c r="J530" s="64"/>
      <c r="K530" s="64"/>
      <c r="L530" s="64"/>
    </row>
    <row r="531" spans="1:12" x14ac:dyDescent="0.25">
      <c r="A531" s="71">
        <v>289900</v>
      </c>
      <c r="B531" s="71">
        <v>2007</v>
      </c>
      <c r="C531" s="71" t="s">
        <v>1637</v>
      </c>
      <c r="D531" s="71" t="s">
        <v>476</v>
      </c>
      <c r="E531" s="71" t="s">
        <v>475</v>
      </c>
      <c r="F531" s="66" t="s">
        <v>307</v>
      </c>
      <c r="G531" s="70" t="s">
        <v>1411</v>
      </c>
      <c r="H531" s="70" t="s">
        <v>1410</v>
      </c>
      <c r="I531" s="363">
        <v>4</v>
      </c>
      <c r="J531" s="64"/>
      <c r="K531" s="64"/>
      <c r="L531" s="64"/>
    </row>
    <row r="532" spans="1:12" x14ac:dyDescent="0.25">
      <c r="A532" s="71">
        <v>289910</v>
      </c>
      <c r="B532" s="71">
        <v>2007</v>
      </c>
      <c r="C532" s="71" t="s">
        <v>1643</v>
      </c>
      <c r="D532" s="71" t="s">
        <v>476</v>
      </c>
      <c r="E532" s="71" t="s">
        <v>475</v>
      </c>
      <c r="F532" s="66" t="s">
        <v>307</v>
      </c>
      <c r="G532" s="70" t="s">
        <v>1411</v>
      </c>
      <c r="H532" s="70" t="s">
        <v>1410</v>
      </c>
      <c r="I532" s="363">
        <v>4</v>
      </c>
      <c r="J532" s="64"/>
      <c r="K532" s="64"/>
      <c r="L532" s="64"/>
    </row>
    <row r="533" spans="1:12" x14ac:dyDescent="0.25">
      <c r="A533" s="71">
        <v>289920</v>
      </c>
      <c r="B533" s="71">
        <v>2007</v>
      </c>
      <c r="C533" s="71" t="s">
        <v>1642</v>
      </c>
      <c r="D533" s="71" t="s">
        <v>476</v>
      </c>
      <c r="E533" s="71" t="s">
        <v>475</v>
      </c>
      <c r="F533" s="66" t="s">
        <v>307</v>
      </c>
      <c r="G533" s="70" t="s">
        <v>1411</v>
      </c>
      <c r="H533" s="70" t="s">
        <v>1410</v>
      </c>
      <c r="I533" s="363">
        <v>4</v>
      </c>
      <c r="J533" s="64"/>
      <c r="K533" s="64"/>
      <c r="L533" s="64"/>
    </row>
    <row r="534" spans="1:12" x14ac:dyDescent="0.25">
      <c r="A534" s="71">
        <v>289930</v>
      </c>
      <c r="B534" s="71">
        <v>2007</v>
      </c>
      <c r="C534" s="71" t="s">
        <v>1641</v>
      </c>
      <c r="D534" s="71" t="s">
        <v>476</v>
      </c>
      <c r="E534" s="71" t="s">
        <v>475</v>
      </c>
      <c r="F534" s="66" t="s">
        <v>307</v>
      </c>
      <c r="G534" s="70" t="s">
        <v>1411</v>
      </c>
      <c r="H534" s="70" t="s">
        <v>1410</v>
      </c>
      <c r="I534" s="363">
        <v>4</v>
      </c>
      <c r="J534" s="64"/>
      <c r="K534" s="64"/>
      <c r="L534" s="64"/>
    </row>
    <row r="535" spans="1:12" x14ac:dyDescent="0.25">
      <c r="A535" s="71">
        <v>289990</v>
      </c>
      <c r="B535" s="71">
        <v>2007</v>
      </c>
      <c r="C535" s="71" t="s">
        <v>1637</v>
      </c>
      <c r="D535" s="71" t="s">
        <v>476</v>
      </c>
      <c r="E535" s="71" t="s">
        <v>475</v>
      </c>
      <c r="F535" s="66" t="s">
        <v>307</v>
      </c>
      <c r="G535" s="70" t="s">
        <v>1411</v>
      </c>
      <c r="H535" s="70" t="s">
        <v>1410</v>
      </c>
      <c r="I535" s="363">
        <v>4</v>
      </c>
      <c r="J535" s="64"/>
      <c r="K535" s="64"/>
      <c r="L535" s="64"/>
    </row>
    <row r="536" spans="1:12" x14ac:dyDescent="0.25">
      <c r="A536" s="71">
        <v>289991</v>
      </c>
      <c r="B536" s="71">
        <v>2007</v>
      </c>
      <c r="C536" s="71" t="s">
        <v>1640</v>
      </c>
      <c r="D536" s="71" t="s">
        <v>476</v>
      </c>
      <c r="E536" s="71" t="s">
        <v>475</v>
      </c>
      <c r="F536" s="66" t="s">
        <v>307</v>
      </c>
      <c r="G536" s="70" t="s">
        <v>1411</v>
      </c>
      <c r="H536" s="70" t="s">
        <v>1410</v>
      </c>
      <c r="I536" s="363">
        <v>4</v>
      </c>
      <c r="J536" s="64"/>
      <c r="K536" s="64"/>
      <c r="L536" s="64"/>
    </row>
    <row r="537" spans="1:12" x14ac:dyDescent="0.25">
      <c r="A537" s="71">
        <v>289992</v>
      </c>
      <c r="B537" s="71">
        <v>2007</v>
      </c>
      <c r="C537" s="71" t="s">
        <v>1639</v>
      </c>
      <c r="D537" s="71" t="s">
        <v>476</v>
      </c>
      <c r="E537" s="71" t="s">
        <v>475</v>
      </c>
      <c r="F537" s="66" t="s">
        <v>307</v>
      </c>
      <c r="G537" s="70" t="s">
        <v>1411</v>
      </c>
      <c r="H537" s="70" t="s">
        <v>1410</v>
      </c>
      <c r="I537" s="363">
        <v>4</v>
      </c>
      <c r="J537" s="64"/>
      <c r="K537" s="64"/>
      <c r="L537" s="64"/>
    </row>
    <row r="538" spans="1:12" x14ac:dyDescent="0.25">
      <c r="A538" s="71">
        <v>289993</v>
      </c>
      <c r="B538" s="71">
        <v>2007</v>
      </c>
      <c r="C538" s="71" t="s">
        <v>1638</v>
      </c>
      <c r="D538" s="71" t="s">
        <v>476</v>
      </c>
      <c r="E538" s="71" t="s">
        <v>475</v>
      </c>
      <c r="F538" s="66" t="s">
        <v>307</v>
      </c>
      <c r="G538" s="70" t="s">
        <v>1411</v>
      </c>
      <c r="H538" s="70" t="s">
        <v>1410</v>
      </c>
      <c r="I538" s="363">
        <v>4</v>
      </c>
      <c r="J538" s="64"/>
      <c r="K538" s="64"/>
      <c r="L538" s="64"/>
    </row>
    <row r="539" spans="1:12" x14ac:dyDescent="0.25">
      <c r="A539" s="71">
        <v>289999</v>
      </c>
      <c r="B539" s="71">
        <v>2007</v>
      </c>
      <c r="C539" s="71" t="s">
        <v>1637</v>
      </c>
      <c r="D539" s="71" t="s">
        <v>476</v>
      </c>
      <c r="E539" s="71" t="s">
        <v>475</v>
      </c>
      <c r="F539" s="66" t="s">
        <v>307</v>
      </c>
      <c r="G539" s="70" t="s">
        <v>1411</v>
      </c>
      <c r="H539" s="70" t="s">
        <v>1410</v>
      </c>
      <c r="I539" s="363">
        <v>4</v>
      </c>
      <c r="J539" s="64"/>
      <c r="K539" s="64"/>
      <c r="L539" s="64"/>
    </row>
    <row r="540" spans="1:12" x14ac:dyDescent="0.25">
      <c r="A540" s="71">
        <v>290000</v>
      </c>
      <c r="B540" s="71">
        <v>2007</v>
      </c>
      <c r="C540" s="71" t="s">
        <v>1636</v>
      </c>
      <c r="D540" s="71" t="s">
        <v>476</v>
      </c>
      <c r="E540" s="71" t="s">
        <v>475</v>
      </c>
      <c r="F540" s="66" t="s">
        <v>307</v>
      </c>
      <c r="G540" s="70" t="s">
        <v>1411</v>
      </c>
      <c r="H540" s="70" t="s">
        <v>1410</v>
      </c>
      <c r="I540" s="363">
        <v>4</v>
      </c>
      <c r="J540" s="64"/>
      <c r="K540" s="64"/>
      <c r="L540" s="64"/>
    </row>
    <row r="541" spans="1:12" x14ac:dyDescent="0.25">
      <c r="A541" s="71">
        <v>291000</v>
      </c>
      <c r="B541" s="71">
        <v>2007</v>
      </c>
      <c r="C541" s="71" t="s">
        <v>1635</v>
      </c>
      <c r="D541" s="71" t="s">
        <v>476</v>
      </c>
      <c r="E541" s="71" t="s">
        <v>475</v>
      </c>
      <c r="F541" s="66" t="s">
        <v>307</v>
      </c>
      <c r="G541" s="70" t="s">
        <v>1411</v>
      </c>
      <c r="H541" s="70" t="s">
        <v>1410</v>
      </c>
      <c r="I541" s="363">
        <v>4</v>
      </c>
      <c r="J541" s="64"/>
      <c r="K541" s="64"/>
      <c r="L541" s="64"/>
    </row>
    <row r="542" spans="1:12" x14ac:dyDescent="0.25">
      <c r="A542" s="71">
        <v>292000</v>
      </c>
      <c r="B542" s="71">
        <v>2007</v>
      </c>
      <c r="C542" s="71" t="s">
        <v>1634</v>
      </c>
      <c r="D542" s="71" t="s">
        <v>476</v>
      </c>
      <c r="E542" s="71" t="s">
        <v>475</v>
      </c>
      <c r="F542" s="66" t="s">
        <v>307</v>
      </c>
      <c r="G542" s="70" t="s">
        <v>1411</v>
      </c>
      <c r="H542" s="70" t="s">
        <v>1410</v>
      </c>
      <c r="I542" s="363">
        <v>4</v>
      </c>
      <c r="J542" s="64"/>
      <c r="K542" s="64"/>
      <c r="L542" s="64"/>
    </row>
    <row r="543" spans="1:12" x14ac:dyDescent="0.25">
      <c r="A543" s="71">
        <v>293000</v>
      </c>
      <c r="B543" s="71">
        <v>2007</v>
      </c>
      <c r="C543" s="71" t="s">
        <v>1633</v>
      </c>
      <c r="D543" s="71" t="s">
        <v>476</v>
      </c>
      <c r="E543" s="71" t="s">
        <v>475</v>
      </c>
      <c r="F543" s="66" t="s">
        <v>307</v>
      </c>
      <c r="G543" s="70" t="s">
        <v>1411</v>
      </c>
      <c r="H543" s="70" t="s">
        <v>1410</v>
      </c>
      <c r="I543" s="363">
        <v>4</v>
      </c>
      <c r="J543" s="64"/>
      <c r="K543" s="64"/>
      <c r="L543" s="64"/>
    </row>
    <row r="544" spans="1:12" x14ac:dyDescent="0.25">
      <c r="A544" s="71">
        <v>293100</v>
      </c>
      <c r="B544" s="71">
        <v>2007</v>
      </c>
      <c r="C544" s="71" t="s">
        <v>1632</v>
      </c>
      <c r="D544" s="71" t="s">
        <v>476</v>
      </c>
      <c r="E544" s="71" t="s">
        <v>475</v>
      </c>
      <c r="F544" s="66" t="s">
        <v>307</v>
      </c>
      <c r="G544" s="70" t="s">
        <v>1411</v>
      </c>
      <c r="H544" s="70" t="s">
        <v>1410</v>
      </c>
      <c r="I544" s="363">
        <v>4</v>
      </c>
      <c r="J544" s="64"/>
      <c r="K544" s="64"/>
      <c r="L544" s="64"/>
    </row>
    <row r="545" spans="1:12" x14ac:dyDescent="0.25">
      <c r="A545" s="71">
        <v>293200</v>
      </c>
      <c r="B545" s="71">
        <v>2007</v>
      </c>
      <c r="C545" s="71" t="s">
        <v>1631</v>
      </c>
      <c r="D545" s="71" t="s">
        <v>476</v>
      </c>
      <c r="E545" s="71" t="s">
        <v>475</v>
      </c>
      <c r="F545" s="66" t="s">
        <v>307</v>
      </c>
      <c r="G545" s="70" t="s">
        <v>1411</v>
      </c>
      <c r="H545" s="70" t="s">
        <v>1410</v>
      </c>
      <c r="I545" s="363">
        <v>4</v>
      </c>
      <c r="J545" s="64"/>
      <c r="K545" s="64"/>
      <c r="L545" s="64"/>
    </row>
    <row r="546" spans="1:12" x14ac:dyDescent="0.25">
      <c r="A546" s="71">
        <v>293201</v>
      </c>
      <c r="B546" s="71">
        <v>2007</v>
      </c>
      <c r="C546" s="71" t="s">
        <v>1630</v>
      </c>
      <c r="D546" s="71" t="s">
        <v>476</v>
      </c>
      <c r="E546" s="71" t="s">
        <v>475</v>
      </c>
      <c r="F546" s="66" t="s">
        <v>307</v>
      </c>
      <c r="G546" s="70" t="s">
        <v>1411</v>
      </c>
      <c r="H546" s="70" t="s">
        <v>1410</v>
      </c>
      <c r="I546" s="363">
        <v>4</v>
      </c>
      <c r="J546" s="64"/>
      <c r="K546" s="64"/>
      <c r="L546" s="64"/>
    </row>
    <row r="547" spans="1:12" x14ac:dyDescent="0.25">
      <c r="A547" s="71">
        <v>293209</v>
      </c>
      <c r="B547" s="71">
        <v>2007</v>
      </c>
      <c r="C547" s="71" t="s">
        <v>1629</v>
      </c>
      <c r="D547" s="71" t="s">
        <v>476</v>
      </c>
      <c r="E547" s="71" t="s">
        <v>475</v>
      </c>
      <c r="F547" s="66" t="s">
        <v>307</v>
      </c>
      <c r="G547" s="70" t="s">
        <v>1411</v>
      </c>
      <c r="H547" s="70" t="s">
        <v>1410</v>
      </c>
      <c r="I547" s="363">
        <v>4</v>
      </c>
      <c r="J547" s="64"/>
      <c r="K547" s="64"/>
      <c r="L547" s="64"/>
    </row>
    <row r="548" spans="1:12" x14ac:dyDescent="0.25">
      <c r="A548" s="71">
        <v>300000</v>
      </c>
      <c r="B548" s="71">
        <v>2007</v>
      </c>
      <c r="C548" s="71" t="s">
        <v>1628</v>
      </c>
      <c r="D548" s="71" t="s">
        <v>476</v>
      </c>
      <c r="E548" s="71" t="s">
        <v>475</v>
      </c>
      <c r="F548" s="66" t="s">
        <v>307</v>
      </c>
      <c r="G548" s="70" t="s">
        <v>1411</v>
      </c>
      <c r="H548" s="70" t="s">
        <v>1410</v>
      </c>
      <c r="I548" s="363">
        <v>4</v>
      </c>
      <c r="J548" s="64"/>
      <c r="K548" s="64"/>
      <c r="L548" s="64"/>
    </row>
    <row r="549" spans="1:12" x14ac:dyDescent="0.25">
      <c r="A549" s="71">
        <v>301000</v>
      </c>
      <c r="B549" s="71">
        <v>2007</v>
      </c>
      <c r="C549" s="71" t="s">
        <v>1627</v>
      </c>
      <c r="D549" s="71" t="s">
        <v>476</v>
      </c>
      <c r="E549" s="71" t="s">
        <v>475</v>
      </c>
      <c r="F549" s="66" t="s">
        <v>307</v>
      </c>
      <c r="G549" s="70" t="s">
        <v>1411</v>
      </c>
      <c r="H549" s="70" t="s">
        <v>1410</v>
      </c>
      <c r="I549" s="363">
        <v>4</v>
      </c>
      <c r="J549" s="64"/>
      <c r="K549" s="64"/>
      <c r="L549" s="64"/>
    </row>
    <row r="550" spans="1:12" x14ac:dyDescent="0.25">
      <c r="A550" s="71">
        <v>301100</v>
      </c>
      <c r="B550" s="71">
        <v>2007</v>
      </c>
      <c r="C550" s="71" t="s">
        <v>1626</v>
      </c>
      <c r="D550" s="71" t="s">
        <v>476</v>
      </c>
      <c r="E550" s="71" t="s">
        <v>475</v>
      </c>
      <c r="F550" s="66" t="s">
        <v>307</v>
      </c>
      <c r="G550" s="70" t="s">
        <v>1411</v>
      </c>
      <c r="H550" s="70" t="s">
        <v>1410</v>
      </c>
      <c r="I550" s="363">
        <v>4</v>
      </c>
      <c r="J550" s="64"/>
      <c r="K550" s="64"/>
      <c r="L550" s="64"/>
    </row>
    <row r="551" spans="1:12" x14ac:dyDescent="0.25">
      <c r="A551" s="71">
        <v>301101</v>
      </c>
      <c r="B551" s="71">
        <v>2007</v>
      </c>
      <c r="C551" s="71" t="s">
        <v>1625</v>
      </c>
      <c r="D551" s="71" t="s">
        <v>476</v>
      </c>
      <c r="E551" s="71" t="s">
        <v>475</v>
      </c>
      <c r="F551" s="66" t="s">
        <v>307</v>
      </c>
      <c r="G551" s="70" t="s">
        <v>1411</v>
      </c>
      <c r="H551" s="70" t="s">
        <v>1410</v>
      </c>
      <c r="I551" s="363">
        <v>4</v>
      </c>
      <c r="J551" s="64"/>
      <c r="K551" s="64"/>
      <c r="L551" s="64"/>
    </row>
    <row r="552" spans="1:12" x14ac:dyDescent="0.25">
      <c r="A552" s="71">
        <v>301102</v>
      </c>
      <c r="B552" s="71">
        <v>2007</v>
      </c>
      <c r="C552" s="71" t="s">
        <v>1624</v>
      </c>
      <c r="D552" s="71" t="s">
        <v>476</v>
      </c>
      <c r="E552" s="71" t="s">
        <v>475</v>
      </c>
      <c r="F552" s="66" t="s">
        <v>307</v>
      </c>
      <c r="G552" s="70" t="s">
        <v>1411</v>
      </c>
      <c r="H552" s="70" t="s">
        <v>1410</v>
      </c>
      <c r="I552" s="363">
        <v>4</v>
      </c>
      <c r="J552" s="64"/>
      <c r="K552" s="64"/>
      <c r="L552" s="64"/>
    </row>
    <row r="553" spans="1:12" x14ac:dyDescent="0.25">
      <c r="A553" s="71">
        <v>301200</v>
      </c>
      <c r="B553" s="71">
        <v>2007</v>
      </c>
      <c r="C553" s="71" t="s">
        <v>1623</v>
      </c>
      <c r="D553" s="71" t="s">
        <v>476</v>
      </c>
      <c r="E553" s="71" t="s">
        <v>475</v>
      </c>
      <c r="F553" s="66" t="s">
        <v>307</v>
      </c>
      <c r="G553" s="70" t="s">
        <v>1411</v>
      </c>
      <c r="H553" s="70" t="s">
        <v>1410</v>
      </c>
      <c r="I553" s="363">
        <v>4</v>
      </c>
      <c r="J553" s="64"/>
      <c r="K553" s="64"/>
      <c r="L553" s="64"/>
    </row>
    <row r="554" spans="1:12" x14ac:dyDescent="0.25">
      <c r="A554" s="71">
        <v>302000</v>
      </c>
      <c r="B554" s="71">
        <v>2007</v>
      </c>
      <c r="C554" s="71" t="s">
        <v>1622</v>
      </c>
      <c r="D554" s="71" t="s">
        <v>476</v>
      </c>
      <c r="E554" s="71" t="s">
        <v>475</v>
      </c>
      <c r="F554" s="66" t="s">
        <v>307</v>
      </c>
      <c r="G554" s="70" t="s">
        <v>1411</v>
      </c>
      <c r="H554" s="70" t="s">
        <v>1410</v>
      </c>
      <c r="I554" s="363">
        <v>4</v>
      </c>
      <c r="J554" s="64"/>
      <c r="K554" s="64"/>
      <c r="L554" s="64"/>
    </row>
    <row r="555" spans="1:12" x14ac:dyDescent="0.25">
      <c r="A555" s="71">
        <v>302001</v>
      </c>
      <c r="B555" s="71">
        <v>2007</v>
      </c>
      <c r="C555" s="71" t="s">
        <v>1621</v>
      </c>
      <c r="D555" s="71" t="s">
        <v>476</v>
      </c>
      <c r="E555" s="71" t="s">
        <v>475</v>
      </c>
      <c r="F555" s="66" t="s">
        <v>307</v>
      </c>
      <c r="G555" s="70" t="s">
        <v>1411</v>
      </c>
      <c r="H555" s="70" t="s">
        <v>1410</v>
      </c>
      <c r="I555" s="363">
        <v>4</v>
      </c>
      <c r="J555" s="64"/>
      <c r="K555" s="64"/>
      <c r="L555" s="64"/>
    </row>
    <row r="556" spans="1:12" x14ac:dyDescent="0.25">
      <c r="A556" s="71">
        <v>302002</v>
      </c>
      <c r="B556" s="71">
        <v>2007</v>
      </c>
      <c r="C556" s="71" t="s">
        <v>1620</v>
      </c>
      <c r="D556" s="71" t="s">
        <v>476</v>
      </c>
      <c r="E556" s="71" t="s">
        <v>475</v>
      </c>
      <c r="F556" s="66" t="s">
        <v>307</v>
      </c>
      <c r="G556" s="70" t="s">
        <v>1411</v>
      </c>
      <c r="H556" s="70" t="s">
        <v>1410</v>
      </c>
      <c r="I556" s="363">
        <v>4</v>
      </c>
      <c r="J556" s="64"/>
      <c r="K556" s="64"/>
      <c r="L556" s="64"/>
    </row>
    <row r="557" spans="1:12" x14ac:dyDescent="0.25">
      <c r="A557" s="71">
        <v>303000</v>
      </c>
      <c r="B557" s="71">
        <v>2007</v>
      </c>
      <c r="C557" s="71" t="s">
        <v>1619</v>
      </c>
      <c r="D557" s="71" t="s">
        <v>476</v>
      </c>
      <c r="E557" s="71" t="s">
        <v>475</v>
      </c>
      <c r="F557" s="66" t="s">
        <v>307</v>
      </c>
      <c r="G557" s="70" t="s">
        <v>1411</v>
      </c>
      <c r="H557" s="70" t="s">
        <v>1410</v>
      </c>
      <c r="I557" s="363">
        <v>4</v>
      </c>
      <c r="J557" s="64"/>
      <c r="K557" s="64"/>
      <c r="L557" s="64"/>
    </row>
    <row r="558" spans="1:12" x14ac:dyDescent="0.25">
      <c r="A558" s="71">
        <v>303001</v>
      </c>
      <c r="B558" s="71">
        <v>2007</v>
      </c>
      <c r="C558" s="71" t="s">
        <v>1618</v>
      </c>
      <c r="D558" s="71" t="s">
        <v>476</v>
      </c>
      <c r="E558" s="71" t="s">
        <v>475</v>
      </c>
      <c r="F558" s="66" t="s">
        <v>307</v>
      </c>
      <c r="G558" s="70" t="s">
        <v>1411</v>
      </c>
      <c r="H558" s="70" t="s">
        <v>1410</v>
      </c>
      <c r="I558" s="363">
        <v>4</v>
      </c>
      <c r="J558" s="64"/>
      <c r="K558" s="64"/>
      <c r="L558" s="64"/>
    </row>
    <row r="559" spans="1:12" x14ac:dyDescent="0.25">
      <c r="A559" s="71">
        <v>303002</v>
      </c>
      <c r="B559" s="71">
        <v>2007</v>
      </c>
      <c r="C559" s="71" t="s">
        <v>1617</v>
      </c>
      <c r="D559" s="71" t="s">
        <v>476</v>
      </c>
      <c r="E559" s="71" t="s">
        <v>475</v>
      </c>
      <c r="F559" s="66" t="s">
        <v>307</v>
      </c>
      <c r="G559" s="70" t="s">
        <v>1411</v>
      </c>
      <c r="H559" s="70" t="s">
        <v>1410</v>
      </c>
      <c r="I559" s="363">
        <v>4</v>
      </c>
      <c r="J559" s="64"/>
      <c r="K559" s="64"/>
      <c r="L559" s="64"/>
    </row>
    <row r="560" spans="1:12" x14ac:dyDescent="0.25">
      <c r="A560" s="71">
        <v>303009</v>
      </c>
      <c r="B560" s="71">
        <v>2007</v>
      </c>
      <c r="C560" s="71" t="s">
        <v>1616</v>
      </c>
      <c r="D560" s="71" t="s">
        <v>476</v>
      </c>
      <c r="E560" s="71" t="s">
        <v>475</v>
      </c>
      <c r="F560" s="66" t="s">
        <v>307</v>
      </c>
      <c r="G560" s="70" t="s">
        <v>1411</v>
      </c>
      <c r="H560" s="70" t="s">
        <v>1410</v>
      </c>
      <c r="I560" s="363">
        <v>4</v>
      </c>
      <c r="J560" s="64"/>
      <c r="K560" s="64"/>
      <c r="L560" s="64"/>
    </row>
    <row r="561" spans="1:12" x14ac:dyDescent="0.25">
      <c r="A561" s="71">
        <v>304000</v>
      </c>
      <c r="B561" s="71">
        <v>2007</v>
      </c>
      <c r="C561" s="71" t="s">
        <v>1615</v>
      </c>
      <c r="D561" s="71" t="s">
        <v>476</v>
      </c>
      <c r="E561" s="71" t="s">
        <v>475</v>
      </c>
      <c r="F561" s="66" t="s">
        <v>307</v>
      </c>
      <c r="G561" s="70" t="s">
        <v>1411</v>
      </c>
      <c r="H561" s="70" t="s">
        <v>1410</v>
      </c>
      <c r="I561" s="363">
        <v>4</v>
      </c>
      <c r="J561" s="64"/>
      <c r="K561" s="64"/>
      <c r="L561" s="64"/>
    </row>
    <row r="562" spans="1:12" x14ac:dyDescent="0.25">
      <c r="A562" s="71">
        <v>309000</v>
      </c>
      <c r="B562" s="71">
        <v>2007</v>
      </c>
      <c r="C562" s="71" t="s">
        <v>1614</v>
      </c>
      <c r="D562" s="71" t="s">
        <v>476</v>
      </c>
      <c r="E562" s="71" t="s">
        <v>475</v>
      </c>
      <c r="F562" s="66" t="s">
        <v>307</v>
      </c>
      <c r="G562" s="70" t="s">
        <v>1411</v>
      </c>
      <c r="H562" s="70" t="s">
        <v>1410</v>
      </c>
      <c r="I562" s="363">
        <v>4</v>
      </c>
      <c r="J562" s="64"/>
      <c r="K562" s="64"/>
      <c r="L562" s="64"/>
    </row>
    <row r="563" spans="1:12" x14ac:dyDescent="0.25">
      <c r="A563" s="71">
        <v>309100</v>
      </c>
      <c r="B563" s="71">
        <v>2007</v>
      </c>
      <c r="C563" s="71" t="s">
        <v>1613</v>
      </c>
      <c r="D563" s="71" t="s">
        <v>476</v>
      </c>
      <c r="E563" s="71" t="s">
        <v>475</v>
      </c>
      <c r="F563" s="66" t="s">
        <v>307</v>
      </c>
      <c r="G563" s="70" t="s">
        <v>1411</v>
      </c>
      <c r="H563" s="70" t="s">
        <v>1410</v>
      </c>
      <c r="I563" s="363">
        <v>4</v>
      </c>
      <c r="J563" s="64"/>
      <c r="K563" s="64"/>
      <c r="L563" s="64"/>
    </row>
    <row r="564" spans="1:12" x14ac:dyDescent="0.25">
      <c r="A564" s="71">
        <v>309110</v>
      </c>
      <c r="B564" s="71">
        <v>2007</v>
      </c>
      <c r="C564" s="71" t="s">
        <v>1612</v>
      </c>
      <c r="D564" s="71" t="s">
        <v>476</v>
      </c>
      <c r="E564" s="71" t="s">
        <v>475</v>
      </c>
      <c r="F564" s="66" t="s">
        <v>307</v>
      </c>
      <c r="G564" s="70" t="s">
        <v>1411</v>
      </c>
      <c r="H564" s="70" t="s">
        <v>1410</v>
      </c>
      <c r="I564" s="363">
        <v>4</v>
      </c>
      <c r="J564" s="64"/>
      <c r="K564" s="64"/>
      <c r="L564" s="64"/>
    </row>
    <row r="565" spans="1:12" x14ac:dyDescent="0.25">
      <c r="A565" s="71">
        <v>309111</v>
      </c>
      <c r="B565" s="71">
        <v>2007</v>
      </c>
      <c r="C565" s="71" t="s">
        <v>1611</v>
      </c>
      <c r="D565" s="71" t="s">
        <v>476</v>
      </c>
      <c r="E565" s="71" t="s">
        <v>475</v>
      </c>
      <c r="F565" s="66" t="s">
        <v>307</v>
      </c>
      <c r="G565" s="70" t="s">
        <v>1411</v>
      </c>
      <c r="H565" s="70" t="s">
        <v>1410</v>
      </c>
      <c r="I565" s="363">
        <v>4</v>
      </c>
      <c r="J565" s="64"/>
      <c r="K565" s="64"/>
      <c r="L565" s="64"/>
    </row>
    <row r="566" spans="1:12" x14ac:dyDescent="0.25">
      <c r="A566" s="71">
        <v>309112</v>
      </c>
      <c r="B566" s="71">
        <v>2007</v>
      </c>
      <c r="C566" s="71" t="s">
        <v>1610</v>
      </c>
      <c r="D566" s="71" t="s">
        <v>476</v>
      </c>
      <c r="E566" s="71" t="s">
        <v>475</v>
      </c>
      <c r="F566" s="66" t="s">
        <v>307</v>
      </c>
      <c r="G566" s="70" t="s">
        <v>1411</v>
      </c>
      <c r="H566" s="70" t="s">
        <v>1410</v>
      </c>
      <c r="I566" s="363">
        <v>4</v>
      </c>
      <c r="J566" s="64"/>
      <c r="K566" s="64"/>
      <c r="L566" s="64"/>
    </row>
    <row r="567" spans="1:12" x14ac:dyDescent="0.25">
      <c r="A567" s="71">
        <v>309120</v>
      </c>
      <c r="B567" s="71">
        <v>2007</v>
      </c>
      <c r="C567" s="71" t="s">
        <v>1609</v>
      </c>
      <c r="D567" s="71" t="s">
        <v>476</v>
      </c>
      <c r="E567" s="71" t="s">
        <v>475</v>
      </c>
      <c r="F567" s="66" t="s">
        <v>307</v>
      </c>
      <c r="G567" s="70" t="s">
        <v>1411</v>
      </c>
      <c r="H567" s="70" t="s">
        <v>1410</v>
      </c>
      <c r="I567" s="363">
        <v>4</v>
      </c>
      <c r="J567" s="64"/>
      <c r="K567" s="64"/>
      <c r="L567" s="64"/>
    </row>
    <row r="568" spans="1:12" x14ac:dyDescent="0.25">
      <c r="A568" s="71">
        <v>309200</v>
      </c>
      <c r="B568" s="71">
        <v>2007</v>
      </c>
      <c r="C568" s="71" t="s">
        <v>1608</v>
      </c>
      <c r="D568" s="71" t="s">
        <v>476</v>
      </c>
      <c r="E568" s="71" t="s">
        <v>475</v>
      </c>
      <c r="F568" s="66" t="s">
        <v>307</v>
      </c>
      <c r="G568" s="70" t="s">
        <v>1411</v>
      </c>
      <c r="H568" s="70" t="s">
        <v>1410</v>
      </c>
      <c r="I568" s="363">
        <v>4</v>
      </c>
      <c r="J568" s="64"/>
      <c r="K568" s="64"/>
      <c r="L568" s="64"/>
    </row>
    <row r="569" spans="1:12" x14ac:dyDescent="0.25">
      <c r="A569" s="71">
        <v>309210</v>
      </c>
      <c r="B569" s="71">
        <v>2007</v>
      </c>
      <c r="C569" s="71" t="s">
        <v>1607</v>
      </c>
      <c r="D569" s="71" t="s">
        <v>476</v>
      </c>
      <c r="E569" s="71" t="s">
        <v>475</v>
      </c>
      <c r="F569" s="66" t="s">
        <v>307</v>
      </c>
      <c r="G569" s="70" t="s">
        <v>1411</v>
      </c>
      <c r="H569" s="70" t="s">
        <v>1410</v>
      </c>
      <c r="I569" s="363">
        <v>4</v>
      </c>
      <c r="J569" s="64"/>
      <c r="K569" s="64"/>
      <c r="L569" s="64"/>
    </row>
    <row r="570" spans="1:12" x14ac:dyDescent="0.25">
      <c r="A570" s="71">
        <v>309220</v>
      </c>
      <c r="B570" s="71">
        <v>2007</v>
      </c>
      <c r="C570" s="71" t="s">
        <v>1606</v>
      </c>
      <c r="D570" s="71" t="s">
        <v>476</v>
      </c>
      <c r="E570" s="71" t="s">
        <v>475</v>
      </c>
      <c r="F570" s="66" t="s">
        <v>307</v>
      </c>
      <c r="G570" s="70" t="s">
        <v>1411</v>
      </c>
      <c r="H570" s="70" t="s">
        <v>1410</v>
      </c>
      <c r="I570" s="363">
        <v>4</v>
      </c>
      <c r="J570" s="64"/>
      <c r="K570" s="64"/>
      <c r="L570" s="64"/>
    </row>
    <row r="571" spans="1:12" x14ac:dyDescent="0.25">
      <c r="A571" s="71">
        <v>309230</v>
      </c>
      <c r="B571" s="71">
        <v>2007</v>
      </c>
      <c r="C571" s="71" t="s">
        <v>1605</v>
      </c>
      <c r="D571" s="71" t="s">
        <v>476</v>
      </c>
      <c r="E571" s="71" t="s">
        <v>475</v>
      </c>
      <c r="F571" s="66" t="s">
        <v>307</v>
      </c>
      <c r="G571" s="70" t="s">
        <v>1411</v>
      </c>
      <c r="H571" s="70" t="s">
        <v>1410</v>
      </c>
      <c r="I571" s="363">
        <v>4</v>
      </c>
      <c r="J571" s="64"/>
      <c r="K571" s="64"/>
      <c r="L571" s="64"/>
    </row>
    <row r="572" spans="1:12" x14ac:dyDescent="0.25">
      <c r="A572" s="71">
        <v>309240</v>
      </c>
      <c r="B572" s="71">
        <v>2007</v>
      </c>
      <c r="C572" s="71" t="s">
        <v>1604</v>
      </c>
      <c r="D572" s="71" t="s">
        <v>476</v>
      </c>
      <c r="E572" s="71" t="s">
        <v>475</v>
      </c>
      <c r="F572" s="66" t="s">
        <v>307</v>
      </c>
      <c r="G572" s="70" t="s">
        <v>1411</v>
      </c>
      <c r="H572" s="70" t="s">
        <v>1410</v>
      </c>
      <c r="I572" s="363">
        <v>4</v>
      </c>
      <c r="J572" s="64"/>
      <c r="K572" s="64"/>
      <c r="L572" s="64"/>
    </row>
    <row r="573" spans="1:12" x14ac:dyDescent="0.25">
      <c r="A573" s="71">
        <v>309900</v>
      </c>
      <c r="B573" s="71">
        <v>2007</v>
      </c>
      <c r="C573" s="71" t="s">
        <v>1603</v>
      </c>
      <c r="D573" s="71" t="s">
        <v>476</v>
      </c>
      <c r="E573" s="71" t="s">
        <v>475</v>
      </c>
      <c r="F573" s="66" t="s">
        <v>307</v>
      </c>
      <c r="G573" s="70" t="s">
        <v>1411</v>
      </c>
      <c r="H573" s="70" t="s">
        <v>1410</v>
      </c>
      <c r="I573" s="363">
        <v>4</v>
      </c>
      <c r="J573" s="64"/>
      <c r="K573" s="64"/>
      <c r="L573" s="64"/>
    </row>
    <row r="574" spans="1:12" x14ac:dyDescent="0.25">
      <c r="A574" s="71">
        <v>310000</v>
      </c>
      <c r="B574" s="71">
        <v>2007</v>
      </c>
      <c r="C574" s="71" t="s">
        <v>1602</v>
      </c>
      <c r="D574" s="71" t="s">
        <v>476</v>
      </c>
      <c r="E574" s="71" t="s">
        <v>475</v>
      </c>
      <c r="F574" s="66" t="s">
        <v>307</v>
      </c>
      <c r="G574" s="70" t="s">
        <v>1411</v>
      </c>
      <c r="H574" s="70" t="s">
        <v>1410</v>
      </c>
      <c r="I574" s="363">
        <v>4</v>
      </c>
      <c r="J574" s="64"/>
      <c r="K574" s="64"/>
      <c r="L574" s="64"/>
    </row>
    <row r="575" spans="1:12" x14ac:dyDescent="0.25">
      <c r="A575" s="71">
        <v>310100</v>
      </c>
      <c r="B575" s="71">
        <v>2007</v>
      </c>
      <c r="C575" s="71" t="s">
        <v>1601</v>
      </c>
      <c r="D575" s="71" t="s">
        <v>476</v>
      </c>
      <c r="E575" s="71" t="s">
        <v>475</v>
      </c>
      <c r="F575" s="66" t="s">
        <v>307</v>
      </c>
      <c r="G575" s="70" t="s">
        <v>1411</v>
      </c>
      <c r="H575" s="70" t="s">
        <v>1410</v>
      </c>
      <c r="I575" s="363">
        <v>4</v>
      </c>
      <c r="J575" s="64"/>
      <c r="K575" s="64"/>
      <c r="L575" s="64"/>
    </row>
    <row r="576" spans="1:12" x14ac:dyDescent="0.25">
      <c r="A576" s="71">
        <v>310110</v>
      </c>
      <c r="B576" s="71">
        <v>2007</v>
      </c>
      <c r="C576" s="71" t="s">
        <v>1600</v>
      </c>
      <c r="D576" s="71" t="s">
        <v>476</v>
      </c>
      <c r="E576" s="71" t="s">
        <v>475</v>
      </c>
      <c r="F576" s="66" t="s">
        <v>307</v>
      </c>
      <c r="G576" s="70" t="s">
        <v>1411</v>
      </c>
      <c r="H576" s="70" t="s">
        <v>1410</v>
      </c>
      <c r="I576" s="363">
        <v>4</v>
      </c>
      <c r="J576" s="64"/>
      <c r="K576" s="64"/>
      <c r="L576" s="64"/>
    </row>
    <row r="577" spans="1:12" x14ac:dyDescent="0.25">
      <c r="A577" s="71">
        <v>310120</v>
      </c>
      <c r="B577" s="71">
        <v>2007</v>
      </c>
      <c r="C577" s="71" t="s">
        <v>1599</v>
      </c>
      <c r="D577" s="71" t="s">
        <v>476</v>
      </c>
      <c r="E577" s="71" t="s">
        <v>475</v>
      </c>
      <c r="F577" s="66" t="s">
        <v>307</v>
      </c>
      <c r="G577" s="70" t="s">
        <v>1411</v>
      </c>
      <c r="H577" s="70" t="s">
        <v>1410</v>
      </c>
      <c r="I577" s="363">
        <v>4</v>
      </c>
      <c r="J577" s="64"/>
      <c r="K577" s="64"/>
      <c r="L577" s="64"/>
    </row>
    <row r="578" spans="1:12" x14ac:dyDescent="0.25">
      <c r="A578" s="71">
        <v>310121</v>
      </c>
      <c r="B578" s="71">
        <v>2007</v>
      </c>
      <c r="C578" s="71" t="s">
        <v>1598</v>
      </c>
      <c r="D578" s="71" t="s">
        <v>476</v>
      </c>
      <c r="E578" s="71" t="s">
        <v>475</v>
      </c>
      <c r="F578" s="66" t="s">
        <v>307</v>
      </c>
      <c r="G578" s="70" t="s">
        <v>1411</v>
      </c>
      <c r="H578" s="70" t="s">
        <v>1410</v>
      </c>
      <c r="I578" s="363">
        <v>4</v>
      </c>
      <c r="J578" s="64"/>
      <c r="K578" s="64"/>
      <c r="L578" s="64"/>
    </row>
    <row r="579" spans="1:12" x14ac:dyDescent="0.25">
      <c r="A579" s="71">
        <v>310122</v>
      </c>
      <c r="B579" s="71">
        <v>2007</v>
      </c>
      <c r="C579" s="71" t="s">
        <v>1597</v>
      </c>
      <c r="D579" s="71" t="s">
        <v>476</v>
      </c>
      <c r="E579" s="71" t="s">
        <v>475</v>
      </c>
      <c r="F579" s="66" t="s">
        <v>307</v>
      </c>
      <c r="G579" s="70" t="s">
        <v>1411</v>
      </c>
      <c r="H579" s="70" t="s">
        <v>1410</v>
      </c>
      <c r="I579" s="363">
        <v>4</v>
      </c>
      <c r="J579" s="64"/>
      <c r="K579" s="64"/>
      <c r="L579" s="64"/>
    </row>
    <row r="580" spans="1:12" x14ac:dyDescent="0.25">
      <c r="A580" s="71">
        <v>310200</v>
      </c>
      <c r="B580" s="71">
        <v>2007</v>
      </c>
      <c r="C580" s="71" t="s">
        <v>1596</v>
      </c>
      <c r="D580" s="71" t="s">
        <v>476</v>
      </c>
      <c r="E580" s="71" t="s">
        <v>475</v>
      </c>
      <c r="F580" s="66" t="s">
        <v>307</v>
      </c>
      <c r="G580" s="70" t="s">
        <v>1411</v>
      </c>
      <c r="H580" s="70" t="s">
        <v>1410</v>
      </c>
      <c r="I580" s="363">
        <v>4</v>
      </c>
      <c r="J580" s="64"/>
      <c r="K580" s="64"/>
      <c r="L580" s="64"/>
    </row>
    <row r="581" spans="1:12" x14ac:dyDescent="0.25">
      <c r="A581" s="71">
        <v>310300</v>
      </c>
      <c r="B581" s="71">
        <v>2007</v>
      </c>
      <c r="C581" s="71" t="s">
        <v>1595</v>
      </c>
      <c r="D581" s="71" t="s">
        <v>476</v>
      </c>
      <c r="E581" s="71" t="s">
        <v>475</v>
      </c>
      <c r="F581" s="66" t="s">
        <v>307</v>
      </c>
      <c r="G581" s="70" t="s">
        <v>1411</v>
      </c>
      <c r="H581" s="70" t="s">
        <v>1410</v>
      </c>
      <c r="I581" s="363">
        <v>4</v>
      </c>
      <c r="J581" s="64"/>
      <c r="K581" s="64"/>
      <c r="L581" s="64"/>
    </row>
    <row r="582" spans="1:12" x14ac:dyDescent="0.25">
      <c r="A582" s="71">
        <v>310900</v>
      </c>
      <c r="B582" s="71">
        <v>2007</v>
      </c>
      <c r="C582" s="71" t="s">
        <v>1594</v>
      </c>
      <c r="D582" s="71" t="s">
        <v>476</v>
      </c>
      <c r="E582" s="71" t="s">
        <v>475</v>
      </c>
      <c r="F582" s="66" t="s">
        <v>307</v>
      </c>
      <c r="G582" s="70" t="s">
        <v>1411</v>
      </c>
      <c r="H582" s="70" t="s">
        <v>1410</v>
      </c>
      <c r="I582" s="363">
        <v>4</v>
      </c>
      <c r="J582" s="64"/>
      <c r="K582" s="64"/>
      <c r="L582" s="64"/>
    </row>
    <row r="583" spans="1:12" x14ac:dyDescent="0.25">
      <c r="A583" s="71">
        <v>310910</v>
      </c>
      <c r="B583" s="71">
        <v>2007</v>
      </c>
      <c r="C583" s="71" t="s">
        <v>1593</v>
      </c>
      <c r="D583" s="71" t="s">
        <v>476</v>
      </c>
      <c r="E583" s="71" t="s">
        <v>475</v>
      </c>
      <c r="F583" s="66" t="s">
        <v>307</v>
      </c>
      <c r="G583" s="70" t="s">
        <v>1411</v>
      </c>
      <c r="H583" s="70" t="s">
        <v>1410</v>
      </c>
      <c r="I583" s="363">
        <v>4</v>
      </c>
      <c r="J583" s="64"/>
      <c r="K583" s="64"/>
      <c r="L583" s="64"/>
    </row>
    <row r="584" spans="1:12" x14ac:dyDescent="0.25">
      <c r="A584" s="71">
        <v>310920</v>
      </c>
      <c r="B584" s="71">
        <v>2007</v>
      </c>
      <c r="C584" s="71" t="s">
        <v>1592</v>
      </c>
      <c r="D584" s="71" t="s">
        <v>476</v>
      </c>
      <c r="E584" s="71" t="s">
        <v>475</v>
      </c>
      <c r="F584" s="66" t="s">
        <v>307</v>
      </c>
      <c r="G584" s="70" t="s">
        <v>1411</v>
      </c>
      <c r="H584" s="70" t="s">
        <v>1410</v>
      </c>
      <c r="I584" s="363">
        <v>4</v>
      </c>
      <c r="J584" s="64"/>
      <c r="K584" s="64"/>
      <c r="L584" s="64"/>
    </row>
    <row r="585" spans="1:12" x14ac:dyDescent="0.25">
      <c r="A585" s="71">
        <v>310930</v>
      </c>
      <c r="B585" s="71">
        <v>2007</v>
      </c>
      <c r="C585" s="71" t="s">
        <v>1591</v>
      </c>
      <c r="D585" s="71" t="s">
        <v>476</v>
      </c>
      <c r="E585" s="71" t="s">
        <v>475</v>
      </c>
      <c r="F585" s="66" t="s">
        <v>307</v>
      </c>
      <c r="G585" s="70" t="s">
        <v>1411</v>
      </c>
      <c r="H585" s="70" t="s">
        <v>1410</v>
      </c>
      <c r="I585" s="363">
        <v>4</v>
      </c>
      <c r="J585" s="64"/>
      <c r="K585" s="64"/>
      <c r="L585" s="64"/>
    </row>
    <row r="586" spans="1:12" x14ac:dyDescent="0.25">
      <c r="A586" s="71">
        <v>310940</v>
      </c>
      <c r="B586" s="71">
        <v>2007</v>
      </c>
      <c r="C586" s="71" t="s">
        <v>1590</v>
      </c>
      <c r="D586" s="71" t="s">
        <v>476</v>
      </c>
      <c r="E586" s="71" t="s">
        <v>475</v>
      </c>
      <c r="F586" s="66" t="s">
        <v>307</v>
      </c>
      <c r="G586" s="70" t="s">
        <v>1411</v>
      </c>
      <c r="H586" s="70" t="s">
        <v>1410</v>
      </c>
      <c r="I586" s="363">
        <v>4</v>
      </c>
      <c r="J586" s="64"/>
      <c r="K586" s="64"/>
      <c r="L586" s="64"/>
    </row>
    <row r="587" spans="1:12" x14ac:dyDescent="0.25">
      <c r="A587" s="71">
        <v>310950</v>
      </c>
      <c r="B587" s="71">
        <v>2007</v>
      </c>
      <c r="C587" s="71" t="s">
        <v>1589</v>
      </c>
      <c r="D587" s="71" t="s">
        <v>476</v>
      </c>
      <c r="E587" s="71" t="s">
        <v>475</v>
      </c>
      <c r="F587" s="66" t="s">
        <v>307</v>
      </c>
      <c r="G587" s="70" t="s">
        <v>1411</v>
      </c>
      <c r="H587" s="70" t="s">
        <v>1410</v>
      </c>
      <c r="I587" s="363">
        <v>4</v>
      </c>
      <c r="J587" s="64"/>
      <c r="K587" s="64"/>
      <c r="L587" s="64"/>
    </row>
    <row r="588" spans="1:12" x14ac:dyDescent="0.25">
      <c r="A588" s="71">
        <v>310990</v>
      </c>
      <c r="B588" s="71">
        <v>2007</v>
      </c>
      <c r="C588" s="71" t="s">
        <v>1588</v>
      </c>
      <c r="D588" s="71" t="s">
        <v>476</v>
      </c>
      <c r="E588" s="71" t="s">
        <v>475</v>
      </c>
      <c r="F588" s="66" t="s">
        <v>307</v>
      </c>
      <c r="G588" s="70" t="s">
        <v>1411</v>
      </c>
      <c r="H588" s="70" t="s">
        <v>1410</v>
      </c>
      <c r="I588" s="363">
        <v>4</v>
      </c>
      <c r="J588" s="64"/>
      <c r="K588" s="64"/>
      <c r="L588" s="64"/>
    </row>
    <row r="589" spans="1:12" x14ac:dyDescent="0.25">
      <c r="A589" s="71">
        <v>320000</v>
      </c>
      <c r="B589" s="71">
        <v>2007</v>
      </c>
      <c r="C589" s="71" t="s">
        <v>1587</v>
      </c>
      <c r="D589" s="71" t="s">
        <v>476</v>
      </c>
      <c r="E589" s="71" t="s">
        <v>475</v>
      </c>
      <c r="F589" s="66" t="s">
        <v>307</v>
      </c>
      <c r="G589" s="70" t="s">
        <v>1411</v>
      </c>
      <c r="H589" s="70" t="s">
        <v>1410</v>
      </c>
      <c r="I589" s="363">
        <v>4</v>
      </c>
      <c r="J589" s="64"/>
      <c r="K589" s="64"/>
      <c r="L589" s="64"/>
    </row>
    <row r="590" spans="1:12" x14ac:dyDescent="0.25">
      <c r="A590" s="71">
        <v>321000</v>
      </c>
      <c r="B590" s="71">
        <v>2007</v>
      </c>
      <c r="C590" s="71" t="s">
        <v>1586</v>
      </c>
      <c r="D590" s="71" t="s">
        <v>476</v>
      </c>
      <c r="E590" s="71" t="s">
        <v>475</v>
      </c>
      <c r="F590" s="66" t="s">
        <v>307</v>
      </c>
      <c r="G590" s="70" t="s">
        <v>1411</v>
      </c>
      <c r="H590" s="70" t="s">
        <v>1410</v>
      </c>
      <c r="I590" s="363">
        <v>4</v>
      </c>
      <c r="J590" s="64"/>
      <c r="K590" s="64"/>
      <c r="L590" s="64"/>
    </row>
    <row r="591" spans="1:12" x14ac:dyDescent="0.25">
      <c r="A591" s="71">
        <v>321100</v>
      </c>
      <c r="B591" s="71">
        <v>2007</v>
      </c>
      <c r="C591" s="71" t="s">
        <v>1585</v>
      </c>
      <c r="D591" s="71" t="s">
        <v>476</v>
      </c>
      <c r="E591" s="71" t="s">
        <v>475</v>
      </c>
      <c r="F591" s="66" t="s">
        <v>307</v>
      </c>
      <c r="G591" s="70" t="s">
        <v>1411</v>
      </c>
      <c r="H591" s="70" t="s">
        <v>1410</v>
      </c>
      <c r="I591" s="363">
        <v>4</v>
      </c>
      <c r="J591" s="64"/>
      <c r="K591" s="64"/>
      <c r="L591" s="64"/>
    </row>
    <row r="592" spans="1:12" x14ac:dyDescent="0.25">
      <c r="A592" s="71">
        <v>321200</v>
      </c>
      <c r="B592" s="71">
        <v>2007</v>
      </c>
      <c r="C592" s="71" t="s">
        <v>1584</v>
      </c>
      <c r="D592" s="71" t="s">
        <v>476</v>
      </c>
      <c r="E592" s="71" t="s">
        <v>475</v>
      </c>
      <c r="F592" s="66" t="s">
        <v>307</v>
      </c>
      <c r="G592" s="70" t="s">
        <v>1411</v>
      </c>
      <c r="H592" s="70" t="s">
        <v>1410</v>
      </c>
      <c r="I592" s="363">
        <v>4</v>
      </c>
      <c r="J592" s="64"/>
      <c r="K592" s="64"/>
      <c r="L592" s="64"/>
    </row>
    <row r="593" spans="1:12" x14ac:dyDescent="0.25">
      <c r="A593" s="71">
        <v>321210</v>
      </c>
      <c r="B593" s="71">
        <v>2007</v>
      </c>
      <c r="C593" s="71" t="s">
        <v>1583</v>
      </c>
      <c r="D593" s="71" t="s">
        <v>476</v>
      </c>
      <c r="E593" s="71" t="s">
        <v>475</v>
      </c>
      <c r="F593" s="66" t="s">
        <v>307</v>
      </c>
      <c r="G593" s="70" t="s">
        <v>1411</v>
      </c>
      <c r="H593" s="70" t="s">
        <v>1410</v>
      </c>
      <c r="I593" s="363">
        <v>4</v>
      </c>
      <c r="J593" s="64"/>
      <c r="K593" s="64"/>
      <c r="L593" s="64"/>
    </row>
    <row r="594" spans="1:12" x14ac:dyDescent="0.25">
      <c r="A594" s="71">
        <v>321220</v>
      </c>
      <c r="B594" s="71">
        <v>2007</v>
      </c>
      <c r="C594" s="71" t="s">
        <v>1582</v>
      </c>
      <c r="D594" s="71" t="s">
        <v>476</v>
      </c>
      <c r="E594" s="71" t="s">
        <v>475</v>
      </c>
      <c r="F594" s="66" t="s">
        <v>307</v>
      </c>
      <c r="G594" s="70" t="s">
        <v>1411</v>
      </c>
      <c r="H594" s="70" t="s">
        <v>1410</v>
      </c>
      <c r="I594" s="363">
        <v>4</v>
      </c>
      <c r="J594" s="64"/>
      <c r="K594" s="64"/>
      <c r="L594" s="64"/>
    </row>
    <row r="595" spans="1:12" x14ac:dyDescent="0.25">
      <c r="A595" s="71">
        <v>321300</v>
      </c>
      <c r="B595" s="71">
        <v>2007</v>
      </c>
      <c r="C595" s="71" t="s">
        <v>1581</v>
      </c>
      <c r="D595" s="71" t="s">
        <v>476</v>
      </c>
      <c r="E595" s="71" t="s">
        <v>475</v>
      </c>
      <c r="F595" s="66" t="s">
        <v>307</v>
      </c>
      <c r="G595" s="70" t="s">
        <v>1411</v>
      </c>
      <c r="H595" s="70" t="s">
        <v>1410</v>
      </c>
      <c r="I595" s="363">
        <v>4</v>
      </c>
      <c r="J595" s="64"/>
      <c r="K595" s="64"/>
      <c r="L595" s="64"/>
    </row>
    <row r="596" spans="1:12" x14ac:dyDescent="0.25">
      <c r="A596" s="71">
        <v>321301</v>
      </c>
      <c r="B596" s="71">
        <v>2007</v>
      </c>
      <c r="C596" s="71" t="s">
        <v>1580</v>
      </c>
      <c r="D596" s="71" t="s">
        <v>476</v>
      </c>
      <c r="E596" s="71" t="s">
        <v>475</v>
      </c>
      <c r="F596" s="66" t="s">
        <v>307</v>
      </c>
      <c r="G596" s="70" t="s">
        <v>1411</v>
      </c>
      <c r="H596" s="70" t="s">
        <v>1410</v>
      </c>
      <c r="I596" s="363">
        <v>4</v>
      </c>
      <c r="J596" s="64"/>
      <c r="K596" s="64"/>
      <c r="L596" s="64"/>
    </row>
    <row r="597" spans="1:12" x14ac:dyDescent="0.25">
      <c r="A597" s="71">
        <v>321309</v>
      </c>
      <c r="B597" s="71">
        <v>2007</v>
      </c>
      <c r="C597" s="71" t="s">
        <v>1579</v>
      </c>
      <c r="D597" s="71" t="s">
        <v>476</v>
      </c>
      <c r="E597" s="71" t="s">
        <v>475</v>
      </c>
      <c r="F597" s="66" t="s">
        <v>307</v>
      </c>
      <c r="G597" s="70" t="s">
        <v>1411</v>
      </c>
      <c r="H597" s="70" t="s">
        <v>1410</v>
      </c>
      <c r="I597" s="363">
        <v>4</v>
      </c>
      <c r="J597" s="64"/>
      <c r="K597" s="64"/>
      <c r="L597" s="64"/>
    </row>
    <row r="598" spans="1:12" x14ac:dyDescent="0.25">
      <c r="A598" s="71">
        <v>322000</v>
      </c>
      <c r="B598" s="71">
        <v>2007</v>
      </c>
      <c r="C598" s="71" t="s">
        <v>1578</v>
      </c>
      <c r="D598" s="71" t="s">
        <v>476</v>
      </c>
      <c r="E598" s="71" t="s">
        <v>475</v>
      </c>
      <c r="F598" s="66" t="s">
        <v>307</v>
      </c>
      <c r="G598" s="70" t="s">
        <v>1411</v>
      </c>
      <c r="H598" s="70" t="s">
        <v>1410</v>
      </c>
      <c r="I598" s="363">
        <v>4</v>
      </c>
      <c r="J598" s="64"/>
      <c r="K598" s="64"/>
      <c r="L598" s="64"/>
    </row>
    <row r="599" spans="1:12" x14ac:dyDescent="0.25">
      <c r="A599" s="71">
        <v>323000</v>
      </c>
      <c r="B599" s="71">
        <v>2007</v>
      </c>
      <c r="C599" s="71" t="s">
        <v>1577</v>
      </c>
      <c r="D599" s="71" t="s">
        <v>476</v>
      </c>
      <c r="E599" s="71" t="s">
        <v>475</v>
      </c>
      <c r="F599" s="66" t="s">
        <v>307</v>
      </c>
      <c r="G599" s="70" t="s">
        <v>1411</v>
      </c>
      <c r="H599" s="70" t="s">
        <v>1410</v>
      </c>
      <c r="I599" s="363">
        <v>4</v>
      </c>
      <c r="J599" s="64"/>
      <c r="K599" s="64"/>
      <c r="L599" s="64"/>
    </row>
    <row r="600" spans="1:12" x14ac:dyDescent="0.25">
      <c r="A600" s="71">
        <v>324000</v>
      </c>
      <c r="B600" s="71">
        <v>2007</v>
      </c>
      <c r="C600" s="71" t="s">
        <v>1576</v>
      </c>
      <c r="D600" s="71" t="s">
        <v>476</v>
      </c>
      <c r="E600" s="71" t="s">
        <v>475</v>
      </c>
      <c r="F600" s="66" t="s">
        <v>307</v>
      </c>
      <c r="G600" s="70" t="s">
        <v>1411</v>
      </c>
      <c r="H600" s="70" t="s">
        <v>1410</v>
      </c>
      <c r="I600" s="363">
        <v>4</v>
      </c>
      <c r="J600" s="64"/>
      <c r="K600" s="64"/>
      <c r="L600" s="64"/>
    </row>
    <row r="601" spans="1:12" x14ac:dyDescent="0.25">
      <c r="A601" s="71">
        <v>324010</v>
      </c>
      <c r="B601" s="71">
        <v>2007</v>
      </c>
      <c r="C601" s="71" t="s">
        <v>1575</v>
      </c>
      <c r="D601" s="71" t="s">
        <v>476</v>
      </c>
      <c r="E601" s="71" t="s">
        <v>475</v>
      </c>
      <c r="F601" s="66" t="s">
        <v>307</v>
      </c>
      <c r="G601" s="70" t="s">
        <v>1411</v>
      </c>
      <c r="H601" s="70" t="s">
        <v>1410</v>
      </c>
      <c r="I601" s="363">
        <v>4</v>
      </c>
      <c r="J601" s="64"/>
      <c r="K601" s="64"/>
      <c r="L601" s="64"/>
    </row>
    <row r="602" spans="1:12" x14ac:dyDescent="0.25">
      <c r="A602" s="71">
        <v>324020</v>
      </c>
      <c r="B602" s="71">
        <v>2007</v>
      </c>
      <c r="C602" s="71" t="s">
        <v>1574</v>
      </c>
      <c r="D602" s="71" t="s">
        <v>476</v>
      </c>
      <c r="E602" s="71" t="s">
        <v>475</v>
      </c>
      <c r="F602" s="66" t="s">
        <v>307</v>
      </c>
      <c r="G602" s="70" t="s">
        <v>1411</v>
      </c>
      <c r="H602" s="70" t="s">
        <v>1410</v>
      </c>
      <c r="I602" s="363">
        <v>4</v>
      </c>
      <c r="J602" s="64"/>
      <c r="K602" s="64"/>
      <c r="L602" s="64"/>
    </row>
    <row r="603" spans="1:12" x14ac:dyDescent="0.25">
      <c r="A603" s="71">
        <v>325000</v>
      </c>
      <c r="B603" s="71">
        <v>2007</v>
      </c>
      <c r="C603" s="71" t="s">
        <v>1573</v>
      </c>
      <c r="D603" s="71" t="s">
        <v>476</v>
      </c>
      <c r="E603" s="71" t="s">
        <v>475</v>
      </c>
      <c r="F603" s="66" t="s">
        <v>307</v>
      </c>
      <c r="G603" s="70" t="s">
        <v>1411</v>
      </c>
      <c r="H603" s="70" t="s">
        <v>1410</v>
      </c>
      <c r="I603" s="363">
        <v>4</v>
      </c>
      <c r="J603" s="64"/>
      <c r="K603" s="64"/>
      <c r="L603" s="64"/>
    </row>
    <row r="604" spans="1:12" x14ac:dyDescent="0.25">
      <c r="A604" s="71">
        <v>325010</v>
      </c>
      <c r="B604" s="71">
        <v>2007</v>
      </c>
      <c r="C604" s="71" t="s">
        <v>1572</v>
      </c>
      <c r="D604" s="71" t="s">
        <v>476</v>
      </c>
      <c r="E604" s="71" t="s">
        <v>475</v>
      </c>
      <c r="F604" s="66" t="s">
        <v>307</v>
      </c>
      <c r="G604" s="70" t="s">
        <v>1411</v>
      </c>
      <c r="H604" s="70" t="s">
        <v>1410</v>
      </c>
      <c r="I604" s="363">
        <v>4</v>
      </c>
      <c r="J604" s="64"/>
      <c r="K604" s="64"/>
      <c r="L604" s="64"/>
    </row>
    <row r="605" spans="1:12" x14ac:dyDescent="0.25">
      <c r="A605" s="71">
        <v>325011</v>
      </c>
      <c r="B605" s="71">
        <v>2007</v>
      </c>
      <c r="C605" s="71" t="s">
        <v>1571</v>
      </c>
      <c r="D605" s="71" t="s">
        <v>476</v>
      </c>
      <c r="E605" s="71" t="s">
        <v>475</v>
      </c>
      <c r="F605" s="66" t="s">
        <v>307</v>
      </c>
      <c r="G605" s="70" t="s">
        <v>1411</v>
      </c>
      <c r="H605" s="70" t="s">
        <v>1410</v>
      </c>
      <c r="I605" s="363">
        <v>4</v>
      </c>
      <c r="J605" s="64"/>
      <c r="K605" s="64"/>
      <c r="L605" s="64"/>
    </row>
    <row r="606" spans="1:12" x14ac:dyDescent="0.25">
      <c r="A606" s="71">
        <v>325012</v>
      </c>
      <c r="B606" s="71">
        <v>2007</v>
      </c>
      <c r="C606" s="71" t="s">
        <v>1570</v>
      </c>
      <c r="D606" s="71" t="s">
        <v>476</v>
      </c>
      <c r="E606" s="71" t="s">
        <v>475</v>
      </c>
      <c r="F606" s="66" t="s">
        <v>307</v>
      </c>
      <c r="G606" s="70" t="s">
        <v>1411</v>
      </c>
      <c r="H606" s="70" t="s">
        <v>1410</v>
      </c>
      <c r="I606" s="363">
        <v>4</v>
      </c>
      <c r="J606" s="64"/>
      <c r="K606" s="64"/>
      <c r="L606" s="64"/>
    </row>
    <row r="607" spans="1:12" x14ac:dyDescent="0.25">
      <c r="A607" s="71">
        <v>325013</v>
      </c>
      <c r="B607" s="71">
        <v>2007</v>
      </c>
      <c r="C607" s="71" t="s">
        <v>1569</v>
      </c>
      <c r="D607" s="71" t="s">
        <v>476</v>
      </c>
      <c r="E607" s="71" t="s">
        <v>475</v>
      </c>
      <c r="F607" s="66" t="s">
        <v>307</v>
      </c>
      <c r="G607" s="70" t="s">
        <v>1411</v>
      </c>
      <c r="H607" s="70" t="s">
        <v>1410</v>
      </c>
      <c r="I607" s="363">
        <v>4</v>
      </c>
      <c r="J607" s="64"/>
      <c r="K607" s="64"/>
      <c r="L607" s="64"/>
    </row>
    <row r="608" spans="1:12" x14ac:dyDescent="0.25">
      <c r="A608" s="71">
        <v>325014</v>
      </c>
      <c r="B608" s="71">
        <v>2007</v>
      </c>
      <c r="C608" s="71" t="s">
        <v>1568</v>
      </c>
      <c r="D608" s="71" t="s">
        <v>476</v>
      </c>
      <c r="E608" s="71" t="s">
        <v>475</v>
      </c>
      <c r="F608" s="66" t="s">
        <v>307</v>
      </c>
      <c r="G608" s="70" t="s">
        <v>1411</v>
      </c>
      <c r="H608" s="70" t="s">
        <v>1410</v>
      </c>
      <c r="I608" s="363">
        <v>4</v>
      </c>
      <c r="J608" s="64"/>
      <c r="K608" s="64"/>
      <c r="L608" s="64"/>
    </row>
    <row r="609" spans="1:12" x14ac:dyDescent="0.25">
      <c r="A609" s="71">
        <v>325020</v>
      </c>
      <c r="B609" s="71">
        <v>2007</v>
      </c>
      <c r="C609" s="71" t="s">
        <v>1567</v>
      </c>
      <c r="D609" s="71" t="s">
        <v>476</v>
      </c>
      <c r="E609" s="71" t="s">
        <v>475</v>
      </c>
      <c r="F609" s="66" t="s">
        <v>307</v>
      </c>
      <c r="G609" s="70" t="s">
        <v>1411</v>
      </c>
      <c r="H609" s="70" t="s">
        <v>1410</v>
      </c>
      <c r="I609" s="363">
        <v>4</v>
      </c>
      <c r="J609" s="64"/>
      <c r="K609" s="64"/>
      <c r="L609" s="64"/>
    </row>
    <row r="610" spans="1:12" x14ac:dyDescent="0.25">
      <c r="A610" s="71">
        <v>325030</v>
      </c>
      <c r="B610" s="71">
        <v>2007</v>
      </c>
      <c r="C610" s="71" t="s">
        <v>1566</v>
      </c>
      <c r="D610" s="71" t="s">
        <v>476</v>
      </c>
      <c r="E610" s="71" t="s">
        <v>475</v>
      </c>
      <c r="F610" s="66" t="s">
        <v>307</v>
      </c>
      <c r="G610" s="70" t="s">
        <v>1411</v>
      </c>
      <c r="H610" s="70" t="s">
        <v>1410</v>
      </c>
      <c r="I610" s="363">
        <v>4</v>
      </c>
      <c r="J610" s="64"/>
      <c r="K610" s="64"/>
      <c r="L610" s="64"/>
    </row>
    <row r="611" spans="1:12" x14ac:dyDescent="0.25">
      <c r="A611" s="71">
        <v>325040</v>
      </c>
      <c r="B611" s="71">
        <v>2007</v>
      </c>
      <c r="C611" s="71" t="s">
        <v>1565</v>
      </c>
      <c r="D611" s="71" t="s">
        <v>476</v>
      </c>
      <c r="E611" s="71" t="s">
        <v>475</v>
      </c>
      <c r="F611" s="66" t="s">
        <v>307</v>
      </c>
      <c r="G611" s="70" t="s">
        <v>1411</v>
      </c>
      <c r="H611" s="70" t="s">
        <v>1410</v>
      </c>
      <c r="I611" s="363">
        <v>4</v>
      </c>
      <c r="J611" s="64"/>
      <c r="K611" s="64"/>
      <c r="L611" s="64"/>
    </row>
    <row r="612" spans="1:12" x14ac:dyDescent="0.25">
      <c r="A612" s="71">
        <v>325050</v>
      </c>
      <c r="B612" s="71">
        <v>2007</v>
      </c>
      <c r="C612" s="71" t="s">
        <v>1564</v>
      </c>
      <c r="D612" s="71" t="s">
        <v>476</v>
      </c>
      <c r="E612" s="71" t="s">
        <v>475</v>
      </c>
      <c r="F612" s="66" t="s">
        <v>307</v>
      </c>
      <c r="G612" s="70" t="s">
        <v>1411</v>
      </c>
      <c r="H612" s="70" t="s">
        <v>1410</v>
      </c>
      <c r="I612" s="363">
        <v>4</v>
      </c>
      <c r="J612" s="64"/>
      <c r="K612" s="64"/>
      <c r="L612" s="64"/>
    </row>
    <row r="613" spans="1:12" x14ac:dyDescent="0.25">
      <c r="A613" s="71">
        <v>329000</v>
      </c>
      <c r="B613" s="71">
        <v>2007</v>
      </c>
      <c r="C613" s="71" t="s">
        <v>1563</v>
      </c>
      <c r="D613" s="71" t="s">
        <v>476</v>
      </c>
      <c r="E613" s="71" t="s">
        <v>475</v>
      </c>
      <c r="F613" s="66" t="s">
        <v>307</v>
      </c>
      <c r="G613" s="70" t="s">
        <v>1411</v>
      </c>
      <c r="H613" s="70" t="s">
        <v>1410</v>
      </c>
      <c r="I613" s="363">
        <v>4</v>
      </c>
      <c r="J613" s="64"/>
      <c r="K613" s="64"/>
      <c r="L613" s="64"/>
    </row>
    <row r="614" spans="1:12" x14ac:dyDescent="0.25">
      <c r="A614" s="71">
        <v>329100</v>
      </c>
      <c r="B614" s="71">
        <v>2007</v>
      </c>
      <c r="C614" s="71" t="s">
        <v>1562</v>
      </c>
      <c r="D614" s="71" t="s">
        <v>476</v>
      </c>
      <c r="E614" s="71" t="s">
        <v>475</v>
      </c>
      <c r="F614" s="66" t="s">
        <v>307</v>
      </c>
      <c r="G614" s="70" t="s">
        <v>1411</v>
      </c>
      <c r="H614" s="70" t="s">
        <v>1410</v>
      </c>
      <c r="I614" s="363">
        <v>4</v>
      </c>
      <c r="J614" s="64"/>
      <c r="K614" s="64"/>
      <c r="L614" s="64"/>
    </row>
    <row r="615" spans="1:12" x14ac:dyDescent="0.25">
      <c r="A615" s="71">
        <v>329900</v>
      </c>
      <c r="B615" s="71">
        <v>2007</v>
      </c>
      <c r="C615" s="71" t="s">
        <v>1561</v>
      </c>
      <c r="D615" s="71" t="s">
        <v>476</v>
      </c>
      <c r="E615" s="71" t="s">
        <v>475</v>
      </c>
      <c r="F615" s="66" t="s">
        <v>307</v>
      </c>
      <c r="G615" s="70" t="s">
        <v>1411</v>
      </c>
      <c r="H615" s="70" t="s">
        <v>1410</v>
      </c>
      <c r="I615" s="363">
        <v>4</v>
      </c>
      <c r="J615" s="64"/>
      <c r="K615" s="64"/>
      <c r="L615" s="64"/>
    </row>
    <row r="616" spans="1:12" x14ac:dyDescent="0.25">
      <c r="A616" s="71">
        <v>329910</v>
      </c>
      <c r="B616" s="71">
        <v>2007</v>
      </c>
      <c r="C616" s="71" t="s">
        <v>1560</v>
      </c>
      <c r="D616" s="71" t="s">
        <v>476</v>
      </c>
      <c r="E616" s="71" t="s">
        <v>475</v>
      </c>
      <c r="F616" s="66" t="s">
        <v>307</v>
      </c>
      <c r="G616" s="70" t="s">
        <v>1411</v>
      </c>
      <c r="H616" s="70" t="s">
        <v>1410</v>
      </c>
      <c r="I616" s="363">
        <v>4</v>
      </c>
      <c r="J616" s="64"/>
      <c r="K616" s="64"/>
      <c r="L616" s="64"/>
    </row>
    <row r="617" spans="1:12" x14ac:dyDescent="0.25">
      <c r="A617" s="71">
        <v>329911</v>
      </c>
      <c r="B617" s="71">
        <v>2007</v>
      </c>
      <c r="C617" s="71" t="s">
        <v>1559</v>
      </c>
      <c r="D617" s="71" t="s">
        <v>476</v>
      </c>
      <c r="E617" s="71" t="s">
        <v>475</v>
      </c>
      <c r="F617" s="66" t="s">
        <v>307</v>
      </c>
      <c r="G617" s="70" t="s">
        <v>1411</v>
      </c>
      <c r="H617" s="70" t="s">
        <v>1410</v>
      </c>
      <c r="I617" s="363">
        <v>4</v>
      </c>
      <c r="J617" s="64"/>
      <c r="K617" s="64"/>
      <c r="L617" s="64"/>
    </row>
    <row r="618" spans="1:12" x14ac:dyDescent="0.25">
      <c r="A618" s="71">
        <v>329912</v>
      </c>
      <c r="B618" s="71">
        <v>2007</v>
      </c>
      <c r="C618" s="71" t="s">
        <v>1558</v>
      </c>
      <c r="D618" s="71" t="s">
        <v>476</v>
      </c>
      <c r="E618" s="71" t="s">
        <v>475</v>
      </c>
      <c r="F618" s="66" t="s">
        <v>307</v>
      </c>
      <c r="G618" s="70" t="s">
        <v>1411</v>
      </c>
      <c r="H618" s="70" t="s">
        <v>1410</v>
      </c>
      <c r="I618" s="363">
        <v>4</v>
      </c>
      <c r="J618" s="64"/>
      <c r="K618" s="64"/>
      <c r="L618" s="64"/>
    </row>
    <row r="619" spans="1:12" x14ac:dyDescent="0.25">
      <c r="A619" s="71">
        <v>329913</v>
      </c>
      <c r="B619" s="71">
        <v>2007</v>
      </c>
      <c r="C619" s="71" t="s">
        <v>1557</v>
      </c>
      <c r="D619" s="71" t="s">
        <v>476</v>
      </c>
      <c r="E619" s="71" t="s">
        <v>475</v>
      </c>
      <c r="F619" s="66" t="s">
        <v>307</v>
      </c>
      <c r="G619" s="70" t="s">
        <v>1411</v>
      </c>
      <c r="H619" s="70" t="s">
        <v>1410</v>
      </c>
      <c r="I619" s="363">
        <v>4</v>
      </c>
      <c r="J619" s="64"/>
      <c r="K619" s="64"/>
      <c r="L619" s="64"/>
    </row>
    <row r="620" spans="1:12" x14ac:dyDescent="0.25">
      <c r="A620" s="71">
        <v>329914</v>
      </c>
      <c r="B620" s="71">
        <v>2007</v>
      </c>
      <c r="C620" s="71" t="s">
        <v>1556</v>
      </c>
      <c r="D620" s="71" t="s">
        <v>476</v>
      </c>
      <c r="E620" s="71" t="s">
        <v>475</v>
      </c>
      <c r="F620" s="66" t="s">
        <v>307</v>
      </c>
      <c r="G620" s="70" t="s">
        <v>1411</v>
      </c>
      <c r="H620" s="70" t="s">
        <v>1410</v>
      </c>
      <c r="I620" s="363">
        <v>4</v>
      </c>
      <c r="J620" s="64"/>
      <c r="K620" s="64"/>
      <c r="L620" s="64"/>
    </row>
    <row r="621" spans="1:12" x14ac:dyDescent="0.25">
      <c r="A621" s="71">
        <v>329919</v>
      </c>
      <c r="B621" s="71">
        <v>2007</v>
      </c>
      <c r="C621" s="71" t="s">
        <v>1555</v>
      </c>
      <c r="D621" s="71" t="s">
        <v>476</v>
      </c>
      <c r="E621" s="71" t="s">
        <v>475</v>
      </c>
      <c r="F621" s="66" t="s">
        <v>307</v>
      </c>
      <c r="G621" s="70" t="s">
        <v>1411</v>
      </c>
      <c r="H621" s="70" t="s">
        <v>1410</v>
      </c>
      <c r="I621" s="363">
        <v>4</v>
      </c>
      <c r="J621" s="64"/>
      <c r="K621" s="64"/>
      <c r="L621" s="64"/>
    </row>
    <row r="622" spans="1:12" x14ac:dyDescent="0.25">
      <c r="A622" s="71">
        <v>329920</v>
      </c>
      <c r="B622" s="71">
        <v>2007</v>
      </c>
      <c r="C622" s="71" t="s">
        <v>1554</v>
      </c>
      <c r="D622" s="71" t="s">
        <v>476</v>
      </c>
      <c r="E622" s="71" t="s">
        <v>475</v>
      </c>
      <c r="F622" s="66" t="s">
        <v>307</v>
      </c>
      <c r="G622" s="70" t="s">
        <v>1411</v>
      </c>
      <c r="H622" s="70" t="s">
        <v>1410</v>
      </c>
      <c r="I622" s="363">
        <v>4</v>
      </c>
      <c r="J622" s="64"/>
      <c r="K622" s="64"/>
      <c r="L622" s="64"/>
    </row>
    <row r="623" spans="1:12" x14ac:dyDescent="0.25">
      <c r="A623" s="71">
        <v>329930</v>
      </c>
      <c r="B623" s="71">
        <v>2007</v>
      </c>
      <c r="C623" s="71" t="s">
        <v>1553</v>
      </c>
      <c r="D623" s="71" t="s">
        <v>476</v>
      </c>
      <c r="E623" s="71" t="s">
        <v>475</v>
      </c>
      <c r="F623" s="66" t="s">
        <v>307</v>
      </c>
      <c r="G623" s="70" t="s">
        <v>1411</v>
      </c>
      <c r="H623" s="70" t="s">
        <v>1410</v>
      </c>
      <c r="I623" s="363">
        <v>4</v>
      </c>
      <c r="J623" s="64"/>
      <c r="K623" s="64"/>
      <c r="L623" s="64"/>
    </row>
    <row r="624" spans="1:12" x14ac:dyDescent="0.25">
      <c r="A624" s="71">
        <v>329940</v>
      </c>
      <c r="B624" s="71">
        <v>2007</v>
      </c>
      <c r="C624" s="71" t="s">
        <v>1552</v>
      </c>
      <c r="D624" s="71" t="s">
        <v>476</v>
      </c>
      <c r="E624" s="71" t="s">
        <v>475</v>
      </c>
      <c r="F624" s="66" t="s">
        <v>307</v>
      </c>
      <c r="G624" s="70" t="s">
        <v>1411</v>
      </c>
      <c r="H624" s="70" t="s">
        <v>1410</v>
      </c>
      <c r="I624" s="363">
        <v>4</v>
      </c>
      <c r="J624" s="64"/>
      <c r="K624" s="64"/>
      <c r="L624" s="64"/>
    </row>
    <row r="625" spans="1:12" x14ac:dyDescent="0.25">
      <c r="A625" s="71">
        <v>329990</v>
      </c>
      <c r="B625" s="71">
        <v>2007</v>
      </c>
      <c r="C625" s="71" t="s">
        <v>1551</v>
      </c>
      <c r="D625" s="71" t="s">
        <v>476</v>
      </c>
      <c r="E625" s="71" t="s">
        <v>475</v>
      </c>
      <c r="F625" s="66" t="s">
        <v>307</v>
      </c>
      <c r="G625" s="70" t="s">
        <v>1411</v>
      </c>
      <c r="H625" s="70" t="s">
        <v>1410</v>
      </c>
      <c r="I625" s="363">
        <v>4</v>
      </c>
      <c r="J625" s="64"/>
      <c r="K625" s="64"/>
      <c r="L625" s="64"/>
    </row>
    <row r="626" spans="1:12" x14ac:dyDescent="0.25">
      <c r="A626" s="71">
        <v>330000</v>
      </c>
      <c r="B626" s="71">
        <v>2007</v>
      </c>
      <c r="C626" s="71" t="s">
        <v>1550</v>
      </c>
      <c r="D626" s="71" t="s">
        <v>476</v>
      </c>
      <c r="E626" s="71" t="s">
        <v>475</v>
      </c>
      <c r="F626" s="66" t="s">
        <v>307</v>
      </c>
      <c r="G626" s="70" t="s">
        <v>1411</v>
      </c>
      <c r="H626" s="70" t="s">
        <v>1410</v>
      </c>
      <c r="I626" s="363">
        <v>4</v>
      </c>
      <c r="J626" s="64"/>
      <c r="K626" s="64"/>
      <c r="L626" s="64"/>
    </row>
    <row r="627" spans="1:12" x14ac:dyDescent="0.25">
      <c r="A627" s="71">
        <v>331000</v>
      </c>
      <c r="B627" s="71">
        <v>2007</v>
      </c>
      <c r="C627" s="71" t="s">
        <v>1549</v>
      </c>
      <c r="D627" s="71" t="s">
        <v>476</v>
      </c>
      <c r="E627" s="71" t="s">
        <v>475</v>
      </c>
      <c r="F627" s="66" t="s">
        <v>307</v>
      </c>
      <c r="G627" s="70" t="s">
        <v>1411</v>
      </c>
      <c r="H627" s="70" t="s">
        <v>1410</v>
      </c>
      <c r="I627" s="363">
        <v>4</v>
      </c>
      <c r="J627" s="64"/>
      <c r="K627" s="64"/>
      <c r="L627" s="64"/>
    </row>
    <row r="628" spans="1:12" x14ac:dyDescent="0.25">
      <c r="A628" s="71">
        <v>331100</v>
      </c>
      <c r="B628" s="71">
        <v>2007</v>
      </c>
      <c r="C628" s="71" t="s">
        <v>1548</v>
      </c>
      <c r="D628" s="71" t="s">
        <v>476</v>
      </c>
      <c r="E628" s="71" t="s">
        <v>475</v>
      </c>
      <c r="F628" s="66" t="s">
        <v>307</v>
      </c>
      <c r="G628" s="70" t="s">
        <v>1411</v>
      </c>
      <c r="H628" s="70" t="s">
        <v>1410</v>
      </c>
      <c r="I628" s="363">
        <v>4</v>
      </c>
      <c r="J628" s="64"/>
      <c r="K628" s="64"/>
      <c r="L628" s="64"/>
    </row>
    <row r="629" spans="1:12" x14ac:dyDescent="0.25">
      <c r="A629" s="71">
        <v>331101</v>
      </c>
      <c r="B629" s="71">
        <v>2007</v>
      </c>
      <c r="C629" s="71" t="s">
        <v>1547</v>
      </c>
      <c r="D629" s="71" t="s">
        <v>476</v>
      </c>
      <c r="E629" s="71" t="s">
        <v>475</v>
      </c>
      <c r="F629" s="66" t="s">
        <v>307</v>
      </c>
      <c r="G629" s="70" t="s">
        <v>1411</v>
      </c>
      <c r="H629" s="70" t="s">
        <v>1410</v>
      </c>
      <c r="I629" s="363">
        <v>4</v>
      </c>
      <c r="J629" s="64"/>
      <c r="K629" s="64"/>
      <c r="L629" s="64"/>
    </row>
    <row r="630" spans="1:12" x14ac:dyDescent="0.25">
      <c r="A630" s="71">
        <v>331102</v>
      </c>
      <c r="B630" s="71">
        <v>2007</v>
      </c>
      <c r="C630" s="71" t="s">
        <v>1546</v>
      </c>
      <c r="D630" s="71" t="s">
        <v>476</v>
      </c>
      <c r="E630" s="71" t="s">
        <v>475</v>
      </c>
      <c r="F630" s="66" t="s">
        <v>307</v>
      </c>
      <c r="G630" s="70" t="s">
        <v>1411</v>
      </c>
      <c r="H630" s="70" t="s">
        <v>1410</v>
      </c>
      <c r="I630" s="363">
        <v>4</v>
      </c>
      <c r="J630" s="64"/>
      <c r="K630" s="64"/>
      <c r="L630" s="64"/>
    </row>
    <row r="631" spans="1:12" x14ac:dyDescent="0.25">
      <c r="A631" s="71">
        <v>331103</v>
      </c>
      <c r="B631" s="71">
        <v>2007</v>
      </c>
      <c r="C631" s="71" t="s">
        <v>1545</v>
      </c>
      <c r="D631" s="71" t="s">
        <v>476</v>
      </c>
      <c r="E631" s="71" t="s">
        <v>475</v>
      </c>
      <c r="F631" s="66" t="s">
        <v>307</v>
      </c>
      <c r="G631" s="70" t="s">
        <v>1411</v>
      </c>
      <c r="H631" s="70" t="s">
        <v>1410</v>
      </c>
      <c r="I631" s="363">
        <v>4</v>
      </c>
      <c r="J631" s="64"/>
      <c r="K631" s="64"/>
      <c r="L631" s="64"/>
    </row>
    <row r="632" spans="1:12" x14ac:dyDescent="0.25">
      <c r="A632" s="71">
        <v>331104</v>
      </c>
      <c r="B632" s="71">
        <v>2007</v>
      </c>
      <c r="C632" s="71" t="s">
        <v>1544</v>
      </c>
      <c r="D632" s="71" t="s">
        <v>476</v>
      </c>
      <c r="E632" s="71" t="s">
        <v>475</v>
      </c>
      <c r="F632" s="66" t="s">
        <v>307</v>
      </c>
      <c r="G632" s="70" t="s">
        <v>1411</v>
      </c>
      <c r="H632" s="70" t="s">
        <v>1410</v>
      </c>
      <c r="I632" s="363">
        <v>4</v>
      </c>
      <c r="J632" s="64"/>
      <c r="K632" s="64"/>
      <c r="L632" s="64"/>
    </row>
    <row r="633" spans="1:12" x14ac:dyDescent="0.25">
      <c r="A633" s="71">
        <v>331105</v>
      </c>
      <c r="B633" s="71">
        <v>2007</v>
      </c>
      <c r="C633" s="71" t="s">
        <v>1543</v>
      </c>
      <c r="D633" s="71" t="s">
        <v>476</v>
      </c>
      <c r="E633" s="71" t="s">
        <v>475</v>
      </c>
      <c r="F633" s="66" t="s">
        <v>307</v>
      </c>
      <c r="G633" s="70" t="s">
        <v>1411</v>
      </c>
      <c r="H633" s="70" t="s">
        <v>1410</v>
      </c>
      <c r="I633" s="363">
        <v>4</v>
      </c>
      <c r="J633" s="64"/>
      <c r="K633" s="64"/>
      <c r="L633" s="64"/>
    </row>
    <row r="634" spans="1:12" x14ac:dyDescent="0.25">
      <c r="A634" s="71">
        <v>331106</v>
      </c>
      <c r="B634" s="71">
        <v>2007</v>
      </c>
      <c r="C634" s="71" t="s">
        <v>1542</v>
      </c>
      <c r="D634" s="71" t="s">
        <v>476</v>
      </c>
      <c r="E634" s="71" t="s">
        <v>475</v>
      </c>
      <c r="F634" s="66" t="s">
        <v>307</v>
      </c>
      <c r="G634" s="70" t="s">
        <v>1411</v>
      </c>
      <c r="H634" s="70" t="s">
        <v>1410</v>
      </c>
      <c r="I634" s="363">
        <v>4</v>
      </c>
      <c r="J634" s="64"/>
      <c r="K634" s="64"/>
      <c r="L634" s="64"/>
    </row>
    <row r="635" spans="1:12" x14ac:dyDescent="0.25">
      <c r="A635" s="71">
        <v>331107</v>
      </c>
      <c r="B635" s="71">
        <v>2007</v>
      </c>
      <c r="C635" s="71" t="s">
        <v>1541</v>
      </c>
      <c r="D635" s="71" t="s">
        <v>476</v>
      </c>
      <c r="E635" s="71" t="s">
        <v>475</v>
      </c>
      <c r="F635" s="66" t="s">
        <v>307</v>
      </c>
      <c r="G635" s="70" t="s">
        <v>1411</v>
      </c>
      <c r="H635" s="70" t="s">
        <v>1410</v>
      </c>
      <c r="I635" s="363">
        <v>4</v>
      </c>
      <c r="J635" s="64"/>
      <c r="K635" s="64"/>
      <c r="L635" s="64"/>
    </row>
    <row r="636" spans="1:12" x14ac:dyDescent="0.25">
      <c r="A636" s="71">
        <v>331109</v>
      </c>
      <c r="B636" s="71">
        <v>2007</v>
      </c>
      <c r="C636" s="71" t="s">
        <v>1540</v>
      </c>
      <c r="D636" s="71" t="s">
        <v>476</v>
      </c>
      <c r="E636" s="71" t="s">
        <v>475</v>
      </c>
      <c r="F636" s="66" t="s">
        <v>307</v>
      </c>
      <c r="G636" s="70" t="s">
        <v>1411</v>
      </c>
      <c r="H636" s="70" t="s">
        <v>1410</v>
      </c>
      <c r="I636" s="363">
        <v>4</v>
      </c>
      <c r="J636" s="64"/>
      <c r="K636" s="64"/>
      <c r="L636" s="64"/>
    </row>
    <row r="637" spans="1:12" x14ac:dyDescent="0.25">
      <c r="A637" s="71">
        <v>331200</v>
      </c>
      <c r="B637" s="71">
        <v>2007</v>
      </c>
      <c r="C637" s="71" t="s">
        <v>1539</v>
      </c>
      <c r="D637" s="71" t="s">
        <v>476</v>
      </c>
      <c r="E637" s="71" t="s">
        <v>475</v>
      </c>
      <c r="F637" s="66" t="s">
        <v>307</v>
      </c>
      <c r="G637" s="70" t="s">
        <v>1411</v>
      </c>
      <c r="H637" s="70" t="s">
        <v>1410</v>
      </c>
      <c r="I637" s="363">
        <v>4</v>
      </c>
      <c r="J637" s="64"/>
      <c r="K637" s="64"/>
      <c r="L637" s="64"/>
    </row>
    <row r="638" spans="1:12" x14ac:dyDescent="0.25">
      <c r="A638" s="71">
        <v>331210</v>
      </c>
      <c r="B638" s="71">
        <v>2007</v>
      </c>
      <c r="C638" s="71" t="s">
        <v>1538</v>
      </c>
      <c r="D638" s="71" t="s">
        <v>476</v>
      </c>
      <c r="E638" s="71" t="s">
        <v>475</v>
      </c>
      <c r="F638" s="66" t="s">
        <v>307</v>
      </c>
      <c r="G638" s="70" t="s">
        <v>1411</v>
      </c>
      <c r="H638" s="70" t="s">
        <v>1410</v>
      </c>
      <c r="I638" s="363">
        <v>4</v>
      </c>
      <c r="J638" s="64"/>
      <c r="K638" s="64"/>
      <c r="L638" s="64"/>
    </row>
    <row r="639" spans="1:12" x14ac:dyDescent="0.25">
      <c r="A639" s="71">
        <v>331220</v>
      </c>
      <c r="B639" s="71">
        <v>2007</v>
      </c>
      <c r="C639" s="71" t="s">
        <v>1537</v>
      </c>
      <c r="D639" s="71" t="s">
        <v>476</v>
      </c>
      <c r="E639" s="71" t="s">
        <v>475</v>
      </c>
      <c r="F639" s="66" t="s">
        <v>307</v>
      </c>
      <c r="G639" s="70" t="s">
        <v>1411</v>
      </c>
      <c r="H639" s="70" t="s">
        <v>1410</v>
      </c>
      <c r="I639" s="363">
        <v>4</v>
      </c>
      <c r="J639" s="64"/>
      <c r="K639" s="64"/>
      <c r="L639" s="64"/>
    </row>
    <row r="640" spans="1:12" x14ac:dyDescent="0.25">
      <c r="A640" s="71">
        <v>331230</v>
      </c>
      <c r="B640" s="71">
        <v>2007</v>
      </c>
      <c r="C640" s="71" t="s">
        <v>1536</v>
      </c>
      <c r="D640" s="71" t="s">
        <v>476</v>
      </c>
      <c r="E640" s="71" t="s">
        <v>475</v>
      </c>
      <c r="F640" s="66" t="s">
        <v>307</v>
      </c>
      <c r="G640" s="70" t="s">
        <v>1411</v>
      </c>
      <c r="H640" s="70" t="s">
        <v>1410</v>
      </c>
      <c r="I640" s="363">
        <v>4</v>
      </c>
      <c r="J640" s="64"/>
      <c r="K640" s="64"/>
      <c r="L640" s="64"/>
    </row>
    <row r="641" spans="1:12" x14ac:dyDescent="0.25">
      <c r="A641" s="71">
        <v>331240</v>
      </c>
      <c r="B641" s="71">
        <v>2007</v>
      </c>
      <c r="C641" s="71" t="s">
        <v>1535</v>
      </c>
      <c r="D641" s="71" t="s">
        <v>476</v>
      </c>
      <c r="E641" s="71" t="s">
        <v>475</v>
      </c>
      <c r="F641" s="66" t="s">
        <v>307</v>
      </c>
      <c r="G641" s="70" t="s">
        <v>1411</v>
      </c>
      <c r="H641" s="70" t="s">
        <v>1410</v>
      </c>
      <c r="I641" s="363">
        <v>4</v>
      </c>
      <c r="J641" s="64"/>
      <c r="K641" s="64"/>
      <c r="L641" s="64"/>
    </row>
    <row r="642" spans="1:12" x14ac:dyDescent="0.25">
      <c r="A642" s="71">
        <v>331250</v>
      </c>
      <c r="B642" s="71">
        <v>2007</v>
      </c>
      <c r="C642" s="71" t="s">
        <v>1534</v>
      </c>
      <c r="D642" s="71" t="s">
        <v>476</v>
      </c>
      <c r="E642" s="71" t="s">
        <v>475</v>
      </c>
      <c r="F642" s="66" t="s">
        <v>307</v>
      </c>
      <c r="G642" s="70" t="s">
        <v>1411</v>
      </c>
      <c r="H642" s="70" t="s">
        <v>1410</v>
      </c>
      <c r="I642" s="363">
        <v>4</v>
      </c>
      <c r="J642" s="64"/>
      <c r="K642" s="64"/>
      <c r="L642" s="64"/>
    </row>
    <row r="643" spans="1:12" x14ac:dyDescent="0.25">
      <c r="A643" s="71">
        <v>331251</v>
      </c>
      <c r="B643" s="71">
        <v>2007</v>
      </c>
      <c r="C643" s="71" t="s">
        <v>1533</v>
      </c>
      <c r="D643" s="71" t="s">
        <v>476</v>
      </c>
      <c r="E643" s="71" t="s">
        <v>475</v>
      </c>
      <c r="F643" s="66" t="s">
        <v>307</v>
      </c>
      <c r="G643" s="70" t="s">
        <v>1411</v>
      </c>
      <c r="H643" s="70" t="s">
        <v>1410</v>
      </c>
      <c r="I643" s="363">
        <v>4</v>
      </c>
      <c r="J643" s="64"/>
      <c r="K643" s="64"/>
      <c r="L643" s="64"/>
    </row>
    <row r="644" spans="1:12" x14ac:dyDescent="0.25">
      <c r="A644" s="71">
        <v>331252</v>
      </c>
      <c r="B644" s="71">
        <v>2007</v>
      </c>
      <c r="C644" s="71" t="s">
        <v>1532</v>
      </c>
      <c r="D644" s="71" t="s">
        <v>476</v>
      </c>
      <c r="E644" s="71" t="s">
        <v>475</v>
      </c>
      <c r="F644" s="66" t="s">
        <v>307</v>
      </c>
      <c r="G644" s="70" t="s">
        <v>1411</v>
      </c>
      <c r="H644" s="70" t="s">
        <v>1410</v>
      </c>
      <c r="I644" s="363">
        <v>4</v>
      </c>
      <c r="J644" s="64"/>
      <c r="K644" s="64"/>
      <c r="L644" s="64"/>
    </row>
    <row r="645" spans="1:12" x14ac:dyDescent="0.25">
      <c r="A645" s="71">
        <v>331253</v>
      </c>
      <c r="B645" s="71">
        <v>2007</v>
      </c>
      <c r="C645" s="71" t="s">
        <v>1531</v>
      </c>
      <c r="D645" s="71" t="s">
        <v>476</v>
      </c>
      <c r="E645" s="71" t="s">
        <v>475</v>
      </c>
      <c r="F645" s="66" t="s">
        <v>307</v>
      </c>
      <c r="G645" s="70" t="s">
        <v>1411</v>
      </c>
      <c r="H645" s="70" t="s">
        <v>1410</v>
      </c>
      <c r="I645" s="363">
        <v>4</v>
      </c>
      <c r="J645" s="64"/>
      <c r="K645" s="64"/>
      <c r="L645" s="64"/>
    </row>
    <row r="646" spans="1:12" x14ac:dyDescent="0.25">
      <c r="A646" s="71">
        <v>331254</v>
      </c>
      <c r="B646" s="71">
        <v>2007</v>
      </c>
      <c r="C646" s="71" t="s">
        <v>1530</v>
      </c>
      <c r="D646" s="71" t="s">
        <v>476</v>
      </c>
      <c r="E646" s="71" t="s">
        <v>475</v>
      </c>
      <c r="F646" s="66" t="s">
        <v>307</v>
      </c>
      <c r="G646" s="70" t="s">
        <v>1411</v>
      </c>
      <c r="H646" s="70" t="s">
        <v>1410</v>
      </c>
      <c r="I646" s="363">
        <v>4</v>
      </c>
      <c r="J646" s="64"/>
      <c r="K646" s="64"/>
      <c r="L646" s="64"/>
    </row>
    <row r="647" spans="1:12" x14ac:dyDescent="0.25">
      <c r="A647" s="71">
        <v>331255</v>
      </c>
      <c r="B647" s="71">
        <v>2007</v>
      </c>
      <c r="C647" s="71" t="s">
        <v>1529</v>
      </c>
      <c r="D647" s="71" t="s">
        <v>476</v>
      </c>
      <c r="E647" s="71" t="s">
        <v>475</v>
      </c>
      <c r="F647" s="66" t="s">
        <v>307</v>
      </c>
      <c r="G647" s="70" t="s">
        <v>1411</v>
      </c>
      <c r="H647" s="70" t="s">
        <v>1410</v>
      </c>
      <c r="I647" s="363">
        <v>4</v>
      </c>
      <c r="J647" s="64"/>
      <c r="K647" s="64"/>
      <c r="L647" s="64"/>
    </row>
    <row r="648" spans="1:12" x14ac:dyDescent="0.25">
      <c r="A648" s="71">
        <v>331259</v>
      </c>
      <c r="B648" s="71">
        <v>2007</v>
      </c>
      <c r="C648" s="71" t="s">
        <v>1528</v>
      </c>
      <c r="D648" s="71" t="s">
        <v>476</v>
      </c>
      <c r="E648" s="71" t="s">
        <v>475</v>
      </c>
      <c r="F648" s="66" t="s">
        <v>307</v>
      </c>
      <c r="G648" s="70" t="s">
        <v>1411</v>
      </c>
      <c r="H648" s="70" t="s">
        <v>1410</v>
      </c>
      <c r="I648" s="363">
        <v>4</v>
      </c>
      <c r="J648" s="64"/>
      <c r="K648" s="64"/>
      <c r="L648" s="64"/>
    </row>
    <row r="649" spans="1:12" x14ac:dyDescent="0.25">
      <c r="A649" s="71">
        <v>331260</v>
      </c>
      <c r="B649" s="71">
        <v>2007</v>
      </c>
      <c r="C649" s="71" t="s">
        <v>1527</v>
      </c>
      <c r="D649" s="71" t="s">
        <v>476</v>
      </c>
      <c r="E649" s="71" t="s">
        <v>475</v>
      </c>
      <c r="F649" s="66" t="s">
        <v>307</v>
      </c>
      <c r="G649" s="70" t="s">
        <v>1411</v>
      </c>
      <c r="H649" s="70" t="s">
        <v>1410</v>
      </c>
      <c r="I649" s="363">
        <v>4</v>
      </c>
      <c r="J649" s="64"/>
      <c r="K649" s="64"/>
      <c r="L649" s="64"/>
    </row>
    <row r="650" spans="1:12" x14ac:dyDescent="0.25">
      <c r="A650" s="71">
        <v>331270</v>
      </c>
      <c r="B650" s="71">
        <v>2007</v>
      </c>
      <c r="C650" s="71" t="s">
        <v>1526</v>
      </c>
      <c r="D650" s="71" t="s">
        <v>476</v>
      </c>
      <c r="E650" s="71" t="s">
        <v>475</v>
      </c>
      <c r="F650" s="66" t="s">
        <v>307</v>
      </c>
      <c r="G650" s="70" t="s">
        <v>1411</v>
      </c>
      <c r="H650" s="70" t="s">
        <v>1410</v>
      </c>
      <c r="I650" s="363">
        <v>4</v>
      </c>
      <c r="J650" s="64"/>
      <c r="K650" s="64"/>
      <c r="L650" s="64"/>
    </row>
    <row r="651" spans="1:12" x14ac:dyDescent="0.25">
      <c r="A651" s="71">
        <v>331290</v>
      </c>
      <c r="B651" s="71">
        <v>2007</v>
      </c>
      <c r="C651" s="71" t="s">
        <v>1525</v>
      </c>
      <c r="D651" s="71" t="s">
        <v>476</v>
      </c>
      <c r="E651" s="71" t="s">
        <v>475</v>
      </c>
      <c r="F651" s="66" t="s">
        <v>307</v>
      </c>
      <c r="G651" s="70" t="s">
        <v>1411</v>
      </c>
      <c r="H651" s="70" t="s">
        <v>1410</v>
      </c>
      <c r="I651" s="363">
        <v>4</v>
      </c>
      <c r="J651" s="64"/>
      <c r="K651" s="64"/>
      <c r="L651" s="64"/>
    </row>
    <row r="652" spans="1:12" x14ac:dyDescent="0.25">
      <c r="A652" s="71">
        <v>331291</v>
      </c>
      <c r="B652" s="71">
        <v>2007</v>
      </c>
      <c r="C652" s="71" t="s">
        <v>1524</v>
      </c>
      <c r="D652" s="71" t="s">
        <v>476</v>
      </c>
      <c r="E652" s="71" t="s">
        <v>475</v>
      </c>
      <c r="F652" s="66" t="s">
        <v>307</v>
      </c>
      <c r="G652" s="70" t="s">
        <v>1411</v>
      </c>
      <c r="H652" s="70" t="s">
        <v>1410</v>
      </c>
      <c r="I652" s="363">
        <v>4</v>
      </c>
      <c r="J652" s="64"/>
      <c r="K652" s="64"/>
      <c r="L652" s="64"/>
    </row>
    <row r="653" spans="1:12" x14ac:dyDescent="0.25">
      <c r="A653" s="71">
        <v>331299</v>
      </c>
      <c r="B653" s="71">
        <v>2007</v>
      </c>
      <c r="C653" s="71" t="s">
        <v>1523</v>
      </c>
      <c r="D653" s="71" t="s">
        <v>476</v>
      </c>
      <c r="E653" s="71" t="s">
        <v>475</v>
      </c>
      <c r="F653" s="66" t="s">
        <v>307</v>
      </c>
      <c r="G653" s="70" t="s">
        <v>1411</v>
      </c>
      <c r="H653" s="70" t="s">
        <v>1410</v>
      </c>
      <c r="I653" s="363">
        <v>4</v>
      </c>
      <c r="J653" s="64"/>
      <c r="K653" s="64"/>
      <c r="L653" s="64"/>
    </row>
    <row r="654" spans="1:12" x14ac:dyDescent="0.25">
      <c r="A654" s="71">
        <v>331300</v>
      </c>
      <c r="B654" s="71">
        <v>2007</v>
      </c>
      <c r="C654" s="71" t="s">
        <v>1522</v>
      </c>
      <c r="D654" s="71" t="s">
        <v>476</v>
      </c>
      <c r="E654" s="71" t="s">
        <v>475</v>
      </c>
      <c r="F654" s="66" t="s">
        <v>307</v>
      </c>
      <c r="G654" s="70" t="s">
        <v>1411</v>
      </c>
      <c r="H654" s="70" t="s">
        <v>1410</v>
      </c>
      <c r="I654" s="363">
        <v>4</v>
      </c>
      <c r="J654" s="64"/>
      <c r="K654" s="64"/>
      <c r="L654" s="64"/>
    </row>
    <row r="655" spans="1:12" x14ac:dyDescent="0.25">
      <c r="A655" s="71">
        <v>331301</v>
      </c>
      <c r="B655" s="71">
        <v>2007</v>
      </c>
      <c r="C655" s="71" t="s">
        <v>1521</v>
      </c>
      <c r="D655" s="71" t="s">
        <v>476</v>
      </c>
      <c r="E655" s="71" t="s">
        <v>475</v>
      </c>
      <c r="F655" s="66" t="s">
        <v>307</v>
      </c>
      <c r="G655" s="70" t="s">
        <v>1411</v>
      </c>
      <c r="H655" s="70" t="s">
        <v>1410</v>
      </c>
      <c r="I655" s="363">
        <v>4</v>
      </c>
      <c r="J655" s="64"/>
      <c r="K655" s="64"/>
      <c r="L655" s="64"/>
    </row>
    <row r="656" spans="1:12" x14ac:dyDescent="0.25">
      <c r="A656" s="71">
        <v>331302</v>
      </c>
      <c r="B656" s="71">
        <v>2007</v>
      </c>
      <c r="C656" s="71" t="s">
        <v>1517</v>
      </c>
      <c r="D656" s="71" t="s">
        <v>476</v>
      </c>
      <c r="E656" s="71" t="s">
        <v>475</v>
      </c>
      <c r="F656" s="66" t="s">
        <v>307</v>
      </c>
      <c r="G656" s="70" t="s">
        <v>1411</v>
      </c>
      <c r="H656" s="70" t="s">
        <v>1410</v>
      </c>
      <c r="I656" s="363">
        <v>4</v>
      </c>
      <c r="J656" s="64"/>
      <c r="K656" s="64"/>
      <c r="L656" s="64"/>
    </row>
    <row r="657" spans="1:12" x14ac:dyDescent="0.25">
      <c r="A657" s="71">
        <v>331303</v>
      </c>
      <c r="B657" s="71">
        <v>2007</v>
      </c>
      <c r="C657" s="71" t="s">
        <v>1520</v>
      </c>
      <c r="D657" s="71" t="s">
        <v>476</v>
      </c>
      <c r="E657" s="71" t="s">
        <v>475</v>
      </c>
      <c r="F657" s="66" t="s">
        <v>307</v>
      </c>
      <c r="G657" s="70" t="s">
        <v>1411</v>
      </c>
      <c r="H657" s="70" t="s">
        <v>1410</v>
      </c>
      <c r="I657" s="363">
        <v>4</v>
      </c>
      <c r="J657" s="64"/>
      <c r="K657" s="64"/>
      <c r="L657" s="64"/>
    </row>
    <row r="658" spans="1:12" x14ac:dyDescent="0.25">
      <c r="A658" s="71">
        <v>331304</v>
      </c>
      <c r="B658" s="71">
        <v>2007</v>
      </c>
      <c r="C658" s="71" t="s">
        <v>1519</v>
      </c>
      <c r="D658" s="71" t="s">
        <v>476</v>
      </c>
      <c r="E658" s="71" t="s">
        <v>475</v>
      </c>
      <c r="F658" s="66" t="s">
        <v>307</v>
      </c>
      <c r="G658" s="70" t="s">
        <v>1411</v>
      </c>
      <c r="H658" s="70" t="s">
        <v>1410</v>
      </c>
      <c r="I658" s="363">
        <v>4</v>
      </c>
      <c r="J658" s="64"/>
      <c r="K658" s="64"/>
      <c r="L658" s="64"/>
    </row>
    <row r="659" spans="1:12" x14ac:dyDescent="0.25">
      <c r="A659" s="71">
        <v>331309</v>
      </c>
      <c r="B659" s="71">
        <v>2007</v>
      </c>
      <c r="C659" s="71" t="s">
        <v>1518</v>
      </c>
      <c r="D659" s="71" t="s">
        <v>476</v>
      </c>
      <c r="E659" s="71" t="s">
        <v>475</v>
      </c>
      <c r="F659" s="66" t="s">
        <v>307</v>
      </c>
      <c r="G659" s="70" t="s">
        <v>1411</v>
      </c>
      <c r="H659" s="70" t="s">
        <v>1410</v>
      </c>
      <c r="I659" s="363">
        <v>4</v>
      </c>
      <c r="J659" s="64"/>
      <c r="K659" s="64"/>
      <c r="L659" s="64"/>
    </row>
    <row r="660" spans="1:12" x14ac:dyDescent="0.25">
      <c r="A660" s="71">
        <v>331400</v>
      </c>
      <c r="B660" s="71">
        <v>2007</v>
      </c>
      <c r="C660" s="71" t="s">
        <v>1517</v>
      </c>
      <c r="D660" s="71" t="s">
        <v>476</v>
      </c>
      <c r="E660" s="71" t="s">
        <v>475</v>
      </c>
      <c r="F660" s="66" t="s">
        <v>307</v>
      </c>
      <c r="G660" s="70" t="s">
        <v>1411</v>
      </c>
      <c r="H660" s="70" t="s">
        <v>1410</v>
      </c>
      <c r="I660" s="363">
        <v>4</v>
      </c>
      <c r="J660" s="64"/>
      <c r="K660" s="64"/>
      <c r="L660" s="64"/>
    </row>
    <row r="661" spans="1:12" x14ac:dyDescent="0.25">
      <c r="A661" s="71">
        <v>331401</v>
      </c>
      <c r="B661" s="71">
        <v>2007</v>
      </c>
      <c r="C661" s="71" t="s">
        <v>1516</v>
      </c>
      <c r="D661" s="71" t="s">
        <v>476</v>
      </c>
      <c r="E661" s="71" t="s">
        <v>475</v>
      </c>
      <c r="F661" s="66" t="s">
        <v>307</v>
      </c>
      <c r="G661" s="70" t="s">
        <v>1411</v>
      </c>
      <c r="H661" s="70" t="s">
        <v>1410</v>
      </c>
      <c r="I661" s="363">
        <v>4</v>
      </c>
      <c r="J661" s="64"/>
      <c r="K661" s="64"/>
      <c r="L661" s="64"/>
    </row>
    <row r="662" spans="1:12" x14ac:dyDescent="0.25">
      <c r="A662" s="71">
        <v>331409</v>
      </c>
      <c r="B662" s="71">
        <v>2007</v>
      </c>
      <c r="C662" s="71" t="s">
        <v>1515</v>
      </c>
      <c r="D662" s="71" t="s">
        <v>476</v>
      </c>
      <c r="E662" s="71" t="s">
        <v>475</v>
      </c>
      <c r="F662" s="66" t="s">
        <v>307</v>
      </c>
      <c r="G662" s="70" t="s">
        <v>1411</v>
      </c>
      <c r="H662" s="70" t="s">
        <v>1410</v>
      </c>
      <c r="I662" s="363">
        <v>4</v>
      </c>
      <c r="J662" s="64"/>
      <c r="K662" s="64"/>
      <c r="L662" s="64"/>
    </row>
    <row r="663" spans="1:12" x14ac:dyDescent="0.25">
      <c r="A663" s="71">
        <v>331500</v>
      </c>
      <c r="B663" s="71">
        <v>2007</v>
      </c>
      <c r="C663" s="71" t="s">
        <v>1514</v>
      </c>
      <c r="D663" s="71" t="s">
        <v>476</v>
      </c>
      <c r="E663" s="71" t="s">
        <v>475</v>
      </c>
      <c r="F663" s="66" t="s">
        <v>307</v>
      </c>
      <c r="G663" s="70" t="s">
        <v>1411</v>
      </c>
      <c r="H663" s="70" t="s">
        <v>1410</v>
      </c>
      <c r="I663" s="363">
        <v>4</v>
      </c>
      <c r="J663" s="64"/>
      <c r="K663" s="64"/>
      <c r="L663" s="64"/>
    </row>
    <row r="664" spans="1:12" x14ac:dyDescent="0.25">
      <c r="A664" s="71">
        <v>331600</v>
      </c>
      <c r="B664" s="71">
        <v>2007</v>
      </c>
      <c r="C664" s="71" t="s">
        <v>1513</v>
      </c>
      <c r="D664" s="71" t="s">
        <v>476</v>
      </c>
      <c r="E664" s="71" t="s">
        <v>475</v>
      </c>
      <c r="F664" s="66" t="s">
        <v>307</v>
      </c>
      <c r="G664" s="70" t="s">
        <v>1411</v>
      </c>
      <c r="H664" s="70" t="s">
        <v>1410</v>
      </c>
      <c r="I664" s="363">
        <v>4</v>
      </c>
      <c r="J664" s="64"/>
      <c r="K664" s="64"/>
      <c r="L664" s="64"/>
    </row>
    <row r="665" spans="1:12" x14ac:dyDescent="0.25">
      <c r="A665" s="71">
        <v>331700</v>
      </c>
      <c r="B665" s="71">
        <v>2007</v>
      </c>
      <c r="C665" s="71" t="s">
        <v>1512</v>
      </c>
      <c r="D665" s="71" t="s">
        <v>476</v>
      </c>
      <c r="E665" s="71" t="s">
        <v>475</v>
      </c>
      <c r="F665" s="66" t="s">
        <v>307</v>
      </c>
      <c r="G665" s="70" t="s">
        <v>1411</v>
      </c>
      <c r="H665" s="70" t="s">
        <v>1410</v>
      </c>
      <c r="I665" s="363">
        <v>4</v>
      </c>
      <c r="J665" s="64"/>
      <c r="K665" s="64"/>
      <c r="L665" s="64"/>
    </row>
    <row r="666" spans="1:12" x14ac:dyDescent="0.25">
      <c r="A666" s="71">
        <v>331900</v>
      </c>
      <c r="B666" s="71">
        <v>2007</v>
      </c>
      <c r="C666" s="71" t="s">
        <v>1511</v>
      </c>
      <c r="D666" s="71" t="s">
        <v>476</v>
      </c>
      <c r="E666" s="71" t="s">
        <v>475</v>
      </c>
      <c r="F666" s="66" t="s">
        <v>307</v>
      </c>
      <c r="G666" s="70" t="s">
        <v>1411</v>
      </c>
      <c r="H666" s="70" t="s">
        <v>1410</v>
      </c>
      <c r="I666" s="363">
        <v>4</v>
      </c>
      <c r="J666" s="64"/>
      <c r="K666" s="64"/>
      <c r="L666" s="64"/>
    </row>
    <row r="667" spans="1:12" x14ac:dyDescent="0.25">
      <c r="A667" s="71">
        <v>331901</v>
      </c>
      <c r="B667" s="71">
        <v>2007</v>
      </c>
      <c r="C667" s="71" t="s">
        <v>1510</v>
      </c>
      <c r="D667" s="71" t="s">
        <v>476</v>
      </c>
      <c r="E667" s="71" t="s">
        <v>475</v>
      </c>
      <c r="F667" s="66" t="s">
        <v>307</v>
      </c>
      <c r="G667" s="70" t="s">
        <v>1411</v>
      </c>
      <c r="H667" s="70" t="s">
        <v>1410</v>
      </c>
      <c r="I667" s="363">
        <v>4</v>
      </c>
      <c r="J667" s="64"/>
      <c r="K667" s="64"/>
      <c r="L667" s="64"/>
    </row>
    <row r="668" spans="1:12" x14ac:dyDescent="0.25">
      <c r="A668" s="71">
        <v>331902</v>
      </c>
      <c r="B668" s="71">
        <v>2007</v>
      </c>
      <c r="C668" s="71" t="s">
        <v>1509</v>
      </c>
      <c r="D668" s="71" t="s">
        <v>476</v>
      </c>
      <c r="E668" s="71" t="s">
        <v>475</v>
      </c>
      <c r="F668" s="66" t="s">
        <v>307</v>
      </c>
      <c r="G668" s="70" t="s">
        <v>1411</v>
      </c>
      <c r="H668" s="70" t="s">
        <v>1410</v>
      </c>
      <c r="I668" s="363">
        <v>4</v>
      </c>
      <c r="J668" s="64"/>
      <c r="K668" s="64"/>
      <c r="L668" s="64"/>
    </row>
    <row r="669" spans="1:12" x14ac:dyDescent="0.25">
      <c r="A669" s="71">
        <v>331903</v>
      </c>
      <c r="B669" s="71">
        <v>2007</v>
      </c>
      <c r="C669" s="71" t="s">
        <v>1508</v>
      </c>
      <c r="D669" s="71" t="s">
        <v>476</v>
      </c>
      <c r="E669" s="71" t="s">
        <v>475</v>
      </c>
      <c r="F669" s="66" t="s">
        <v>307</v>
      </c>
      <c r="G669" s="70" t="s">
        <v>1411</v>
      </c>
      <c r="H669" s="70" t="s">
        <v>1410</v>
      </c>
      <c r="I669" s="363">
        <v>4</v>
      </c>
      <c r="J669" s="64"/>
      <c r="K669" s="64"/>
      <c r="L669" s="64"/>
    </row>
    <row r="670" spans="1:12" x14ac:dyDescent="0.25">
      <c r="A670" s="71">
        <v>331904</v>
      </c>
      <c r="B670" s="71">
        <v>2007</v>
      </c>
      <c r="C670" s="71" t="s">
        <v>1507</v>
      </c>
      <c r="D670" s="71" t="s">
        <v>476</v>
      </c>
      <c r="E670" s="71" t="s">
        <v>475</v>
      </c>
      <c r="F670" s="66" t="s">
        <v>307</v>
      </c>
      <c r="G670" s="70" t="s">
        <v>1411</v>
      </c>
      <c r="H670" s="70" t="s">
        <v>1410</v>
      </c>
      <c r="I670" s="363">
        <v>4</v>
      </c>
      <c r="J670" s="64"/>
      <c r="K670" s="64"/>
      <c r="L670" s="64"/>
    </row>
    <row r="671" spans="1:12" x14ac:dyDescent="0.25">
      <c r="A671" s="71">
        <v>331909</v>
      </c>
      <c r="B671" s="71">
        <v>2007</v>
      </c>
      <c r="C671" s="71" t="s">
        <v>1506</v>
      </c>
      <c r="D671" s="71" t="s">
        <v>476</v>
      </c>
      <c r="E671" s="71" t="s">
        <v>475</v>
      </c>
      <c r="F671" s="66" t="s">
        <v>307</v>
      </c>
      <c r="G671" s="70" t="s">
        <v>1411</v>
      </c>
      <c r="H671" s="70" t="s">
        <v>1410</v>
      </c>
      <c r="I671" s="363">
        <v>4</v>
      </c>
      <c r="J671" s="64"/>
      <c r="K671" s="64"/>
      <c r="L671" s="64"/>
    </row>
    <row r="672" spans="1:12" x14ac:dyDescent="0.25">
      <c r="A672" s="71">
        <v>332000</v>
      </c>
      <c r="B672" s="71">
        <v>2007</v>
      </c>
      <c r="C672" s="71" t="s">
        <v>1505</v>
      </c>
      <c r="D672" s="71" t="s">
        <v>476</v>
      </c>
      <c r="E672" s="71" t="s">
        <v>475</v>
      </c>
      <c r="F672" s="66" t="s">
        <v>307</v>
      </c>
      <c r="G672" s="70" t="s">
        <v>1411</v>
      </c>
      <c r="H672" s="70" t="s">
        <v>1410</v>
      </c>
      <c r="I672" s="363">
        <v>4</v>
      </c>
      <c r="J672" s="64"/>
      <c r="K672" s="64"/>
      <c r="L672" s="64"/>
    </row>
    <row r="673" spans="1:12" x14ac:dyDescent="0.25">
      <c r="A673" s="71">
        <v>332001</v>
      </c>
      <c r="B673" s="71">
        <v>2007</v>
      </c>
      <c r="C673" s="71" t="s">
        <v>1504</v>
      </c>
      <c r="D673" s="71" t="s">
        <v>476</v>
      </c>
      <c r="E673" s="71" t="s">
        <v>475</v>
      </c>
      <c r="F673" s="66" t="s">
        <v>307</v>
      </c>
      <c r="G673" s="70" t="s">
        <v>1411</v>
      </c>
      <c r="H673" s="70" t="s">
        <v>1410</v>
      </c>
      <c r="I673" s="363">
        <v>4</v>
      </c>
      <c r="J673" s="64"/>
      <c r="K673" s="64"/>
      <c r="L673" s="64"/>
    </row>
    <row r="674" spans="1:12" x14ac:dyDescent="0.25">
      <c r="A674" s="71">
        <v>332002</v>
      </c>
      <c r="B674" s="71">
        <v>2007</v>
      </c>
      <c r="C674" s="71" t="s">
        <v>1503</v>
      </c>
      <c r="D674" s="71" t="s">
        <v>476</v>
      </c>
      <c r="E674" s="71" t="s">
        <v>475</v>
      </c>
      <c r="F674" s="66" t="s">
        <v>307</v>
      </c>
      <c r="G674" s="70" t="s">
        <v>1411</v>
      </c>
      <c r="H674" s="70" t="s">
        <v>1410</v>
      </c>
      <c r="I674" s="363">
        <v>4</v>
      </c>
      <c r="J674" s="64"/>
      <c r="K674" s="64"/>
      <c r="L674" s="64"/>
    </row>
    <row r="675" spans="1:12" x14ac:dyDescent="0.25">
      <c r="A675" s="71">
        <v>332003</v>
      </c>
      <c r="B675" s="71">
        <v>2007</v>
      </c>
      <c r="C675" s="71" t="s">
        <v>1502</v>
      </c>
      <c r="D675" s="71" t="s">
        <v>476</v>
      </c>
      <c r="E675" s="71" t="s">
        <v>475</v>
      </c>
      <c r="F675" s="66" t="s">
        <v>307</v>
      </c>
      <c r="G675" s="70" t="s">
        <v>1411</v>
      </c>
      <c r="H675" s="70" t="s">
        <v>1410</v>
      </c>
      <c r="I675" s="363">
        <v>4</v>
      </c>
      <c r="J675" s="64"/>
      <c r="K675" s="64"/>
      <c r="L675" s="64"/>
    </row>
    <row r="676" spans="1:12" x14ac:dyDescent="0.25">
      <c r="A676" s="71">
        <v>332004</v>
      </c>
      <c r="B676" s="71">
        <v>2007</v>
      </c>
      <c r="C676" s="71" t="s">
        <v>1501</v>
      </c>
      <c r="D676" s="71" t="s">
        <v>476</v>
      </c>
      <c r="E676" s="71" t="s">
        <v>475</v>
      </c>
      <c r="F676" s="66" t="s">
        <v>307</v>
      </c>
      <c r="G676" s="70" t="s">
        <v>1411</v>
      </c>
      <c r="H676" s="70" t="s">
        <v>1410</v>
      </c>
      <c r="I676" s="363">
        <v>4</v>
      </c>
      <c r="J676" s="64"/>
      <c r="K676" s="64"/>
      <c r="L676" s="64"/>
    </row>
    <row r="677" spans="1:12" x14ac:dyDescent="0.25">
      <c r="A677" s="71">
        <v>332005</v>
      </c>
      <c r="B677" s="71">
        <v>2007</v>
      </c>
      <c r="C677" s="71" t="s">
        <v>1500</v>
      </c>
      <c r="D677" s="71" t="s">
        <v>476</v>
      </c>
      <c r="E677" s="71" t="s">
        <v>475</v>
      </c>
      <c r="F677" s="66" t="s">
        <v>307</v>
      </c>
      <c r="G677" s="70" t="s">
        <v>1411</v>
      </c>
      <c r="H677" s="70" t="s">
        <v>1410</v>
      </c>
      <c r="I677" s="363">
        <v>4</v>
      </c>
      <c r="J677" s="64"/>
      <c r="K677" s="64"/>
      <c r="L677" s="64"/>
    </row>
    <row r="678" spans="1:12" x14ac:dyDescent="0.25">
      <c r="A678" s="71">
        <v>332006</v>
      </c>
      <c r="B678" s="71">
        <v>2007</v>
      </c>
      <c r="C678" s="71" t="s">
        <v>1499</v>
      </c>
      <c r="D678" s="71" t="s">
        <v>476</v>
      </c>
      <c r="E678" s="71" t="s">
        <v>475</v>
      </c>
      <c r="F678" s="66" t="s">
        <v>307</v>
      </c>
      <c r="G678" s="70" t="s">
        <v>1411</v>
      </c>
      <c r="H678" s="70" t="s">
        <v>1410</v>
      </c>
      <c r="I678" s="363">
        <v>4</v>
      </c>
      <c r="J678" s="64"/>
      <c r="K678" s="64"/>
      <c r="L678" s="64"/>
    </row>
    <row r="679" spans="1:12" x14ac:dyDescent="0.25">
      <c r="A679" s="71">
        <v>332007</v>
      </c>
      <c r="B679" s="71">
        <v>2007</v>
      </c>
      <c r="C679" s="71" t="s">
        <v>1498</v>
      </c>
      <c r="D679" s="71" t="s">
        <v>476</v>
      </c>
      <c r="E679" s="71" t="s">
        <v>475</v>
      </c>
      <c r="F679" s="66" t="s">
        <v>307</v>
      </c>
      <c r="G679" s="70" t="s">
        <v>1411</v>
      </c>
      <c r="H679" s="70" t="s">
        <v>1410</v>
      </c>
      <c r="I679" s="363">
        <v>4</v>
      </c>
      <c r="J679" s="64"/>
      <c r="K679" s="64"/>
      <c r="L679" s="64"/>
    </row>
    <row r="680" spans="1:12" x14ac:dyDescent="0.25">
      <c r="A680" s="71">
        <v>332008</v>
      </c>
      <c r="B680" s="71">
        <v>2007</v>
      </c>
      <c r="C680" s="71" t="s">
        <v>1497</v>
      </c>
      <c r="D680" s="71" t="s">
        <v>476</v>
      </c>
      <c r="E680" s="71" t="s">
        <v>475</v>
      </c>
      <c r="F680" s="66" t="s">
        <v>307</v>
      </c>
      <c r="G680" s="70" t="s">
        <v>1411</v>
      </c>
      <c r="H680" s="70" t="s">
        <v>1410</v>
      </c>
      <c r="I680" s="363">
        <v>4</v>
      </c>
      <c r="J680" s="64"/>
      <c r="K680" s="64"/>
      <c r="L680" s="64"/>
    </row>
    <row r="681" spans="1:12" x14ac:dyDescent="0.25">
      <c r="A681" s="71">
        <v>332009</v>
      </c>
      <c r="B681" s="71">
        <v>2007</v>
      </c>
      <c r="C681" s="71" t="s">
        <v>1496</v>
      </c>
      <c r="D681" s="71" t="s">
        <v>476</v>
      </c>
      <c r="E681" s="71" t="s">
        <v>475</v>
      </c>
      <c r="F681" s="66" t="s">
        <v>307</v>
      </c>
      <c r="G681" s="70" t="s">
        <v>1411</v>
      </c>
      <c r="H681" s="70" t="s">
        <v>1410</v>
      </c>
      <c r="I681" s="363">
        <v>4</v>
      </c>
      <c r="J681" s="64"/>
      <c r="K681" s="64"/>
      <c r="L681" s="64"/>
    </row>
    <row r="682" spans="1:12" x14ac:dyDescent="0.25">
      <c r="A682" s="71">
        <v>350000</v>
      </c>
      <c r="B682" s="71">
        <v>2007</v>
      </c>
      <c r="C682" s="71" t="s">
        <v>1495</v>
      </c>
      <c r="D682" s="71" t="s">
        <v>476</v>
      </c>
      <c r="E682" s="71" t="s">
        <v>475</v>
      </c>
      <c r="F682" s="66" t="s">
        <v>307</v>
      </c>
      <c r="G682" s="70" t="s">
        <v>1411</v>
      </c>
      <c r="H682" s="70" t="s">
        <v>1410</v>
      </c>
      <c r="I682" s="363">
        <v>4</v>
      </c>
      <c r="J682" s="64"/>
      <c r="K682" s="64"/>
      <c r="L682" s="64"/>
    </row>
    <row r="683" spans="1:12" x14ac:dyDescent="0.25">
      <c r="A683" s="71">
        <v>351000</v>
      </c>
      <c r="B683" s="71">
        <v>2007</v>
      </c>
      <c r="C683" s="71" t="s">
        <v>1494</v>
      </c>
      <c r="D683" s="71" t="s">
        <v>476</v>
      </c>
      <c r="E683" s="71" t="s">
        <v>475</v>
      </c>
      <c r="F683" s="66" t="s">
        <v>307</v>
      </c>
      <c r="G683" s="70" t="s">
        <v>1411</v>
      </c>
      <c r="H683" s="70" t="s">
        <v>1410</v>
      </c>
      <c r="I683" s="363">
        <v>4</v>
      </c>
      <c r="J683" s="64"/>
      <c r="K683" s="64"/>
      <c r="L683" s="64"/>
    </row>
    <row r="684" spans="1:12" x14ac:dyDescent="0.25">
      <c r="A684" s="71">
        <v>351100</v>
      </c>
      <c r="B684" s="71">
        <v>2007</v>
      </c>
      <c r="C684" s="71" t="s">
        <v>1493</v>
      </c>
      <c r="D684" s="71" t="s">
        <v>476</v>
      </c>
      <c r="E684" s="71" t="s">
        <v>475</v>
      </c>
      <c r="F684" s="66" t="s">
        <v>307</v>
      </c>
      <c r="G684" s="70" t="s">
        <v>1411</v>
      </c>
      <c r="H684" s="70" t="s">
        <v>1410</v>
      </c>
      <c r="I684" s="363">
        <v>4</v>
      </c>
      <c r="J684" s="64"/>
      <c r="K684" s="64"/>
      <c r="L684" s="64"/>
    </row>
    <row r="685" spans="1:12" x14ac:dyDescent="0.25">
      <c r="A685" s="71">
        <v>351200</v>
      </c>
      <c r="B685" s="71">
        <v>2007</v>
      </c>
      <c r="C685" s="71" t="s">
        <v>1492</v>
      </c>
      <c r="D685" s="71" t="s">
        <v>476</v>
      </c>
      <c r="E685" s="71" t="s">
        <v>475</v>
      </c>
      <c r="F685" s="66" t="s">
        <v>307</v>
      </c>
      <c r="G685" s="70" t="s">
        <v>1411</v>
      </c>
      <c r="H685" s="70" t="s">
        <v>1410</v>
      </c>
      <c r="I685" s="363">
        <v>4</v>
      </c>
      <c r="J685" s="64"/>
      <c r="K685" s="64"/>
      <c r="L685" s="64"/>
    </row>
    <row r="686" spans="1:12" x14ac:dyDescent="0.25">
      <c r="A686" s="71">
        <v>351300</v>
      </c>
      <c r="B686" s="71">
        <v>2007</v>
      </c>
      <c r="C686" s="71" t="s">
        <v>1491</v>
      </c>
      <c r="D686" s="71" t="s">
        <v>476</v>
      </c>
      <c r="E686" s="71" t="s">
        <v>475</v>
      </c>
      <c r="F686" s="66" t="s">
        <v>307</v>
      </c>
      <c r="G686" s="70" t="s">
        <v>467</v>
      </c>
      <c r="H686" s="70" t="s">
        <v>971</v>
      </c>
      <c r="I686" s="363">
        <v>3</v>
      </c>
      <c r="J686" s="64"/>
      <c r="K686" s="64"/>
      <c r="L686" s="64"/>
    </row>
    <row r="687" spans="1:12" x14ac:dyDescent="0.25">
      <c r="A687" s="71">
        <v>351400</v>
      </c>
      <c r="B687" s="71">
        <v>2007</v>
      </c>
      <c r="C687" s="71" t="s">
        <v>1490</v>
      </c>
      <c r="D687" s="71" t="s">
        <v>476</v>
      </c>
      <c r="E687" s="71" t="s">
        <v>475</v>
      </c>
      <c r="F687" s="66" t="s">
        <v>307</v>
      </c>
      <c r="G687" s="70" t="s">
        <v>467</v>
      </c>
      <c r="H687" s="70" t="s">
        <v>971</v>
      </c>
      <c r="I687" s="363">
        <v>3</v>
      </c>
      <c r="J687" s="64"/>
      <c r="K687" s="64"/>
      <c r="L687" s="64"/>
    </row>
    <row r="688" spans="1:12" x14ac:dyDescent="0.25">
      <c r="A688" s="71">
        <v>352000</v>
      </c>
      <c r="B688" s="71">
        <v>2007</v>
      </c>
      <c r="C688" s="71" t="s">
        <v>1489</v>
      </c>
      <c r="D688" s="71" t="s">
        <v>476</v>
      </c>
      <c r="E688" s="71" t="s">
        <v>475</v>
      </c>
      <c r="F688" s="66" t="s">
        <v>307</v>
      </c>
      <c r="G688" s="70" t="s">
        <v>1411</v>
      </c>
      <c r="H688" s="70" t="s">
        <v>1410</v>
      </c>
      <c r="I688" s="363">
        <v>4</v>
      </c>
      <c r="J688" s="64"/>
      <c r="K688" s="64"/>
      <c r="L688" s="64"/>
    </row>
    <row r="689" spans="1:12" x14ac:dyDescent="0.25">
      <c r="A689" s="71">
        <v>352100</v>
      </c>
      <c r="B689" s="71">
        <v>2007</v>
      </c>
      <c r="C689" s="71" t="s">
        <v>1488</v>
      </c>
      <c r="D689" s="71" t="s">
        <v>476</v>
      </c>
      <c r="E689" s="71" t="s">
        <v>475</v>
      </c>
      <c r="F689" s="66" t="s">
        <v>307</v>
      </c>
      <c r="G689" s="70" t="s">
        <v>1411</v>
      </c>
      <c r="H689" s="70" t="s">
        <v>1410</v>
      </c>
      <c r="I689" s="363">
        <v>4</v>
      </c>
      <c r="J689" s="64"/>
      <c r="K689" s="64"/>
      <c r="L689" s="64"/>
    </row>
    <row r="690" spans="1:12" x14ac:dyDescent="0.25">
      <c r="A690" s="71">
        <v>352200</v>
      </c>
      <c r="B690" s="71">
        <v>2007</v>
      </c>
      <c r="C690" s="71" t="s">
        <v>1487</v>
      </c>
      <c r="D690" s="71" t="s">
        <v>476</v>
      </c>
      <c r="E690" s="71" t="s">
        <v>475</v>
      </c>
      <c r="F690" s="66" t="s">
        <v>307</v>
      </c>
      <c r="G690" s="70" t="s">
        <v>467</v>
      </c>
      <c r="H690" s="70" t="s">
        <v>971</v>
      </c>
      <c r="I690" s="363">
        <v>3</v>
      </c>
      <c r="J690" s="64"/>
      <c r="K690" s="64"/>
      <c r="L690" s="64"/>
    </row>
    <row r="691" spans="1:12" x14ac:dyDescent="0.25">
      <c r="A691" s="71">
        <v>352300</v>
      </c>
      <c r="B691" s="71">
        <v>2007</v>
      </c>
      <c r="C691" s="71" t="s">
        <v>1486</v>
      </c>
      <c r="D691" s="71" t="s">
        <v>476</v>
      </c>
      <c r="E691" s="71" t="s">
        <v>475</v>
      </c>
      <c r="F691" s="66" t="s">
        <v>307</v>
      </c>
      <c r="G691" s="70" t="s">
        <v>467</v>
      </c>
      <c r="H691" s="70" t="s">
        <v>971</v>
      </c>
      <c r="I691" s="363">
        <v>3</v>
      </c>
      <c r="J691" s="64"/>
      <c r="K691" s="64"/>
      <c r="L691" s="64"/>
    </row>
    <row r="692" spans="1:12" x14ac:dyDescent="0.25">
      <c r="A692" s="71">
        <v>353000</v>
      </c>
      <c r="B692" s="71">
        <v>2007</v>
      </c>
      <c r="C692" s="71" t="s">
        <v>1485</v>
      </c>
      <c r="D692" s="71" t="s">
        <v>476</v>
      </c>
      <c r="E692" s="71" t="s">
        <v>475</v>
      </c>
      <c r="F692" s="66" t="s">
        <v>307</v>
      </c>
      <c r="G692" s="70" t="s">
        <v>1411</v>
      </c>
      <c r="H692" s="70" t="s">
        <v>1410</v>
      </c>
      <c r="I692" s="363">
        <v>4</v>
      </c>
      <c r="J692" s="64"/>
      <c r="K692" s="64"/>
      <c r="L692" s="64"/>
    </row>
    <row r="693" spans="1:12" x14ac:dyDescent="0.25">
      <c r="A693" s="71">
        <v>360000</v>
      </c>
      <c r="B693" s="71">
        <v>2007</v>
      </c>
      <c r="C693" s="71" t="s">
        <v>1484</v>
      </c>
      <c r="D693" s="71" t="s">
        <v>476</v>
      </c>
      <c r="E693" s="71" t="s">
        <v>475</v>
      </c>
      <c r="F693" s="66" t="s">
        <v>307</v>
      </c>
      <c r="G693" s="70" t="s">
        <v>1411</v>
      </c>
      <c r="H693" s="70" t="s">
        <v>1410</v>
      </c>
      <c r="I693" s="363">
        <v>4</v>
      </c>
      <c r="J693" s="64"/>
      <c r="K693" s="64"/>
      <c r="L693" s="64"/>
    </row>
    <row r="694" spans="1:12" x14ac:dyDescent="0.25">
      <c r="A694" s="71">
        <v>370000</v>
      </c>
      <c r="B694" s="71">
        <v>2007</v>
      </c>
      <c r="C694" s="71" t="s">
        <v>1483</v>
      </c>
      <c r="D694" s="71" t="s">
        <v>476</v>
      </c>
      <c r="E694" s="71" t="s">
        <v>475</v>
      </c>
      <c r="F694" s="66" t="s">
        <v>307</v>
      </c>
      <c r="G694" s="70" t="s">
        <v>1411</v>
      </c>
      <c r="H694" s="70" t="s">
        <v>1410</v>
      </c>
      <c r="I694" s="363">
        <v>4</v>
      </c>
      <c r="J694" s="64"/>
      <c r="K694" s="64"/>
      <c r="L694" s="64"/>
    </row>
    <row r="695" spans="1:12" x14ac:dyDescent="0.25">
      <c r="A695" s="71">
        <v>380000</v>
      </c>
      <c r="B695" s="71">
        <v>2007</v>
      </c>
      <c r="C695" s="71" t="s">
        <v>1482</v>
      </c>
      <c r="D695" s="71" t="s">
        <v>476</v>
      </c>
      <c r="E695" s="71" t="s">
        <v>475</v>
      </c>
      <c r="F695" s="66" t="s">
        <v>307</v>
      </c>
      <c r="G695" s="70" t="s">
        <v>1411</v>
      </c>
      <c r="H695" s="70" t="s">
        <v>1410</v>
      </c>
      <c r="I695" s="363">
        <v>4</v>
      </c>
      <c r="J695" s="64"/>
      <c r="K695" s="64"/>
      <c r="L695" s="64"/>
    </row>
    <row r="696" spans="1:12" x14ac:dyDescent="0.25">
      <c r="A696" s="71">
        <v>381000</v>
      </c>
      <c r="B696" s="71">
        <v>2007</v>
      </c>
      <c r="C696" s="71" t="s">
        <v>1481</v>
      </c>
      <c r="D696" s="71" t="s">
        <v>476</v>
      </c>
      <c r="E696" s="71" t="s">
        <v>475</v>
      </c>
      <c r="F696" s="66" t="s">
        <v>307</v>
      </c>
      <c r="G696" s="70" t="s">
        <v>1411</v>
      </c>
      <c r="H696" s="70" t="s">
        <v>1410</v>
      </c>
      <c r="I696" s="363">
        <v>4</v>
      </c>
      <c r="J696" s="64"/>
      <c r="K696" s="64"/>
      <c r="L696" s="64"/>
    </row>
    <row r="697" spans="1:12" x14ac:dyDescent="0.25">
      <c r="A697" s="71">
        <v>381100</v>
      </c>
      <c r="B697" s="71">
        <v>2007</v>
      </c>
      <c r="C697" s="71" t="s">
        <v>1480</v>
      </c>
      <c r="D697" s="71" t="s">
        <v>476</v>
      </c>
      <c r="E697" s="71" t="s">
        <v>475</v>
      </c>
      <c r="F697" s="66" t="s">
        <v>307</v>
      </c>
      <c r="G697" s="70" t="s">
        <v>1411</v>
      </c>
      <c r="H697" s="70" t="s">
        <v>1410</v>
      </c>
      <c r="I697" s="363">
        <v>4</v>
      </c>
      <c r="J697" s="64"/>
      <c r="K697" s="64"/>
      <c r="L697" s="64"/>
    </row>
    <row r="698" spans="1:12" x14ac:dyDescent="0.25">
      <c r="A698" s="71">
        <v>381200</v>
      </c>
      <c r="B698" s="71">
        <v>2007</v>
      </c>
      <c r="C698" s="71" t="s">
        <v>1479</v>
      </c>
      <c r="D698" s="71" t="s">
        <v>476</v>
      </c>
      <c r="E698" s="71" t="s">
        <v>475</v>
      </c>
      <c r="F698" s="66" t="s">
        <v>307</v>
      </c>
      <c r="G698" s="70" t="s">
        <v>1411</v>
      </c>
      <c r="H698" s="70" t="s">
        <v>1410</v>
      </c>
      <c r="I698" s="363">
        <v>4</v>
      </c>
      <c r="J698" s="64"/>
      <c r="K698" s="64"/>
      <c r="L698" s="64"/>
    </row>
    <row r="699" spans="1:12" x14ac:dyDescent="0.25">
      <c r="A699" s="71">
        <v>382000</v>
      </c>
      <c r="B699" s="71">
        <v>2007</v>
      </c>
      <c r="C699" s="71" t="s">
        <v>1478</v>
      </c>
      <c r="D699" s="71" t="s">
        <v>476</v>
      </c>
      <c r="E699" s="71" t="s">
        <v>475</v>
      </c>
      <c r="F699" s="66" t="s">
        <v>307</v>
      </c>
      <c r="G699" s="70" t="s">
        <v>1411</v>
      </c>
      <c r="H699" s="70" t="s">
        <v>1410</v>
      </c>
      <c r="I699" s="363">
        <v>4</v>
      </c>
      <c r="J699" s="64"/>
      <c r="K699" s="64"/>
      <c r="L699" s="64"/>
    </row>
    <row r="700" spans="1:12" x14ac:dyDescent="0.25">
      <c r="A700" s="71">
        <v>382100</v>
      </c>
      <c r="B700" s="71">
        <v>2007</v>
      </c>
      <c r="C700" s="71" t="s">
        <v>1477</v>
      </c>
      <c r="D700" s="71" t="s">
        <v>476</v>
      </c>
      <c r="E700" s="71" t="s">
        <v>475</v>
      </c>
      <c r="F700" s="66" t="s">
        <v>307</v>
      </c>
      <c r="G700" s="70" t="s">
        <v>1411</v>
      </c>
      <c r="H700" s="70" t="s">
        <v>1410</v>
      </c>
      <c r="I700" s="363">
        <v>4</v>
      </c>
      <c r="J700" s="64"/>
      <c r="K700" s="64"/>
      <c r="L700" s="64"/>
    </row>
    <row r="701" spans="1:12" x14ac:dyDescent="0.25">
      <c r="A701" s="71">
        <v>382101</v>
      </c>
      <c r="B701" s="71">
        <v>2007</v>
      </c>
      <c r="C701" s="71" t="s">
        <v>1476</v>
      </c>
      <c r="D701" s="71" t="s">
        <v>476</v>
      </c>
      <c r="E701" s="71" t="s">
        <v>475</v>
      </c>
      <c r="F701" s="66" t="s">
        <v>307</v>
      </c>
      <c r="G701" s="70" t="s">
        <v>1411</v>
      </c>
      <c r="H701" s="70" t="s">
        <v>1410</v>
      </c>
      <c r="I701" s="363">
        <v>4</v>
      </c>
      <c r="J701" s="64"/>
      <c r="K701" s="64"/>
      <c r="L701" s="64"/>
    </row>
    <row r="702" spans="1:12" x14ac:dyDescent="0.25">
      <c r="A702" s="71">
        <v>382109</v>
      </c>
      <c r="B702" s="71">
        <v>2007</v>
      </c>
      <c r="C702" s="71" t="s">
        <v>1475</v>
      </c>
      <c r="D702" s="71" t="s">
        <v>476</v>
      </c>
      <c r="E702" s="71" t="s">
        <v>475</v>
      </c>
      <c r="F702" s="66" t="s">
        <v>307</v>
      </c>
      <c r="G702" s="70" t="s">
        <v>1411</v>
      </c>
      <c r="H702" s="70" t="s">
        <v>1410</v>
      </c>
      <c r="I702" s="363">
        <v>4</v>
      </c>
      <c r="J702" s="64"/>
      <c r="K702" s="64"/>
      <c r="L702" s="64"/>
    </row>
    <row r="703" spans="1:12" x14ac:dyDescent="0.25">
      <c r="A703" s="71">
        <v>382200</v>
      </c>
      <c r="B703" s="71">
        <v>2007</v>
      </c>
      <c r="C703" s="71" t="s">
        <v>1474</v>
      </c>
      <c r="D703" s="71" t="s">
        <v>476</v>
      </c>
      <c r="E703" s="71" t="s">
        <v>475</v>
      </c>
      <c r="F703" s="66" t="s">
        <v>307</v>
      </c>
      <c r="G703" s="70" t="s">
        <v>1411</v>
      </c>
      <c r="H703" s="70" t="s">
        <v>1410</v>
      </c>
      <c r="I703" s="363">
        <v>4</v>
      </c>
      <c r="J703" s="64"/>
      <c r="K703" s="64"/>
      <c r="L703" s="64"/>
    </row>
    <row r="704" spans="1:12" x14ac:dyDescent="0.25">
      <c r="A704" s="71">
        <v>383000</v>
      </c>
      <c r="B704" s="71">
        <v>2007</v>
      </c>
      <c r="C704" s="71" t="s">
        <v>1473</v>
      </c>
      <c r="D704" s="71" t="s">
        <v>476</v>
      </c>
      <c r="E704" s="71" t="s">
        <v>475</v>
      </c>
      <c r="F704" s="66" t="s">
        <v>307</v>
      </c>
      <c r="G704" s="70" t="s">
        <v>1411</v>
      </c>
      <c r="H704" s="70" t="s">
        <v>1410</v>
      </c>
      <c r="I704" s="363">
        <v>4</v>
      </c>
      <c r="J704" s="64"/>
      <c r="K704" s="64"/>
      <c r="L704" s="64"/>
    </row>
    <row r="705" spans="1:12" x14ac:dyDescent="0.25">
      <c r="A705" s="71">
        <v>383100</v>
      </c>
      <c r="B705" s="71">
        <v>2007</v>
      </c>
      <c r="C705" s="71" t="s">
        <v>1472</v>
      </c>
      <c r="D705" s="71" t="s">
        <v>476</v>
      </c>
      <c r="E705" s="71" t="s">
        <v>475</v>
      </c>
      <c r="F705" s="66" t="s">
        <v>307</v>
      </c>
      <c r="G705" s="70" t="s">
        <v>1411</v>
      </c>
      <c r="H705" s="70" t="s">
        <v>1410</v>
      </c>
      <c r="I705" s="363">
        <v>4</v>
      </c>
      <c r="J705" s="64"/>
      <c r="K705" s="64"/>
      <c r="L705" s="64"/>
    </row>
    <row r="706" spans="1:12" x14ac:dyDescent="0.25">
      <c r="A706" s="71">
        <v>383110</v>
      </c>
      <c r="B706" s="71">
        <v>2007</v>
      </c>
      <c r="C706" s="71" t="s">
        <v>1472</v>
      </c>
      <c r="D706" s="71" t="s">
        <v>476</v>
      </c>
      <c r="E706" s="71" t="s">
        <v>475</v>
      </c>
      <c r="F706" s="66" t="s">
        <v>307</v>
      </c>
      <c r="G706" s="70" t="s">
        <v>1411</v>
      </c>
      <c r="H706" s="70" t="s">
        <v>1410</v>
      </c>
      <c r="I706" s="363">
        <v>4</v>
      </c>
      <c r="J706" s="64"/>
      <c r="K706" s="64"/>
      <c r="L706" s="64"/>
    </row>
    <row r="707" spans="1:12" x14ac:dyDescent="0.25">
      <c r="A707" s="71">
        <v>383120</v>
      </c>
      <c r="B707" s="71">
        <v>2007</v>
      </c>
      <c r="C707" s="71" t="s">
        <v>1471</v>
      </c>
      <c r="D707" s="71" t="s">
        <v>476</v>
      </c>
      <c r="E707" s="71" t="s">
        <v>475</v>
      </c>
      <c r="F707" s="66" t="s">
        <v>307</v>
      </c>
      <c r="G707" s="70" t="s">
        <v>1411</v>
      </c>
      <c r="H707" s="70" t="s">
        <v>1410</v>
      </c>
      <c r="I707" s="363">
        <v>4</v>
      </c>
      <c r="J707" s="64"/>
      <c r="K707" s="64"/>
      <c r="L707" s="64"/>
    </row>
    <row r="708" spans="1:12" x14ac:dyDescent="0.25">
      <c r="A708" s="71">
        <v>383200</v>
      </c>
      <c r="B708" s="71">
        <v>2007</v>
      </c>
      <c r="C708" s="71" t="s">
        <v>1470</v>
      </c>
      <c r="D708" s="71" t="s">
        <v>476</v>
      </c>
      <c r="E708" s="71" t="s">
        <v>475</v>
      </c>
      <c r="F708" s="66" t="s">
        <v>307</v>
      </c>
      <c r="G708" s="70" t="s">
        <v>1411</v>
      </c>
      <c r="H708" s="70" t="s">
        <v>1410</v>
      </c>
      <c r="I708" s="363">
        <v>4</v>
      </c>
      <c r="J708" s="64"/>
      <c r="K708" s="64"/>
      <c r="L708" s="64"/>
    </row>
    <row r="709" spans="1:12" x14ac:dyDescent="0.25">
      <c r="A709" s="71">
        <v>383210</v>
      </c>
      <c r="B709" s="71">
        <v>2007</v>
      </c>
      <c r="C709" s="71" t="s">
        <v>1469</v>
      </c>
      <c r="D709" s="71" t="s">
        <v>476</v>
      </c>
      <c r="E709" s="71" t="s">
        <v>475</v>
      </c>
      <c r="F709" s="66" t="s">
        <v>307</v>
      </c>
      <c r="G709" s="70" t="s">
        <v>1411</v>
      </c>
      <c r="H709" s="70" t="s">
        <v>1410</v>
      </c>
      <c r="I709" s="363">
        <v>4</v>
      </c>
      <c r="J709" s="64"/>
      <c r="K709" s="64"/>
      <c r="L709" s="64"/>
    </row>
    <row r="710" spans="1:12" x14ac:dyDescent="0.25">
      <c r="A710" s="71">
        <v>383220</v>
      </c>
      <c r="B710" s="71">
        <v>2007</v>
      </c>
      <c r="C710" s="71" t="s">
        <v>1468</v>
      </c>
      <c r="D710" s="71" t="s">
        <v>476</v>
      </c>
      <c r="E710" s="71" t="s">
        <v>475</v>
      </c>
      <c r="F710" s="66" t="s">
        <v>307</v>
      </c>
      <c r="G710" s="70" t="s">
        <v>1411</v>
      </c>
      <c r="H710" s="70" t="s">
        <v>1410</v>
      </c>
      <c r="I710" s="363">
        <v>4</v>
      </c>
      <c r="J710" s="64"/>
      <c r="K710" s="64"/>
      <c r="L710" s="64"/>
    </row>
    <row r="711" spans="1:12" x14ac:dyDescent="0.25">
      <c r="A711" s="71">
        <v>383230</v>
      </c>
      <c r="B711" s="71">
        <v>2007</v>
      </c>
      <c r="C711" s="71" t="s">
        <v>1467</v>
      </c>
      <c r="D711" s="71" t="s">
        <v>476</v>
      </c>
      <c r="E711" s="71" t="s">
        <v>475</v>
      </c>
      <c r="F711" s="66" t="s">
        <v>307</v>
      </c>
      <c r="G711" s="70" t="s">
        <v>1411</v>
      </c>
      <c r="H711" s="70" t="s">
        <v>1410</v>
      </c>
      <c r="I711" s="363">
        <v>4</v>
      </c>
      <c r="J711" s="64"/>
      <c r="K711" s="64"/>
      <c r="L711" s="64"/>
    </row>
    <row r="712" spans="1:12" x14ac:dyDescent="0.25">
      <c r="A712" s="71">
        <v>390000</v>
      </c>
      <c r="B712" s="71">
        <v>2007</v>
      </c>
      <c r="C712" s="71" t="s">
        <v>1466</v>
      </c>
      <c r="D712" s="71" t="s">
        <v>476</v>
      </c>
      <c r="E712" s="71" t="s">
        <v>475</v>
      </c>
      <c r="F712" s="66" t="s">
        <v>307</v>
      </c>
      <c r="G712" s="70" t="s">
        <v>1411</v>
      </c>
      <c r="H712" s="70" t="s">
        <v>1410</v>
      </c>
      <c r="I712" s="363">
        <v>4</v>
      </c>
      <c r="J712" s="64"/>
      <c r="K712" s="64"/>
      <c r="L712" s="64"/>
    </row>
    <row r="713" spans="1:12" x14ac:dyDescent="0.25">
      <c r="A713" s="71">
        <v>390001</v>
      </c>
      <c r="B713" s="71">
        <v>2007</v>
      </c>
      <c r="C713" s="71" t="s">
        <v>1465</v>
      </c>
      <c r="D713" s="71" t="s">
        <v>476</v>
      </c>
      <c r="E713" s="71" t="s">
        <v>475</v>
      </c>
      <c r="F713" s="66" t="s">
        <v>307</v>
      </c>
      <c r="G713" s="70" t="s">
        <v>1411</v>
      </c>
      <c r="H713" s="70" t="s">
        <v>1410</v>
      </c>
      <c r="I713" s="363">
        <v>4</v>
      </c>
      <c r="J713" s="64"/>
      <c r="K713" s="64"/>
      <c r="L713" s="64"/>
    </row>
    <row r="714" spans="1:12" x14ac:dyDescent="0.25">
      <c r="A714" s="71">
        <v>390009</v>
      </c>
      <c r="B714" s="71">
        <v>2007</v>
      </c>
      <c r="C714" s="71" t="s">
        <v>1464</v>
      </c>
      <c r="D714" s="71" t="s">
        <v>476</v>
      </c>
      <c r="E714" s="71" t="s">
        <v>475</v>
      </c>
      <c r="F714" s="66" t="s">
        <v>307</v>
      </c>
      <c r="G714" s="70" t="s">
        <v>1411</v>
      </c>
      <c r="H714" s="70" t="s">
        <v>1410</v>
      </c>
      <c r="I714" s="363">
        <v>4</v>
      </c>
      <c r="J714" s="64"/>
      <c r="K714" s="64"/>
      <c r="L714" s="64"/>
    </row>
    <row r="715" spans="1:12" x14ac:dyDescent="0.25">
      <c r="A715" s="71">
        <v>410000</v>
      </c>
      <c r="B715" s="71">
        <v>2007</v>
      </c>
      <c r="C715" s="71" t="s">
        <v>1463</v>
      </c>
      <c r="D715" s="71" t="s">
        <v>476</v>
      </c>
      <c r="E715" s="71" t="s">
        <v>475</v>
      </c>
      <c r="F715" s="66" t="s">
        <v>307</v>
      </c>
      <c r="G715" s="70" t="s">
        <v>1411</v>
      </c>
      <c r="H715" s="70" t="s">
        <v>1410</v>
      </c>
      <c r="I715" s="363">
        <v>4</v>
      </c>
      <c r="J715" s="64"/>
      <c r="K715" s="64"/>
      <c r="L715" s="64"/>
    </row>
    <row r="716" spans="1:12" x14ac:dyDescent="0.25">
      <c r="A716" s="71">
        <v>411000</v>
      </c>
      <c r="B716" s="71">
        <v>2007</v>
      </c>
      <c r="C716" s="71" t="s">
        <v>1462</v>
      </c>
      <c r="D716" s="71" t="s">
        <v>476</v>
      </c>
      <c r="E716" s="71" t="s">
        <v>475</v>
      </c>
      <c r="F716" s="66" t="s">
        <v>307</v>
      </c>
      <c r="G716" s="70" t="s">
        <v>1411</v>
      </c>
      <c r="H716" s="70" t="s">
        <v>1410</v>
      </c>
      <c r="I716" s="363">
        <v>4</v>
      </c>
      <c r="J716" s="64"/>
      <c r="K716" s="64"/>
      <c r="L716" s="64"/>
    </row>
    <row r="717" spans="1:12" x14ac:dyDescent="0.25">
      <c r="A717" s="71">
        <v>412000</v>
      </c>
      <c r="B717" s="71">
        <v>2007</v>
      </c>
      <c r="C717" s="71" t="s">
        <v>1461</v>
      </c>
      <c r="D717" s="71" t="s">
        <v>476</v>
      </c>
      <c r="E717" s="71" t="s">
        <v>475</v>
      </c>
      <c r="F717" s="66" t="s">
        <v>307</v>
      </c>
      <c r="G717" s="70" t="s">
        <v>1411</v>
      </c>
      <c r="H717" s="70" t="s">
        <v>1410</v>
      </c>
      <c r="I717" s="363">
        <v>4</v>
      </c>
      <c r="J717" s="64"/>
      <c r="K717" s="64"/>
      <c r="L717" s="64"/>
    </row>
    <row r="718" spans="1:12" x14ac:dyDescent="0.25">
      <c r="A718" s="71">
        <v>420000</v>
      </c>
      <c r="B718" s="71">
        <v>2007</v>
      </c>
      <c r="C718" s="71" t="s">
        <v>1460</v>
      </c>
      <c r="D718" s="71" t="s">
        <v>476</v>
      </c>
      <c r="E718" s="71" t="s">
        <v>475</v>
      </c>
      <c r="F718" s="66" t="s">
        <v>307</v>
      </c>
      <c r="G718" s="70" t="s">
        <v>1411</v>
      </c>
      <c r="H718" s="70" t="s">
        <v>1410</v>
      </c>
      <c r="I718" s="363">
        <v>4</v>
      </c>
      <c r="J718" s="64"/>
      <c r="K718" s="64"/>
      <c r="L718" s="64"/>
    </row>
    <row r="719" spans="1:12" x14ac:dyDescent="0.25">
      <c r="A719" s="71">
        <v>421000</v>
      </c>
      <c r="B719" s="71">
        <v>2007</v>
      </c>
      <c r="C719" s="71" t="s">
        <v>1459</v>
      </c>
      <c r="D719" s="71" t="s">
        <v>476</v>
      </c>
      <c r="E719" s="71" t="s">
        <v>475</v>
      </c>
      <c r="F719" s="66" t="s">
        <v>307</v>
      </c>
      <c r="G719" s="70" t="s">
        <v>1411</v>
      </c>
      <c r="H719" s="70" t="s">
        <v>1410</v>
      </c>
      <c r="I719" s="363">
        <v>4</v>
      </c>
      <c r="J719" s="64"/>
      <c r="K719" s="64"/>
      <c r="L719" s="64"/>
    </row>
    <row r="720" spans="1:12" x14ac:dyDescent="0.25">
      <c r="A720" s="71">
        <v>421100</v>
      </c>
      <c r="B720" s="71">
        <v>2007</v>
      </c>
      <c r="C720" s="71" t="s">
        <v>1458</v>
      </c>
      <c r="D720" s="71" t="s">
        <v>476</v>
      </c>
      <c r="E720" s="71" t="s">
        <v>475</v>
      </c>
      <c r="F720" s="66" t="s">
        <v>307</v>
      </c>
      <c r="G720" s="70" t="s">
        <v>1411</v>
      </c>
      <c r="H720" s="70" t="s">
        <v>1410</v>
      </c>
      <c r="I720" s="363">
        <v>4</v>
      </c>
      <c r="J720" s="64"/>
      <c r="K720" s="64"/>
      <c r="L720" s="64"/>
    </row>
    <row r="721" spans="1:12" x14ac:dyDescent="0.25">
      <c r="A721" s="71">
        <v>421200</v>
      </c>
      <c r="B721" s="71">
        <v>2007</v>
      </c>
      <c r="C721" s="71" t="s">
        <v>1457</v>
      </c>
      <c r="D721" s="71" t="s">
        <v>476</v>
      </c>
      <c r="E721" s="71" t="s">
        <v>475</v>
      </c>
      <c r="F721" s="66" t="s">
        <v>307</v>
      </c>
      <c r="G721" s="70" t="s">
        <v>1411</v>
      </c>
      <c r="H721" s="70" t="s">
        <v>1410</v>
      </c>
      <c r="I721" s="363">
        <v>4</v>
      </c>
      <c r="J721" s="64"/>
      <c r="K721" s="64"/>
      <c r="L721" s="64"/>
    </row>
    <row r="722" spans="1:12" x14ac:dyDescent="0.25">
      <c r="A722" s="71">
        <v>421300</v>
      </c>
      <c r="B722" s="71">
        <v>2007</v>
      </c>
      <c r="C722" s="71" t="s">
        <v>1456</v>
      </c>
      <c r="D722" s="71" t="s">
        <v>476</v>
      </c>
      <c r="E722" s="71" t="s">
        <v>475</v>
      </c>
      <c r="F722" s="66" t="s">
        <v>307</v>
      </c>
      <c r="G722" s="70" t="s">
        <v>1411</v>
      </c>
      <c r="H722" s="70" t="s">
        <v>1410</v>
      </c>
      <c r="I722" s="363">
        <v>4</v>
      </c>
      <c r="J722" s="64"/>
      <c r="K722" s="64"/>
      <c r="L722" s="64"/>
    </row>
    <row r="723" spans="1:12" x14ac:dyDescent="0.25">
      <c r="A723" s="71">
        <v>422000</v>
      </c>
      <c r="B723" s="71">
        <v>2007</v>
      </c>
      <c r="C723" s="71" t="s">
        <v>1455</v>
      </c>
      <c r="D723" s="71" t="s">
        <v>476</v>
      </c>
      <c r="E723" s="71" t="s">
        <v>475</v>
      </c>
      <c r="F723" s="66" t="s">
        <v>307</v>
      </c>
      <c r="G723" s="70" t="s">
        <v>1411</v>
      </c>
      <c r="H723" s="70" t="s">
        <v>1410</v>
      </c>
      <c r="I723" s="363">
        <v>4</v>
      </c>
      <c r="J723" s="64"/>
      <c r="K723" s="64"/>
      <c r="L723" s="64"/>
    </row>
    <row r="724" spans="1:12" x14ac:dyDescent="0.25">
      <c r="A724" s="71">
        <v>422100</v>
      </c>
      <c r="B724" s="71">
        <v>2007</v>
      </c>
      <c r="C724" s="71" t="s">
        <v>1454</v>
      </c>
      <c r="D724" s="71" t="s">
        <v>476</v>
      </c>
      <c r="E724" s="71" t="s">
        <v>475</v>
      </c>
      <c r="F724" s="66" t="s">
        <v>307</v>
      </c>
      <c r="G724" s="70" t="s">
        <v>1411</v>
      </c>
      <c r="H724" s="70" t="s">
        <v>1410</v>
      </c>
      <c r="I724" s="363">
        <v>4</v>
      </c>
      <c r="J724" s="64"/>
      <c r="K724" s="64"/>
      <c r="L724" s="64"/>
    </row>
    <row r="725" spans="1:12" x14ac:dyDescent="0.25">
      <c r="A725" s="71">
        <v>422200</v>
      </c>
      <c r="B725" s="71">
        <v>2007</v>
      </c>
      <c r="C725" s="71" t="s">
        <v>1453</v>
      </c>
      <c r="D725" s="71" t="s">
        <v>476</v>
      </c>
      <c r="E725" s="71" t="s">
        <v>475</v>
      </c>
      <c r="F725" s="66" t="s">
        <v>307</v>
      </c>
      <c r="G725" s="70" t="s">
        <v>1411</v>
      </c>
      <c r="H725" s="70" t="s">
        <v>1410</v>
      </c>
      <c r="I725" s="363">
        <v>4</v>
      </c>
      <c r="J725" s="64"/>
      <c r="K725" s="64"/>
      <c r="L725" s="64"/>
    </row>
    <row r="726" spans="1:12" x14ac:dyDescent="0.25">
      <c r="A726" s="71">
        <v>429000</v>
      </c>
      <c r="B726" s="71">
        <v>2007</v>
      </c>
      <c r="C726" s="71" t="s">
        <v>1452</v>
      </c>
      <c r="D726" s="71" t="s">
        <v>476</v>
      </c>
      <c r="E726" s="71" t="s">
        <v>475</v>
      </c>
      <c r="F726" s="66" t="s">
        <v>307</v>
      </c>
      <c r="G726" s="70" t="s">
        <v>1411</v>
      </c>
      <c r="H726" s="70" t="s">
        <v>1410</v>
      </c>
      <c r="I726" s="363">
        <v>4</v>
      </c>
      <c r="J726" s="64"/>
      <c r="K726" s="64"/>
      <c r="L726" s="64"/>
    </row>
    <row r="727" spans="1:12" x14ac:dyDescent="0.25">
      <c r="A727" s="71">
        <v>429100</v>
      </c>
      <c r="B727" s="71">
        <v>2007</v>
      </c>
      <c r="C727" s="71" t="s">
        <v>1451</v>
      </c>
      <c r="D727" s="71" t="s">
        <v>476</v>
      </c>
      <c r="E727" s="71" t="s">
        <v>475</v>
      </c>
      <c r="F727" s="66" t="s">
        <v>307</v>
      </c>
      <c r="G727" s="70" t="s">
        <v>1411</v>
      </c>
      <c r="H727" s="70" t="s">
        <v>1410</v>
      </c>
      <c r="I727" s="363">
        <v>4</v>
      </c>
      <c r="J727" s="64"/>
      <c r="K727" s="64"/>
      <c r="L727" s="64"/>
    </row>
    <row r="728" spans="1:12" x14ac:dyDescent="0.25">
      <c r="A728" s="71">
        <v>429900</v>
      </c>
      <c r="B728" s="71">
        <v>2007</v>
      </c>
      <c r="C728" s="71" t="s">
        <v>1450</v>
      </c>
      <c r="D728" s="71" t="s">
        <v>476</v>
      </c>
      <c r="E728" s="71" t="s">
        <v>475</v>
      </c>
      <c r="F728" s="66" t="s">
        <v>307</v>
      </c>
      <c r="G728" s="70" t="s">
        <v>1411</v>
      </c>
      <c r="H728" s="70" t="s">
        <v>1410</v>
      </c>
      <c r="I728" s="363">
        <v>4</v>
      </c>
      <c r="J728" s="64"/>
      <c r="K728" s="64"/>
      <c r="L728" s="64"/>
    </row>
    <row r="729" spans="1:12" x14ac:dyDescent="0.25">
      <c r="A729" s="71">
        <v>429901</v>
      </c>
      <c r="B729" s="71">
        <v>2007</v>
      </c>
      <c r="C729" s="71" t="s">
        <v>1449</v>
      </c>
      <c r="D729" s="71" t="s">
        <v>476</v>
      </c>
      <c r="E729" s="71" t="s">
        <v>475</v>
      </c>
      <c r="F729" s="66" t="s">
        <v>307</v>
      </c>
      <c r="G729" s="70" t="s">
        <v>1411</v>
      </c>
      <c r="H729" s="70" t="s">
        <v>1410</v>
      </c>
      <c r="I729" s="363">
        <v>4</v>
      </c>
      <c r="J729" s="64"/>
      <c r="K729" s="64"/>
      <c r="L729" s="64"/>
    </row>
    <row r="730" spans="1:12" x14ac:dyDescent="0.25">
      <c r="A730" s="71">
        <v>429909</v>
      </c>
      <c r="B730" s="71">
        <v>2007</v>
      </c>
      <c r="C730" s="71" t="s">
        <v>1448</v>
      </c>
      <c r="D730" s="71" t="s">
        <v>476</v>
      </c>
      <c r="E730" s="71" t="s">
        <v>475</v>
      </c>
      <c r="F730" s="66" t="s">
        <v>307</v>
      </c>
      <c r="G730" s="70" t="s">
        <v>1411</v>
      </c>
      <c r="H730" s="70" t="s">
        <v>1410</v>
      </c>
      <c r="I730" s="363">
        <v>4</v>
      </c>
      <c r="J730" s="64"/>
      <c r="K730" s="64"/>
      <c r="L730" s="64"/>
    </row>
    <row r="731" spans="1:12" x14ac:dyDescent="0.25">
      <c r="A731" s="71">
        <v>430000</v>
      </c>
      <c r="B731" s="71">
        <v>2007</v>
      </c>
      <c r="C731" s="71" t="s">
        <v>1447</v>
      </c>
      <c r="D731" s="71" t="s">
        <v>476</v>
      </c>
      <c r="E731" s="71" t="s">
        <v>475</v>
      </c>
      <c r="F731" s="66" t="s">
        <v>307</v>
      </c>
      <c r="G731" s="70" t="s">
        <v>1411</v>
      </c>
      <c r="H731" s="70" t="s">
        <v>1410</v>
      </c>
      <c r="I731" s="363">
        <v>4</v>
      </c>
      <c r="J731" s="64"/>
      <c r="K731" s="64"/>
      <c r="L731" s="64"/>
    </row>
    <row r="732" spans="1:12" x14ac:dyDescent="0.25">
      <c r="A732" s="71">
        <v>431000</v>
      </c>
      <c r="B732" s="71">
        <v>2007</v>
      </c>
      <c r="C732" s="71" t="s">
        <v>1446</v>
      </c>
      <c r="D732" s="71" t="s">
        <v>476</v>
      </c>
      <c r="E732" s="71" t="s">
        <v>475</v>
      </c>
      <c r="F732" s="66" t="s">
        <v>307</v>
      </c>
      <c r="G732" s="70" t="s">
        <v>1411</v>
      </c>
      <c r="H732" s="70" t="s">
        <v>1410</v>
      </c>
      <c r="I732" s="363">
        <v>4</v>
      </c>
      <c r="J732" s="64"/>
      <c r="K732" s="64"/>
      <c r="L732" s="64"/>
    </row>
    <row r="733" spans="1:12" x14ac:dyDescent="0.25">
      <c r="A733" s="71">
        <v>431100</v>
      </c>
      <c r="B733" s="71">
        <v>2007</v>
      </c>
      <c r="C733" s="71" t="s">
        <v>1445</v>
      </c>
      <c r="D733" s="71" t="s">
        <v>476</v>
      </c>
      <c r="E733" s="71" t="s">
        <v>475</v>
      </c>
      <c r="F733" s="66" t="s">
        <v>307</v>
      </c>
      <c r="G733" s="70" t="s">
        <v>1411</v>
      </c>
      <c r="H733" s="70" t="s">
        <v>1410</v>
      </c>
      <c r="I733" s="363">
        <v>4</v>
      </c>
      <c r="J733" s="64"/>
      <c r="K733" s="64"/>
      <c r="L733" s="64"/>
    </row>
    <row r="734" spans="1:12" x14ac:dyDescent="0.25">
      <c r="A734" s="71">
        <v>431200</v>
      </c>
      <c r="B734" s="71">
        <v>2007</v>
      </c>
      <c r="C734" s="71" t="s">
        <v>1444</v>
      </c>
      <c r="D734" s="71" t="s">
        <v>476</v>
      </c>
      <c r="E734" s="71" t="s">
        <v>475</v>
      </c>
      <c r="F734" s="66" t="s">
        <v>307</v>
      </c>
      <c r="G734" s="70" t="s">
        <v>1411</v>
      </c>
      <c r="H734" s="70" t="s">
        <v>1410</v>
      </c>
      <c r="I734" s="363">
        <v>4</v>
      </c>
      <c r="J734" s="64"/>
      <c r="K734" s="64"/>
      <c r="L734" s="64"/>
    </row>
    <row r="735" spans="1:12" x14ac:dyDescent="0.25">
      <c r="A735" s="71">
        <v>431300</v>
      </c>
      <c r="B735" s="71">
        <v>2007</v>
      </c>
      <c r="C735" s="71" t="s">
        <v>1443</v>
      </c>
      <c r="D735" s="71" t="s">
        <v>476</v>
      </c>
      <c r="E735" s="71" t="s">
        <v>475</v>
      </c>
      <c r="F735" s="66" t="s">
        <v>307</v>
      </c>
      <c r="G735" s="70" t="s">
        <v>1411</v>
      </c>
      <c r="H735" s="70" t="s">
        <v>1410</v>
      </c>
      <c r="I735" s="363">
        <v>4</v>
      </c>
      <c r="J735" s="64"/>
      <c r="K735" s="64"/>
      <c r="L735" s="64"/>
    </row>
    <row r="736" spans="1:12" x14ac:dyDescent="0.25">
      <c r="A736" s="71">
        <v>432000</v>
      </c>
      <c r="B736" s="71">
        <v>2007</v>
      </c>
      <c r="C736" s="71" t="s">
        <v>1442</v>
      </c>
      <c r="D736" s="71" t="s">
        <v>476</v>
      </c>
      <c r="E736" s="71" t="s">
        <v>475</v>
      </c>
      <c r="F736" s="66" t="s">
        <v>307</v>
      </c>
      <c r="G736" s="70" t="s">
        <v>1411</v>
      </c>
      <c r="H736" s="70" t="s">
        <v>1410</v>
      </c>
      <c r="I736" s="363">
        <v>4</v>
      </c>
      <c r="J736" s="64"/>
      <c r="K736" s="64"/>
      <c r="L736" s="64"/>
    </row>
    <row r="737" spans="1:12" x14ac:dyDescent="0.25">
      <c r="A737" s="71">
        <v>432100</v>
      </c>
      <c r="B737" s="71">
        <v>2007</v>
      </c>
      <c r="C737" s="71" t="s">
        <v>1441</v>
      </c>
      <c r="D737" s="71" t="s">
        <v>476</v>
      </c>
      <c r="E737" s="71" t="s">
        <v>475</v>
      </c>
      <c r="F737" s="66" t="s">
        <v>307</v>
      </c>
      <c r="G737" s="70" t="s">
        <v>1411</v>
      </c>
      <c r="H737" s="70" t="s">
        <v>1410</v>
      </c>
      <c r="I737" s="363">
        <v>4</v>
      </c>
      <c r="J737" s="64"/>
      <c r="K737" s="64"/>
      <c r="L737" s="64"/>
    </row>
    <row r="738" spans="1:12" x14ac:dyDescent="0.25">
      <c r="A738" s="71">
        <v>432101</v>
      </c>
      <c r="B738" s="71">
        <v>2007</v>
      </c>
      <c r="C738" s="71" t="s">
        <v>1440</v>
      </c>
      <c r="D738" s="71" t="s">
        <v>476</v>
      </c>
      <c r="E738" s="71" t="s">
        <v>475</v>
      </c>
      <c r="F738" s="66" t="s">
        <v>307</v>
      </c>
      <c r="G738" s="70" t="s">
        <v>1411</v>
      </c>
      <c r="H738" s="70" t="s">
        <v>1410</v>
      </c>
      <c r="I738" s="363">
        <v>4</v>
      </c>
      <c r="J738" s="64"/>
      <c r="K738" s="64"/>
      <c r="L738" s="64"/>
    </row>
    <row r="739" spans="1:12" x14ac:dyDescent="0.25">
      <c r="A739" s="71">
        <v>432102</v>
      </c>
      <c r="B739" s="71">
        <v>2007</v>
      </c>
      <c r="C739" s="71" t="s">
        <v>1439</v>
      </c>
      <c r="D739" s="71" t="s">
        <v>476</v>
      </c>
      <c r="E739" s="71" t="s">
        <v>475</v>
      </c>
      <c r="F739" s="66" t="s">
        <v>307</v>
      </c>
      <c r="G739" s="70" t="s">
        <v>1411</v>
      </c>
      <c r="H739" s="70" t="s">
        <v>1410</v>
      </c>
      <c r="I739" s="363">
        <v>4</v>
      </c>
      <c r="J739" s="64"/>
      <c r="K739" s="64"/>
      <c r="L739" s="64"/>
    </row>
    <row r="740" spans="1:12" x14ac:dyDescent="0.25">
      <c r="A740" s="71">
        <v>432103</v>
      </c>
      <c r="B740" s="71">
        <v>2007</v>
      </c>
      <c r="C740" s="71" t="s">
        <v>1438</v>
      </c>
      <c r="D740" s="71" t="s">
        <v>476</v>
      </c>
      <c r="E740" s="71" t="s">
        <v>475</v>
      </c>
      <c r="F740" s="66" t="s">
        <v>307</v>
      </c>
      <c r="G740" s="70" t="s">
        <v>1411</v>
      </c>
      <c r="H740" s="70" t="s">
        <v>1410</v>
      </c>
      <c r="I740" s="363">
        <v>4</v>
      </c>
      <c r="J740" s="64"/>
      <c r="K740" s="64"/>
      <c r="L740" s="64"/>
    </row>
    <row r="741" spans="1:12" x14ac:dyDescent="0.25">
      <c r="A741" s="71">
        <v>432200</v>
      </c>
      <c r="B741" s="71">
        <v>2007</v>
      </c>
      <c r="C741" s="71" t="s">
        <v>1437</v>
      </c>
      <c r="D741" s="71" t="s">
        <v>476</v>
      </c>
      <c r="E741" s="71" t="s">
        <v>475</v>
      </c>
      <c r="F741" s="66" t="s">
        <v>307</v>
      </c>
      <c r="G741" s="70" t="s">
        <v>1411</v>
      </c>
      <c r="H741" s="70" t="s">
        <v>1410</v>
      </c>
      <c r="I741" s="363">
        <v>4</v>
      </c>
      <c r="J741" s="64"/>
      <c r="K741" s="64"/>
      <c r="L741" s="64"/>
    </row>
    <row r="742" spans="1:12" x14ac:dyDescent="0.25">
      <c r="A742" s="71">
        <v>432201</v>
      </c>
      <c r="B742" s="71">
        <v>2007</v>
      </c>
      <c r="C742" s="71" t="s">
        <v>1436</v>
      </c>
      <c r="D742" s="71" t="s">
        <v>476</v>
      </c>
      <c r="E742" s="71" t="s">
        <v>475</v>
      </c>
      <c r="F742" s="66" t="s">
        <v>307</v>
      </c>
      <c r="G742" s="70" t="s">
        <v>1411</v>
      </c>
      <c r="H742" s="70" t="s">
        <v>1410</v>
      </c>
      <c r="I742" s="363">
        <v>4</v>
      </c>
      <c r="J742" s="64"/>
      <c r="K742" s="64"/>
      <c r="L742" s="64"/>
    </row>
    <row r="743" spans="1:12" x14ac:dyDescent="0.25">
      <c r="A743" s="71">
        <v>432202</v>
      </c>
      <c r="B743" s="71">
        <v>2007</v>
      </c>
      <c r="C743" s="71" t="s">
        <v>1435</v>
      </c>
      <c r="D743" s="71" t="s">
        <v>476</v>
      </c>
      <c r="E743" s="71" t="s">
        <v>475</v>
      </c>
      <c r="F743" s="66" t="s">
        <v>307</v>
      </c>
      <c r="G743" s="70" t="s">
        <v>1411</v>
      </c>
      <c r="H743" s="70" t="s">
        <v>1410</v>
      </c>
      <c r="I743" s="363">
        <v>4</v>
      </c>
      <c r="J743" s="64"/>
      <c r="K743" s="64"/>
      <c r="L743" s="64"/>
    </row>
    <row r="744" spans="1:12" x14ac:dyDescent="0.25">
      <c r="A744" s="71">
        <v>432203</v>
      </c>
      <c r="B744" s="71">
        <v>2007</v>
      </c>
      <c r="C744" s="71" t="s">
        <v>1434</v>
      </c>
      <c r="D744" s="71" t="s">
        <v>476</v>
      </c>
      <c r="E744" s="71" t="s">
        <v>475</v>
      </c>
      <c r="F744" s="66" t="s">
        <v>307</v>
      </c>
      <c r="G744" s="70" t="s">
        <v>1411</v>
      </c>
      <c r="H744" s="70" t="s">
        <v>1410</v>
      </c>
      <c r="I744" s="363">
        <v>4</v>
      </c>
      <c r="J744" s="64"/>
      <c r="K744" s="64"/>
      <c r="L744" s="64"/>
    </row>
    <row r="745" spans="1:12" x14ac:dyDescent="0.25">
      <c r="A745" s="71">
        <v>432204</v>
      </c>
      <c r="B745" s="71">
        <v>2007</v>
      </c>
      <c r="C745" s="71" t="s">
        <v>1433</v>
      </c>
      <c r="D745" s="71" t="s">
        <v>476</v>
      </c>
      <c r="E745" s="71" t="s">
        <v>475</v>
      </c>
      <c r="F745" s="66" t="s">
        <v>307</v>
      </c>
      <c r="G745" s="70" t="s">
        <v>1411</v>
      </c>
      <c r="H745" s="70" t="s">
        <v>1410</v>
      </c>
      <c r="I745" s="363">
        <v>4</v>
      </c>
      <c r="J745" s="64"/>
      <c r="K745" s="64"/>
      <c r="L745" s="64"/>
    </row>
    <row r="746" spans="1:12" x14ac:dyDescent="0.25">
      <c r="A746" s="71">
        <v>432205</v>
      </c>
      <c r="B746" s="71">
        <v>2007</v>
      </c>
      <c r="C746" s="71" t="s">
        <v>1432</v>
      </c>
      <c r="D746" s="71" t="s">
        <v>476</v>
      </c>
      <c r="E746" s="71" t="s">
        <v>475</v>
      </c>
      <c r="F746" s="66" t="s">
        <v>307</v>
      </c>
      <c r="G746" s="70" t="s">
        <v>1411</v>
      </c>
      <c r="H746" s="70" t="s">
        <v>1410</v>
      </c>
      <c r="I746" s="363">
        <v>4</v>
      </c>
      <c r="J746" s="64"/>
      <c r="K746" s="64"/>
      <c r="L746" s="64"/>
    </row>
    <row r="747" spans="1:12" x14ac:dyDescent="0.25">
      <c r="A747" s="71">
        <v>432900</v>
      </c>
      <c r="B747" s="71">
        <v>2007</v>
      </c>
      <c r="C747" s="71" t="s">
        <v>1431</v>
      </c>
      <c r="D747" s="71" t="s">
        <v>476</v>
      </c>
      <c r="E747" s="71" t="s">
        <v>475</v>
      </c>
      <c r="F747" s="66" t="s">
        <v>307</v>
      </c>
      <c r="G747" s="70" t="s">
        <v>1411</v>
      </c>
      <c r="H747" s="70" t="s">
        <v>1410</v>
      </c>
      <c r="I747" s="363">
        <v>4</v>
      </c>
      <c r="J747" s="64"/>
      <c r="K747" s="64"/>
      <c r="L747" s="64"/>
    </row>
    <row r="748" spans="1:12" x14ac:dyDescent="0.25">
      <c r="A748" s="71">
        <v>432901</v>
      </c>
      <c r="B748" s="71">
        <v>2007</v>
      </c>
      <c r="C748" s="71" t="s">
        <v>1430</v>
      </c>
      <c r="D748" s="71" t="s">
        <v>476</v>
      </c>
      <c r="E748" s="71" t="s">
        <v>475</v>
      </c>
      <c r="F748" s="66" t="s">
        <v>307</v>
      </c>
      <c r="G748" s="70" t="s">
        <v>1411</v>
      </c>
      <c r="H748" s="70" t="s">
        <v>1410</v>
      </c>
      <c r="I748" s="363">
        <v>4</v>
      </c>
      <c r="J748" s="64"/>
      <c r="K748" s="64"/>
      <c r="L748" s="64"/>
    </row>
    <row r="749" spans="1:12" x14ac:dyDescent="0.25">
      <c r="A749" s="71">
        <v>432902</v>
      </c>
      <c r="B749" s="71">
        <v>2007</v>
      </c>
      <c r="C749" s="71" t="s">
        <v>1429</v>
      </c>
      <c r="D749" s="71" t="s">
        <v>476</v>
      </c>
      <c r="E749" s="71" t="s">
        <v>475</v>
      </c>
      <c r="F749" s="66" t="s">
        <v>307</v>
      </c>
      <c r="G749" s="70" t="s">
        <v>1411</v>
      </c>
      <c r="H749" s="70" t="s">
        <v>1410</v>
      </c>
      <c r="I749" s="363">
        <v>4</v>
      </c>
      <c r="J749" s="64"/>
      <c r="K749" s="64"/>
      <c r="L749" s="64"/>
    </row>
    <row r="750" spans="1:12" x14ac:dyDescent="0.25">
      <c r="A750" s="71">
        <v>432909</v>
      </c>
      <c r="B750" s="71">
        <v>2007</v>
      </c>
      <c r="C750" s="71" t="s">
        <v>1428</v>
      </c>
      <c r="D750" s="71" t="s">
        <v>476</v>
      </c>
      <c r="E750" s="71" t="s">
        <v>475</v>
      </c>
      <c r="F750" s="66" t="s">
        <v>307</v>
      </c>
      <c r="G750" s="70" t="s">
        <v>1411</v>
      </c>
      <c r="H750" s="70" t="s">
        <v>1410</v>
      </c>
      <c r="I750" s="363">
        <v>4</v>
      </c>
      <c r="J750" s="64"/>
      <c r="K750" s="64"/>
      <c r="L750" s="64"/>
    </row>
    <row r="751" spans="1:12" x14ac:dyDescent="0.25">
      <c r="A751" s="71">
        <v>433000</v>
      </c>
      <c r="B751" s="71">
        <v>2007</v>
      </c>
      <c r="C751" s="71" t="s">
        <v>1427</v>
      </c>
      <c r="D751" s="71" t="s">
        <v>476</v>
      </c>
      <c r="E751" s="71" t="s">
        <v>475</v>
      </c>
      <c r="F751" s="66" t="s">
        <v>307</v>
      </c>
      <c r="G751" s="70" t="s">
        <v>1411</v>
      </c>
      <c r="H751" s="70" t="s">
        <v>1410</v>
      </c>
      <c r="I751" s="363">
        <v>4</v>
      </c>
      <c r="J751" s="64"/>
      <c r="K751" s="64"/>
      <c r="L751" s="64"/>
    </row>
    <row r="752" spans="1:12" x14ac:dyDescent="0.25">
      <c r="A752" s="71">
        <v>433100</v>
      </c>
      <c r="B752" s="71">
        <v>2007</v>
      </c>
      <c r="C752" s="71" t="s">
        <v>1426</v>
      </c>
      <c r="D752" s="71" t="s">
        <v>476</v>
      </c>
      <c r="E752" s="71" t="s">
        <v>475</v>
      </c>
      <c r="F752" s="66" t="s">
        <v>307</v>
      </c>
      <c r="G752" s="70" t="s">
        <v>1411</v>
      </c>
      <c r="H752" s="70" t="s">
        <v>1410</v>
      </c>
      <c r="I752" s="363">
        <v>4</v>
      </c>
      <c r="J752" s="64"/>
      <c r="K752" s="64"/>
      <c r="L752" s="64"/>
    </row>
    <row r="753" spans="1:12" x14ac:dyDescent="0.25">
      <c r="A753" s="71">
        <v>433200</v>
      </c>
      <c r="B753" s="71">
        <v>2007</v>
      </c>
      <c r="C753" s="71" t="s">
        <v>1425</v>
      </c>
      <c r="D753" s="71" t="s">
        <v>476</v>
      </c>
      <c r="E753" s="71" t="s">
        <v>475</v>
      </c>
      <c r="F753" s="66" t="s">
        <v>307</v>
      </c>
      <c r="G753" s="70" t="s">
        <v>1411</v>
      </c>
      <c r="H753" s="70" t="s">
        <v>1410</v>
      </c>
      <c r="I753" s="363">
        <v>4</v>
      </c>
      <c r="J753" s="64"/>
      <c r="K753" s="64"/>
      <c r="L753" s="64"/>
    </row>
    <row r="754" spans="1:12" x14ac:dyDescent="0.25">
      <c r="A754" s="71">
        <v>433201</v>
      </c>
      <c r="B754" s="71">
        <v>2007</v>
      </c>
      <c r="C754" s="71" t="s">
        <v>1424</v>
      </c>
      <c r="D754" s="71" t="s">
        <v>476</v>
      </c>
      <c r="E754" s="71" t="s">
        <v>475</v>
      </c>
      <c r="F754" s="66" t="s">
        <v>307</v>
      </c>
      <c r="G754" s="70" t="s">
        <v>1411</v>
      </c>
      <c r="H754" s="70" t="s">
        <v>1410</v>
      </c>
      <c r="I754" s="363">
        <v>4</v>
      </c>
      <c r="J754" s="64"/>
      <c r="K754" s="64"/>
      <c r="L754" s="64"/>
    </row>
    <row r="755" spans="1:12" x14ac:dyDescent="0.25">
      <c r="A755" s="71">
        <v>433202</v>
      </c>
      <c r="B755" s="71">
        <v>2007</v>
      </c>
      <c r="C755" s="71" t="s">
        <v>1423</v>
      </c>
      <c r="D755" s="71" t="s">
        <v>476</v>
      </c>
      <c r="E755" s="71" t="s">
        <v>475</v>
      </c>
      <c r="F755" s="66" t="s">
        <v>307</v>
      </c>
      <c r="G755" s="70" t="s">
        <v>1411</v>
      </c>
      <c r="H755" s="70" t="s">
        <v>1410</v>
      </c>
      <c r="I755" s="363">
        <v>4</v>
      </c>
      <c r="J755" s="64"/>
      <c r="K755" s="64"/>
      <c r="L755" s="64"/>
    </row>
    <row r="756" spans="1:12" x14ac:dyDescent="0.25">
      <c r="A756" s="71">
        <v>433300</v>
      </c>
      <c r="B756" s="71">
        <v>2007</v>
      </c>
      <c r="C756" s="71" t="s">
        <v>1422</v>
      </c>
      <c r="D756" s="71" t="s">
        <v>476</v>
      </c>
      <c r="E756" s="71" t="s">
        <v>475</v>
      </c>
      <c r="F756" s="66" t="s">
        <v>307</v>
      </c>
      <c r="G756" s="70" t="s">
        <v>1411</v>
      </c>
      <c r="H756" s="70" t="s">
        <v>1410</v>
      </c>
      <c r="I756" s="363">
        <v>4</v>
      </c>
      <c r="J756" s="64"/>
      <c r="K756" s="64"/>
      <c r="L756" s="64"/>
    </row>
    <row r="757" spans="1:12" x14ac:dyDescent="0.25">
      <c r="A757" s="71">
        <v>433400</v>
      </c>
      <c r="B757" s="71">
        <v>2007</v>
      </c>
      <c r="C757" s="71" t="s">
        <v>1421</v>
      </c>
      <c r="D757" s="71" t="s">
        <v>476</v>
      </c>
      <c r="E757" s="71" t="s">
        <v>475</v>
      </c>
      <c r="F757" s="66" t="s">
        <v>307</v>
      </c>
      <c r="G757" s="70" t="s">
        <v>1411</v>
      </c>
      <c r="H757" s="70" t="s">
        <v>1410</v>
      </c>
      <c r="I757" s="363">
        <v>4</v>
      </c>
      <c r="J757" s="64"/>
      <c r="K757" s="64"/>
      <c r="L757" s="64"/>
    </row>
    <row r="758" spans="1:12" x14ac:dyDescent="0.25">
      <c r="A758" s="71">
        <v>433900</v>
      </c>
      <c r="B758" s="71">
        <v>2007</v>
      </c>
      <c r="C758" s="71" t="s">
        <v>1420</v>
      </c>
      <c r="D758" s="71" t="s">
        <v>476</v>
      </c>
      <c r="E758" s="71" t="s">
        <v>475</v>
      </c>
      <c r="F758" s="66" t="s">
        <v>307</v>
      </c>
      <c r="G758" s="70" t="s">
        <v>1411</v>
      </c>
      <c r="H758" s="70" t="s">
        <v>1410</v>
      </c>
      <c r="I758" s="363">
        <v>4</v>
      </c>
      <c r="J758" s="64"/>
      <c r="K758" s="64"/>
      <c r="L758" s="64"/>
    </row>
    <row r="759" spans="1:12" x14ac:dyDescent="0.25">
      <c r="A759" s="71">
        <v>433901</v>
      </c>
      <c r="B759" s="71">
        <v>2007</v>
      </c>
      <c r="C759" s="71" t="s">
        <v>1419</v>
      </c>
      <c r="D759" s="71" t="s">
        <v>476</v>
      </c>
      <c r="E759" s="71" t="s">
        <v>475</v>
      </c>
      <c r="F759" s="66" t="s">
        <v>307</v>
      </c>
      <c r="G759" s="70" t="s">
        <v>1411</v>
      </c>
      <c r="H759" s="70" t="s">
        <v>1410</v>
      </c>
      <c r="I759" s="363">
        <v>4</v>
      </c>
      <c r="J759" s="64"/>
      <c r="K759" s="64"/>
      <c r="L759" s="64"/>
    </row>
    <row r="760" spans="1:12" x14ac:dyDescent="0.25">
      <c r="A760" s="71">
        <v>433909</v>
      </c>
      <c r="B760" s="71">
        <v>2007</v>
      </c>
      <c r="C760" s="71" t="s">
        <v>1418</v>
      </c>
      <c r="D760" s="71" t="s">
        <v>476</v>
      </c>
      <c r="E760" s="71" t="s">
        <v>475</v>
      </c>
      <c r="F760" s="66" t="s">
        <v>307</v>
      </c>
      <c r="G760" s="70" t="s">
        <v>1411</v>
      </c>
      <c r="H760" s="70" t="s">
        <v>1410</v>
      </c>
      <c r="I760" s="363">
        <v>4</v>
      </c>
      <c r="J760" s="64"/>
      <c r="K760" s="64"/>
      <c r="L760" s="64"/>
    </row>
    <row r="761" spans="1:12" x14ac:dyDescent="0.25">
      <c r="A761" s="71">
        <v>439000</v>
      </c>
      <c r="B761" s="71">
        <v>2007</v>
      </c>
      <c r="C761" s="71" t="s">
        <v>1417</v>
      </c>
      <c r="D761" s="71" t="s">
        <v>476</v>
      </c>
      <c r="E761" s="71" t="s">
        <v>475</v>
      </c>
      <c r="F761" s="66" t="s">
        <v>307</v>
      </c>
      <c r="G761" s="70" t="s">
        <v>1411</v>
      </c>
      <c r="H761" s="70" t="s">
        <v>1410</v>
      </c>
      <c r="I761" s="363">
        <v>4</v>
      </c>
      <c r="J761" s="64"/>
      <c r="K761" s="64"/>
      <c r="L761" s="64"/>
    </row>
    <row r="762" spans="1:12" x14ac:dyDescent="0.25">
      <c r="A762" s="71">
        <v>439100</v>
      </c>
      <c r="B762" s="71">
        <v>2007</v>
      </c>
      <c r="C762" s="71" t="s">
        <v>1416</v>
      </c>
      <c r="D762" s="71" t="s">
        <v>476</v>
      </c>
      <c r="E762" s="71" t="s">
        <v>475</v>
      </c>
      <c r="F762" s="66" t="s">
        <v>307</v>
      </c>
      <c r="G762" s="70" t="s">
        <v>1411</v>
      </c>
      <c r="H762" s="70" t="s">
        <v>1410</v>
      </c>
      <c r="I762" s="363">
        <v>4</v>
      </c>
      <c r="J762" s="64"/>
      <c r="K762" s="64"/>
      <c r="L762" s="64"/>
    </row>
    <row r="763" spans="1:12" x14ac:dyDescent="0.25">
      <c r="A763" s="71">
        <v>439900</v>
      </c>
      <c r="B763" s="71">
        <v>2007</v>
      </c>
      <c r="C763" s="71" t="s">
        <v>1415</v>
      </c>
      <c r="D763" s="71" t="s">
        <v>476</v>
      </c>
      <c r="E763" s="71" t="s">
        <v>475</v>
      </c>
      <c r="F763" s="66" t="s">
        <v>307</v>
      </c>
      <c r="G763" s="70" t="s">
        <v>1411</v>
      </c>
      <c r="H763" s="70" t="s">
        <v>1410</v>
      </c>
      <c r="I763" s="363">
        <v>4</v>
      </c>
      <c r="J763" s="64"/>
      <c r="K763" s="64"/>
      <c r="L763" s="64"/>
    </row>
    <row r="764" spans="1:12" x14ac:dyDescent="0.25">
      <c r="A764" s="71">
        <v>439901</v>
      </c>
      <c r="B764" s="71">
        <v>2007</v>
      </c>
      <c r="C764" s="71" t="s">
        <v>1414</v>
      </c>
      <c r="D764" s="71" t="s">
        <v>476</v>
      </c>
      <c r="E764" s="71" t="s">
        <v>475</v>
      </c>
      <c r="F764" s="66" t="s">
        <v>307</v>
      </c>
      <c r="G764" s="70" t="s">
        <v>1411</v>
      </c>
      <c r="H764" s="70" t="s">
        <v>1410</v>
      </c>
      <c r="I764" s="363">
        <v>4</v>
      </c>
      <c r="J764" s="64"/>
      <c r="K764" s="64"/>
      <c r="L764" s="64"/>
    </row>
    <row r="765" spans="1:12" x14ac:dyDescent="0.25">
      <c r="A765" s="71">
        <v>439902</v>
      </c>
      <c r="B765" s="71">
        <v>2007</v>
      </c>
      <c r="C765" s="71" t="s">
        <v>1413</v>
      </c>
      <c r="D765" s="71" t="s">
        <v>476</v>
      </c>
      <c r="E765" s="71" t="s">
        <v>475</v>
      </c>
      <c r="F765" s="66" t="s">
        <v>307</v>
      </c>
      <c r="G765" s="70" t="s">
        <v>1411</v>
      </c>
      <c r="H765" s="70" t="s">
        <v>1410</v>
      </c>
      <c r="I765" s="363">
        <v>4</v>
      </c>
      <c r="J765" s="64"/>
      <c r="K765" s="64"/>
      <c r="L765" s="64"/>
    </row>
    <row r="766" spans="1:12" x14ac:dyDescent="0.25">
      <c r="A766" s="71">
        <v>439909</v>
      </c>
      <c r="B766" s="71">
        <v>2007</v>
      </c>
      <c r="C766" s="71" t="s">
        <v>1412</v>
      </c>
      <c r="D766" s="71" t="s">
        <v>476</v>
      </c>
      <c r="E766" s="71" t="s">
        <v>475</v>
      </c>
      <c r="F766" s="66" t="s">
        <v>307</v>
      </c>
      <c r="G766" s="70" t="s">
        <v>1411</v>
      </c>
      <c r="H766" s="70" t="s">
        <v>1410</v>
      </c>
      <c r="I766" s="363">
        <v>4</v>
      </c>
      <c r="J766" s="64"/>
      <c r="K766" s="64"/>
      <c r="L766" s="64"/>
    </row>
    <row r="767" spans="1:12" x14ac:dyDescent="0.25">
      <c r="A767" s="71">
        <v>450000</v>
      </c>
      <c r="B767" s="71">
        <v>2007</v>
      </c>
      <c r="C767" s="71" t="s">
        <v>1409</v>
      </c>
      <c r="D767" s="71" t="s">
        <v>476</v>
      </c>
      <c r="E767" s="71" t="s">
        <v>475</v>
      </c>
      <c r="F767" s="66" t="s">
        <v>307</v>
      </c>
      <c r="G767" s="70" t="s">
        <v>467</v>
      </c>
      <c r="H767" s="70" t="s">
        <v>971</v>
      </c>
      <c r="I767" s="363">
        <v>3</v>
      </c>
      <c r="J767" s="64"/>
      <c r="K767" s="64"/>
      <c r="L767" s="64"/>
    </row>
    <row r="768" spans="1:12" x14ac:dyDescent="0.25">
      <c r="A768" s="71">
        <v>451000</v>
      </c>
      <c r="B768" s="71">
        <v>2007</v>
      </c>
      <c r="C768" s="71" t="s">
        <v>1408</v>
      </c>
      <c r="D768" s="71" t="s">
        <v>476</v>
      </c>
      <c r="E768" s="71" t="s">
        <v>475</v>
      </c>
      <c r="F768" s="66" t="s">
        <v>307</v>
      </c>
      <c r="G768" s="70" t="s">
        <v>467</v>
      </c>
      <c r="H768" s="70" t="s">
        <v>971</v>
      </c>
      <c r="I768" s="363">
        <v>3</v>
      </c>
      <c r="J768" s="64"/>
      <c r="K768" s="64"/>
      <c r="L768" s="64"/>
    </row>
    <row r="769" spans="1:12" x14ac:dyDescent="0.25">
      <c r="A769" s="71">
        <v>451100</v>
      </c>
      <c r="B769" s="71">
        <v>2007</v>
      </c>
      <c r="C769" s="71" t="s">
        <v>1407</v>
      </c>
      <c r="D769" s="71" t="s">
        <v>476</v>
      </c>
      <c r="E769" s="71" t="s">
        <v>475</v>
      </c>
      <c r="F769" s="66" t="s">
        <v>307</v>
      </c>
      <c r="G769" s="70" t="s">
        <v>467</v>
      </c>
      <c r="H769" s="70" t="s">
        <v>971</v>
      </c>
      <c r="I769" s="363">
        <v>3</v>
      </c>
      <c r="J769" s="64"/>
      <c r="K769" s="64"/>
      <c r="L769" s="64"/>
    </row>
    <row r="770" spans="1:12" x14ac:dyDescent="0.25">
      <c r="A770" s="71">
        <v>451101</v>
      </c>
      <c r="B770" s="71">
        <v>2007</v>
      </c>
      <c r="C770" s="71" t="s">
        <v>1406</v>
      </c>
      <c r="D770" s="71" t="s">
        <v>476</v>
      </c>
      <c r="E770" s="71" t="s">
        <v>475</v>
      </c>
      <c r="F770" s="66" t="s">
        <v>307</v>
      </c>
      <c r="G770" s="70" t="s">
        <v>467</v>
      </c>
      <c r="H770" s="70" t="s">
        <v>971</v>
      </c>
      <c r="I770" s="363">
        <v>3</v>
      </c>
      <c r="J770" s="64"/>
      <c r="K770" s="64"/>
      <c r="L770" s="64"/>
    </row>
    <row r="771" spans="1:12" x14ac:dyDescent="0.25">
      <c r="A771" s="71">
        <v>451102</v>
      </c>
      <c r="B771" s="71">
        <v>2007</v>
      </c>
      <c r="C771" s="71" t="s">
        <v>1405</v>
      </c>
      <c r="D771" s="71" t="s">
        <v>476</v>
      </c>
      <c r="E771" s="71" t="s">
        <v>475</v>
      </c>
      <c r="F771" s="66" t="s">
        <v>307</v>
      </c>
      <c r="G771" s="70" t="s">
        <v>467</v>
      </c>
      <c r="H771" s="70" t="s">
        <v>971</v>
      </c>
      <c r="I771" s="363">
        <v>3</v>
      </c>
      <c r="J771" s="64"/>
      <c r="K771" s="64"/>
      <c r="L771" s="64"/>
    </row>
    <row r="772" spans="1:12" x14ac:dyDescent="0.25">
      <c r="A772" s="71">
        <v>451900</v>
      </c>
      <c r="B772" s="71">
        <v>2007</v>
      </c>
      <c r="C772" s="71" t="s">
        <v>1404</v>
      </c>
      <c r="D772" s="71" t="s">
        <v>476</v>
      </c>
      <c r="E772" s="71" t="s">
        <v>475</v>
      </c>
      <c r="F772" s="66" t="s">
        <v>307</v>
      </c>
      <c r="G772" s="70" t="s">
        <v>467</v>
      </c>
      <c r="H772" s="70" t="s">
        <v>971</v>
      </c>
      <c r="I772" s="363">
        <v>3</v>
      </c>
      <c r="J772" s="64"/>
      <c r="K772" s="64"/>
      <c r="L772" s="64"/>
    </row>
    <row r="773" spans="1:12" x14ac:dyDescent="0.25">
      <c r="A773" s="71">
        <v>451901</v>
      </c>
      <c r="B773" s="71">
        <v>2007</v>
      </c>
      <c r="C773" s="71" t="s">
        <v>1403</v>
      </c>
      <c r="D773" s="71" t="s">
        <v>476</v>
      </c>
      <c r="E773" s="71" t="s">
        <v>475</v>
      </c>
      <c r="F773" s="66" t="s">
        <v>307</v>
      </c>
      <c r="G773" s="70" t="s">
        <v>467</v>
      </c>
      <c r="H773" s="70" t="s">
        <v>971</v>
      </c>
      <c r="I773" s="363">
        <v>3</v>
      </c>
      <c r="J773" s="64"/>
      <c r="K773" s="64"/>
      <c r="L773" s="64"/>
    </row>
    <row r="774" spans="1:12" x14ac:dyDescent="0.25">
      <c r="A774" s="71">
        <v>451902</v>
      </c>
      <c r="B774" s="71">
        <v>2007</v>
      </c>
      <c r="C774" s="71" t="s">
        <v>1402</v>
      </c>
      <c r="D774" s="71" t="s">
        <v>476</v>
      </c>
      <c r="E774" s="71" t="s">
        <v>475</v>
      </c>
      <c r="F774" s="66" t="s">
        <v>307</v>
      </c>
      <c r="G774" s="70" t="s">
        <v>467</v>
      </c>
      <c r="H774" s="70" t="s">
        <v>971</v>
      </c>
      <c r="I774" s="363">
        <v>3</v>
      </c>
      <c r="J774" s="64"/>
      <c r="K774" s="64"/>
      <c r="L774" s="64"/>
    </row>
    <row r="775" spans="1:12" x14ac:dyDescent="0.25">
      <c r="A775" s="71">
        <v>452000</v>
      </c>
      <c r="B775" s="71">
        <v>2007</v>
      </c>
      <c r="C775" s="71" t="s">
        <v>1401</v>
      </c>
      <c r="D775" s="71" t="s">
        <v>476</v>
      </c>
      <c r="E775" s="71" t="s">
        <v>475</v>
      </c>
      <c r="F775" s="66" t="s">
        <v>307</v>
      </c>
      <c r="G775" s="70" t="s">
        <v>467</v>
      </c>
      <c r="H775" s="70" t="s">
        <v>971</v>
      </c>
      <c r="I775" s="363">
        <v>3</v>
      </c>
      <c r="J775" s="64"/>
      <c r="K775" s="64"/>
      <c r="L775" s="64"/>
    </row>
    <row r="776" spans="1:12" x14ac:dyDescent="0.25">
      <c r="A776" s="71">
        <v>452010</v>
      </c>
      <c r="B776" s="71">
        <v>2007</v>
      </c>
      <c r="C776" s="71" t="s">
        <v>1400</v>
      </c>
      <c r="D776" s="71" t="s">
        <v>476</v>
      </c>
      <c r="E776" s="71" t="s">
        <v>475</v>
      </c>
      <c r="F776" s="66" t="s">
        <v>307</v>
      </c>
      <c r="G776" s="70" t="s">
        <v>467</v>
      </c>
      <c r="H776" s="70" t="s">
        <v>971</v>
      </c>
      <c r="I776" s="363">
        <v>3</v>
      </c>
      <c r="J776" s="64"/>
      <c r="K776" s="64"/>
      <c r="L776" s="64"/>
    </row>
    <row r="777" spans="1:12" x14ac:dyDescent="0.25">
      <c r="A777" s="71">
        <v>452020</v>
      </c>
      <c r="B777" s="71">
        <v>2007</v>
      </c>
      <c r="C777" s="71" t="s">
        <v>1399</v>
      </c>
      <c r="D777" s="71" t="s">
        <v>476</v>
      </c>
      <c r="E777" s="71" t="s">
        <v>475</v>
      </c>
      <c r="F777" s="66" t="s">
        <v>307</v>
      </c>
      <c r="G777" s="70" t="s">
        <v>467</v>
      </c>
      <c r="H777" s="70" t="s">
        <v>971</v>
      </c>
      <c r="I777" s="363">
        <v>3</v>
      </c>
      <c r="J777" s="64"/>
      <c r="K777" s="64"/>
      <c r="L777" s="64"/>
    </row>
    <row r="778" spans="1:12" x14ac:dyDescent="0.25">
      <c r="A778" s="71">
        <v>452030</v>
      </c>
      <c r="B778" s="71">
        <v>2007</v>
      </c>
      <c r="C778" s="71" t="s">
        <v>1398</v>
      </c>
      <c r="D778" s="71" t="s">
        <v>476</v>
      </c>
      <c r="E778" s="71" t="s">
        <v>475</v>
      </c>
      <c r="F778" s="66" t="s">
        <v>307</v>
      </c>
      <c r="G778" s="70" t="s">
        <v>467</v>
      </c>
      <c r="H778" s="70" t="s">
        <v>971</v>
      </c>
      <c r="I778" s="363">
        <v>3</v>
      </c>
      <c r="J778" s="64"/>
      <c r="K778" s="64"/>
      <c r="L778" s="64"/>
    </row>
    <row r="779" spans="1:12" x14ac:dyDescent="0.25">
      <c r="A779" s="71">
        <v>452040</v>
      </c>
      <c r="B779" s="71">
        <v>2007</v>
      </c>
      <c r="C779" s="71" t="s">
        <v>1397</v>
      </c>
      <c r="D779" s="71" t="s">
        <v>476</v>
      </c>
      <c r="E779" s="71" t="s">
        <v>475</v>
      </c>
      <c r="F779" s="66" t="s">
        <v>307</v>
      </c>
      <c r="G779" s="70" t="s">
        <v>467</v>
      </c>
      <c r="H779" s="70" t="s">
        <v>971</v>
      </c>
      <c r="I779" s="363">
        <v>3</v>
      </c>
      <c r="J779" s="64"/>
      <c r="K779" s="64"/>
      <c r="L779" s="64"/>
    </row>
    <row r="780" spans="1:12" x14ac:dyDescent="0.25">
      <c r="A780" s="71">
        <v>452090</v>
      </c>
      <c r="B780" s="71">
        <v>2007</v>
      </c>
      <c r="C780" s="71" t="s">
        <v>1396</v>
      </c>
      <c r="D780" s="71" t="s">
        <v>476</v>
      </c>
      <c r="E780" s="71" t="s">
        <v>475</v>
      </c>
      <c r="F780" s="66" t="s">
        <v>307</v>
      </c>
      <c r="G780" s="70" t="s">
        <v>467</v>
      </c>
      <c r="H780" s="70" t="s">
        <v>971</v>
      </c>
      <c r="I780" s="363">
        <v>3</v>
      </c>
      <c r="J780" s="64"/>
      <c r="K780" s="64"/>
      <c r="L780" s="64"/>
    </row>
    <row r="781" spans="1:12" x14ac:dyDescent="0.25">
      <c r="A781" s="71">
        <v>452091</v>
      </c>
      <c r="B781" s="71">
        <v>2007</v>
      </c>
      <c r="C781" s="71" t="s">
        <v>1395</v>
      </c>
      <c r="D781" s="71" t="s">
        <v>476</v>
      </c>
      <c r="E781" s="71" t="s">
        <v>475</v>
      </c>
      <c r="F781" s="66" t="s">
        <v>307</v>
      </c>
      <c r="G781" s="70" t="s">
        <v>467</v>
      </c>
      <c r="H781" s="70" t="s">
        <v>971</v>
      </c>
      <c r="I781" s="363">
        <v>3</v>
      </c>
      <c r="J781" s="64"/>
      <c r="K781" s="64"/>
      <c r="L781" s="64"/>
    </row>
    <row r="782" spans="1:12" x14ac:dyDescent="0.25">
      <c r="A782" s="71">
        <v>452099</v>
      </c>
      <c r="B782" s="71">
        <v>2007</v>
      </c>
      <c r="C782" s="71" t="s">
        <v>1394</v>
      </c>
      <c r="D782" s="71" t="s">
        <v>476</v>
      </c>
      <c r="E782" s="71" t="s">
        <v>475</v>
      </c>
      <c r="F782" s="66" t="s">
        <v>307</v>
      </c>
      <c r="G782" s="70" t="s">
        <v>467</v>
      </c>
      <c r="H782" s="70" t="s">
        <v>971</v>
      </c>
      <c r="I782" s="363">
        <v>3</v>
      </c>
      <c r="J782" s="64"/>
      <c r="K782" s="64"/>
      <c r="L782" s="64"/>
    </row>
    <row r="783" spans="1:12" x14ac:dyDescent="0.25">
      <c r="A783" s="71">
        <v>453000</v>
      </c>
      <c r="B783" s="71">
        <v>2007</v>
      </c>
      <c r="C783" s="71" t="s">
        <v>1393</v>
      </c>
      <c r="D783" s="71" t="s">
        <v>476</v>
      </c>
      <c r="E783" s="71" t="s">
        <v>475</v>
      </c>
      <c r="F783" s="66" t="s">
        <v>307</v>
      </c>
      <c r="G783" s="70" t="s">
        <v>467</v>
      </c>
      <c r="H783" s="70" t="s">
        <v>971</v>
      </c>
      <c r="I783" s="363">
        <v>3</v>
      </c>
      <c r="J783" s="64"/>
      <c r="K783" s="64"/>
      <c r="L783" s="64"/>
    </row>
    <row r="784" spans="1:12" x14ac:dyDescent="0.25">
      <c r="A784" s="71">
        <v>453100</v>
      </c>
      <c r="B784" s="71">
        <v>2007</v>
      </c>
      <c r="C784" s="71" t="s">
        <v>1392</v>
      </c>
      <c r="D784" s="71" t="s">
        <v>476</v>
      </c>
      <c r="E784" s="71" t="s">
        <v>475</v>
      </c>
      <c r="F784" s="66" t="s">
        <v>307</v>
      </c>
      <c r="G784" s="70" t="s">
        <v>467</v>
      </c>
      <c r="H784" s="70" t="s">
        <v>971</v>
      </c>
      <c r="I784" s="363">
        <v>3</v>
      </c>
      <c r="J784" s="64"/>
      <c r="K784" s="64"/>
      <c r="L784" s="64"/>
    </row>
    <row r="785" spans="1:12" x14ac:dyDescent="0.25">
      <c r="A785" s="71">
        <v>453101</v>
      </c>
      <c r="B785" s="71">
        <v>2007</v>
      </c>
      <c r="C785" s="71" t="s">
        <v>1392</v>
      </c>
      <c r="D785" s="71" t="s">
        <v>476</v>
      </c>
      <c r="E785" s="71" t="s">
        <v>475</v>
      </c>
      <c r="F785" s="66" t="s">
        <v>307</v>
      </c>
      <c r="G785" s="70" t="s">
        <v>467</v>
      </c>
      <c r="H785" s="70" t="s">
        <v>971</v>
      </c>
      <c r="I785" s="363">
        <v>3</v>
      </c>
      <c r="J785" s="64"/>
      <c r="K785" s="64"/>
      <c r="L785" s="64"/>
    </row>
    <row r="786" spans="1:12" x14ac:dyDescent="0.25">
      <c r="A786" s="71">
        <v>453102</v>
      </c>
      <c r="B786" s="71">
        <v>2007</v>
      </c>
      <c r="C786" s="71" t="s">
        <v>1391</v>
      </c>
      <c r="D786" s="71" t="s">
        <v>476</v>
      </c>
      <c r="E786" s="71" t="s">
        <v>475</v>
      </c>
      <c r="F786" s="66" t="s">
        <v>307</v>
      </c>
      <c r="G786" s="70" t="s">
        <v>467</v>
      </c>
      <c r="H786" s="70" t="s">
        <v>971</v>
      </c>
      <c r="I786" s="363">
        <v>3</v>
      </c>
      <c r="J786" s="64"/>
      <c r="K786" s="64"/>
      <c r="L786" s="64"/>
    </row>
    <row r="787" spans="1:12" x14ac:dyDescent="0.25">
      <c r="A787" s="71">
        <v>453200</v>
      </c>
      <c r="B787" s="71">
        <v>2007</v>
      </c>
      <c r="C787" s="71" t="s">
        <v>1390</v>
      </c>
      <c r="D787" s="71" t="s">
        <v>476</v>
      </c>
      <c r="E787" s="71" t="s">
        <v>475</v>
      </c>
      <c r="F787" s="66" t="s">
        <v>307</v>
      </c>
      <c r="G787" s="70" t="s">
        <v>467</v>
      </c>
      <c r="H787" s="70" t="s">
        <v>971</v>
      </c>
      <c r="I787" s="363">
        <v>3</v>
      </c>
      <c r="J787" s="64"/>
      <c r="K787" s="64"/>
      <c r="L787" s="64"/>
    </row>
    <row r="788" spans="1:12" x14ac:dyDescent="0.25">
      <c r="A788" s="71">
        <v>454000</v>
      </c>
      <c r="B788" s="71">
        <v>2007</v>
      </c>
      <c r="C788" s="71" t="s">
        <v>1389</v>
      </c>
      <c r="D788" s="71" t="s">
        <v>476</v>
      </c>
      <c r="E788" s="71" t="s">
        <v>475</v>
      </c>
      <c r="F788" s="66" t="s">
        <v>307</v>
      </c>
      <c r="G788" s="70" t="s">
        <v>467</v>
      </c>
      <c r="H788" s="70" t="s">
        <v>971</v>
      </c>
      <c r="I788" s="363">
        <v>3</v>
      </c>
      <c r="J788" s="64"/>
      <c r="K788" s="64"/>
      <c r="L788" s="64"/>
    </row>
    <row r="789" spans="1:12" x14ac:dyDescent="0.25">
      <c r="A789" s="71">
        <v>454010</v>
      </c>
      <c r="B789" s="71">
        <v>2007</v>
      </c>
      <c r="C789" s="71" t="s">
        <v>1388</v>
      </c>
      <c r="D789" s="71" t="s">
        <v>476</v>
      </c>
      <c r="E789" s="71" t="s">
        <v>475</v>
      </c>
      <c r="F789" s="66" t="s">
        <v>307</v>
      </c>
      <c r="G789" s="70" t="s">
        <v>467</v>
      </c>
      <c r="H789" s="70" t="s">
        <v>971</v>
      </c>
      <c r="I789" s="363">
        <v>3</v>
      </c>
      <c r="J789" s="64"/>
      <c r="K789" s="64"/>
      <c r="L789" s="64"/>
    </row>
    <row r="790" spans="1:12" x14ac:dyDescent="0.25">
      <c r="A790" s="71">
        <v>454011</v>
      </c>
      <c r="B790" s="71">
        <v>2007</v>
      </c>
      <c r="C790" s="71" t="s">
        <v>1388</v>
      </c>
      <c r="D790" s="71" t="s">
        <v>476</v>
      </c>
      <c r="E790" s="71" t="s">
        <v>475</v>
      </c>
      <c r="F790" s="66" t="s">
        <v>307</v>
      </c>
      <c r="G790" s="70" t="s">
        <v>467</v>
      </c>
      <c r="H790" s="70" t="s">
        <v>971</v>
      </c>
      <c r="I790" s="363">
        <v>3</v>
      </c>
      <c r="J790" s="64"/>
      <c r="K790" s="64"/>
      <c r="L790" s="64"/>
    </row>
    <row r="791" spans="1:12" x14ac:dyDescent="0.25">
      <c r="A791" s="71">
        <v>454012</v>
      </c>
      <c r="B791" s="71">
        <v>2007</v>
      </c>
      <c r="C791" s="71" t="s">
        <v>1387</v>
      </c>
      <c r="D791" s="71" t="s">
        <v>476</v>
      </c>
      <c r="E791" s="71" t="s">
        <v>475</v>
      </c>
      <c r="F791" s="66" t="s">
        <v>307</v>
      </c>
      <c r="G791" s="70" t="s">
        <v>467</v>
      </c>
      <c r="H791" s="70" t="s">
        <v>971</v>
      </c>
      <c r="I791" s="363">
        <v>3</v>
      </c>
      <c r="J791" s="64"/>
      <c r="K791" s="64"/>
      <c r="L791" s="64"/>
    </row>
    <row r="792" spans="1:12" x14ac:dyDescent="0.25">
      <c r="A792" s="71">
        <v>454020</v>
      </c>
      <c r="B792" s="71">
        <v>2007</v>
      </c>
      <c r="C792" s="71" t="s">
        <v>1386</v>
      </c>
      <c r="D792" s="71" t="s">
        <v>476</v>
      </c>
      <c r="E792" s="71" t="s">
        <v>475</v>
      </c>
      <c r="F792" s="66" t="s">
        <v>307</v>
      </c>
      <c r="G792" s="70" t="s">
        <v>467</v>
      </c>
      <c r="H792" s="70" t="s">
        <v>971</v>
      </c>
      <c r="I792" s="363">
        <v>3</v>
      </c>
      <c r="J792" s="64"/>
      <c r="K792" s="64"/>
      <c r="L792" s="64"/>
    </row>
    <row r="793" spans="1:12" x14ac:dyDescent="0.25">
      <c r="A793" s="71">
        <v>454021</v>
      </c>
      <c r="B793" s="71">
        <v>2007</v>
      </c>
      <c r="C793" s="71" t="s">
        <v>1386</v>
      </c>
      <c r="D793" s="71" t="s">
        <v>476</v>
      </c>
      <c r="E793" s="71" t="s">
        <v>475</v>
      </c>
      <c r="F793" s="66" t="s">
        <v>307</v>
      </c>
      <c r="G793" s="70" t="s">
        <v>467</v>
      </c>
      <c r="H793" s="70" t="s">
        <v>971</v>
      </c>
      <c r="I793" s="363">
        <v>3</v>
      </c>
      <c r="J793" s="64"/>
      <c r="K793" s="64"/>
      <c r="L793" s="64"/>
    </row>
    <row r="794" spans="1:12" x14ac:dyDescent="0.25">
      <c r="A794" s="71">
        <v>454022</v>
      </c>
      <c r="B794" s="71">
        <v>2007</v>
      </c>
      <c r="C794" s="71" t="s">
        <v>1385</v>
      </c>
      <c r="D794" s="71" t="s">
        <v>476</v>
      </c>
      <c r="E794" s="71" t="s">
        <v>475</v>
      </c>
      <c r="F794" s="66" t="s">
        <v>307</v>
      </c>
      <c r="G794" s="70" t="s">
        <v>467</v>
      </c>
      <c r="H794" s="70" t="s">
        <v>971</v>
      </c>
      <c r="I794" s="363">
        <v>3</v>
      </c>
      <c r="J794" s="64"/>
      <c r="K794" s="64"/>
      <c r="L794" s="64"/>
    </row>
    <row r="795" spans="1:12" x14ac:dyDescent="0.25">
      <c r="A795" s="71">
        <v>454030</v>
      </c>
      <c r="B795" s="71">
        <v>2007</v>
      </c>
      <c r="C795" s="71" t="s">
        <v>1384</v>
      </c>
      <c r="D795" s="71" t="s">
        <v>476</v>
      </c>
      <c r="E795" s="71" t="s">
        <v>475</v>
      </c>
      <c r="F795" s="66" t="s">
        <v>307</v>
      </c>
      <c r="G795" s="70" t="s">
        <v>467</v>
      </c>
      <c r="H795" s="70" t="s">
        <v>971</v>
      </c>
      <c r="I795" s="363">
        <v>3</v>
      </c>
      <c r="J795" s="64"/>
      <c r="K795" s="64"/>
      <c r="L795" s="64"/>
    </row>
    <row r="796" spans="1:12" x14ac:dyDescent="0.25">
      <c r="A796" s="71">
        <v>460000</v>
      </c>
      <c r="B796" s="71">
        <v>2007</v>
      </c>
      <c r="C796" s="71" t="s">
        <v>1383</v>
      </c>
      <c r="D796" s="71" t="s">
        <v>476</v>
      </c>
      <c r="E796" s="71" t="s">
        <v>1044</v>
      </c>
      <c r="F796" s="66" t="s">
        <v>307</v>
      </c>
      <c r="G796" s="70" t="s">
        <v>467</v>
      </c>
      <c r="H796" s="70" t="s">
        <v>971</v>
      </c>
      <c r="I796" s="363">
        <v>3</v>
      </c>
      <c r="J796" s="64"/>
      <c r="K796" s="64"/>
      <c r="L796" s="64"/>
    </row>
    <row r="797" spans="1:12" x14ac:dyDescent="0.25">
      <c r="A797" s="71">
        <v>461000</v>
      </c>
      <c r="B797" s="71">
        <v>2007</v>
      </c>
      <c r="C797" s="71" t="s">
        <v>1382</v>
      </c>
      <c r="D797" s="71" t="s">
        <v>476</v>
      </c>
      <c r="E797" s="71" t="s">
        <v>1044</v>
      </c>
      <c r="F797" s="66" t="s">
        <v>307</v>
      </c>
      <c r="G797" s="70" t="s">
        <v>467</v>
      </c>
      <c r="H797" s="70" t="s">
        <v>971</v>
      </c>
      <c r="I797" s="363">
        <v>3</v>
      </c>
      <c r="J797" s="64"/>
      <c r="K797" s="64"/>
      <c r="L797" s="64"/>
    </row>
    <row r="798" spans="1:12" x14ac:dyDescent="0.25">
      <c r="A798" s="71">
        <v>461100</v>
      </c>
      <c r="B798" s="71">
        <v>2007</v>
      </c>
      <c r="C798" s="71" t="s">
        <v>1381</v>
      </c>
      <c r="D798" s="71" t="s">
        <v>476</v>
      </c>
      <c r="E798" s="71" t="s">
        <v>1044</v>
      </c>
      <c r="F798" s="66" t="s">
        <v>307</v>
      </c>
      <c r="G798" s="70" t="s">
        <v>467</v>
      </c>
      <c r="H798" s="70" t="s">
        <v>971</v>
      </c>
      <c r="I798" s="363">
        <v>3</v>
      </c>
      <c r="J798" s="64"/>
      <c r="K798" s="64"/>
      <c r="L798" s="64"/>
    </row>
    <row r="799" spans="1:12" x14ac:dyDescent="0.25">
      <c r="A799" s="71">
        <v>461101</v>
      </c>
      <c r="B799" s="71">
        <v>2007</v>
      </c>
      <c r="C799" s="71" t="s">
        <v>1380</v>
      </c>
      <c r="D799" s="71" t="s">
        <v>476</v>
      </c>
      <c r="E799" s="71" t="s">
        <v>468</v>
      </c>
      <c r="F799" s="66" t="s">
        <v>307</v>
      </c>
      <c r="G799" s="70" t="s">
        <v>467</v>
      </c>
      <c r="H799" s="70" t="s">
        <v>971</v>
      </c>
      <c r="I799" s="363">
        <v>3</v>
      </c>
      <c r="J799" s="64"/>
      <c r="K799" s="64"/>
      <c r="L799" s="64"/>
    </row>
    <row r="800" spans="1:12" x14ac:dyDescent="0.25">
      <c r="A800" s="71">
        <v>461102</v>
      </c>
      <c r="B800" s="71">
        <v>2007</v>
      </c>
      <c r="C800" s="71" t="s">
        <v>1379</v>
      </c>
      <c r="D800" s="71" t="s">
        <v>476</v>
      </c>
      <c r="E800" s="71" t="s">
        <v>468</v>
      </c>
      <c r="F800" s="66" t="s">
        <v>307</v>
      </c>
      <c r="G800" s="70" t="s">
        <v>467</v>
      </c>
      <c r="H800" s="70" t="s">
        <v>971</v>
      </c>
      <c r="I800" s="363">
        <v>3</v>
      </c>
      <c r="J800" s="64"/>
      <c r="K800" s="64"/>
      <c r="L800" s="64"/>
    </row>
    <row r="801" spans="1:12" x14ac:dyDescent="0.25">
      <c r="A801" s="71">
        <v>461103</v>
      </c>
      <c r="B801" s="71">
        <v>2007</v>
      </c>
      <c r="C801" s="71" t="s">
        <v>1378</v>
      </c>
      <c r="D801" s="71" t="s">
        <v>476</v>
      </c>
      <c r="E801" s="71" t="s">
        <v>468</v>
      </c>
      <c r="F801" s="66" t="s">
        <v>307</v>
      </c>
      <c r="G801" s="70" t="s">
        <v>467</v>
      </c>
      <c r="H801" s="70" t="s">
        <v>971</v>
      </c>
      <c r="I801" s="363">
        <v>3</v>
      </c>
      <c r="J801" s="64"/>
      <c r="K801" s="64"/>
      <c r="L801" s="64"/>
    </row>
    <row r="802" spans="1:12" x14ac:dyDescent="0.25">
      <c r="A802" s="71">
        <v>461104</v>
      </c>
      <c r="B802" s="71">
        <v>2007</v>
      </c>
      <c r="C802" s="71" t="s">
        <v>1377</v>
      </c>
      <c r="D802" s="71" t="s">
        <v>476</v>
      </c>
      <c r="E802" s="71" t="s">
        <v>1044</v>
      </c>
      <c r="F802" s="66" t="s">
        <v>307</v>
      </c>
      <c r="G802" s="70" t="s">
        <v>467</v>
      </c>
      <c r="H802" s="70" t="s">
        <v>971</v>
      </c>
      <c r="I802" s="363">
        <v>3</v>
      </c>
      <c r="J802" s="64"/>
      <c r="K802" s="64"/>
      <c r="L802" s="64"/>
    </row>
    <row r="803" spans="1:12" x14ac:dyDescent="0.25">
      <c r="A803" s="71">
        <v>461105</v>
      </c>
      <c r="B803" s="71">
        <v>2007</v>
      </c>
      <c r="C803" s="71" t="s">
        <v>1376</v>
      </c>
      <c r="D803" s="71" t="s">
        <v>476</v>
      </c>
      <c r="E803" s="71" t="s">
        <v>1044</v>
      </c>
      <c r="F803" s="66" t="s">
        <v>307</v>
      </c>
      <c r="G803" s="70" t="s">
        <v>467</v>
      </c>
      <c r="H803" s="70" t="s">
        <v>971</v>
      </c>
      <c r="I803" s="363">
        <v>3</v>
      </c>
      <c r="J803" s="64"/>
      <c r="K803" s="64"/>
      <c r="L803" s="64"/>
    </row>
    <row r="804" spans="1:12" x14ac:dyDescent="0.25">
      <c r="A804" s="71">
        <v>461106</v>
      </c>
      <c r="B804" s="71">
        <v>2007</v>
      </c>
      <c r="C804" s="71" t="s">
        <v>1375</v>
      </c>
      <c r="D804" s="71" t="s">
        <v>476</v>
      </c>
      <c r="E804" s="71" t="s">
        <v>1044</v>
      </c>
      <c r="F804" s="66" t="s">
        <v>307</v>
      </c>
      <c r="G804" s="70" t="s">
        <v>467</v>
      </c>
      <c r="H804" s="70" t="s">
        <v>971</v>
      </c>
      <c r="I804" s="363">
        <v>3</v>
      </c>
      <c r="J804" s="64"/>
      <c r="K804" s="64"/>
      <c r="L804" s="64"/>
    </row>
    <row r="805" spans="1:12" x14ac:dyDescent="0.25">
      <c r="A805" s="71">
        <v>461107</v>
      </c>
      <c r="B805" s="71">
        <v>2007</v>
      </c>
      <c r="C805" s="71" t="s">
        <v>1374</v>
      </c>
      <c r="D805" s="71" t="s">
        <v>476</v>
      </c>
      <c r="E805" s="71" t="s">
        <v>468</v>
      </c>
      <c r="F805" s="66" t="s">
        <v>307</v>
      </c>
      <c r="G805" s="70" t="s">
        <v>467</v>
      </c>
      <c r="H805" s="70" t="s">
        <v>971</v>
      </c>
      <c r="I805" s="363">
        <v>3</v>
      </c>
      <c r="J805" s="64"/>
      <c r="K805" s="64"/>
      <c r="L805" s="64"/>
    </row>
    <row r="806" spans="1:12" x14ac:dyDescent="0.25">
      <c r="A806" s="71">
        <v>461200</v>
      </c>
      <c r="B806" s="71">
        <v>2007</v>
      </c>
      <c r="C806" s="71" t="s">
        <v>1373</v>
      </c>
      <c r="D806" s="71" t="s">
        <v>476</v>
      </c>
      <c r="E806" s="71" t="s">
        <v>475</v>
      </c>
      <c r="F806" s="66" t="s">
        <v>307</v>
      </c>
      <c r="G806" s="70" t="s">
        <v>467</v>
      </c>
      <c r="H806" s="70" t="s">
        <v>971</v>
      </c>
      <c r="I806" s="363">
        <v>3</v>
      </c>
      <c r="J806" s="64"/>
      <c r="K806" s="64"/>
      <c r="L806" s="64"/>
    </row>
    <row r="807" spans="1:12" x14ac:dyDescent="0.25">
      <c r="A807" s="71">
        <v>461201</v>
      </c>
      <c r="B807" s="71">
        <v>2007</v>
      </c>
      <c r="C807" s="71" t="s">
        <v>1372</v>
      </c>
      <c r="D807" s="71" t="s">
        <v>476</v>
      </c>
      <c r="E807" s="71" t="s">
        <v>475</v>
      </c>
      <c r="F807" s="66" t="s">
        <v>307</v>
      </c>
      <c r="G807" s="70" t="s">
        <v>467</v>
      </c>
      <c r="H807" s="70" t="s">
        <v>971</v>
      </c>
      <c r="I807" s="363">
        <v>3</v>
      </c>
      <c r="J807" s="64"/>
      <c r="K807" s="64"/>
      <c r="L807" s="64"/>
    </row>
    <row r="808" spans="1:12" x14ac:dyDescent="0.25">
      <c r="A808" s="71">
        <v>461202</v>
      </c>
      <c r="B808" s="71">
        <v>2007</v>
      </c>
      <c r="C808" s="71" t="s">
        <v>1371</v>
      </c>
      <c r="D808" s="71" t="s">
        <v>476</v>
      </c>
      <c r="E808" s="71" t="s">
        <v>475</v>
      </c>
      <c r="F808" s="66" t="s">
        <v>307</v>
      </c>
      <c r="G808" s="70" t="s">
        <v>467</v>
      </c>
      <c r="H808" s="70" t="s">
        <v>971</v>
      </c>
      <c r="I808" s="363">
        <v>3</v>
      </c>
      <c r="J808" s="64"/>
      <c r="K808" s="64"/>
      <c r="L808" s="64"/>
    </row>
    <row r="809" spans="1:12" x14ac:dyDescent="0.25">
      <c r="A809" s="71">
        <v>461203</v>
      </c>
      <c r="B809" s="71">
        <v>2007</v>
      </c>
      <c r="C809" s="71" t="s">
        <v>1370</v>
      </c>
      <c r="D809" s="71" t="s">
        <v>476</v>
      </c>
      <c r="E809" s="71" t="s">
        <v>475</v>
      </c>
      <c r="F809" s="66" t="s">
        <v>307</v>
      </c>
      <c r="G809" s="70" t="s">
        <v>467</v>
      </c>
      <c r="H809" s="70" t="s">
        <v>971</v>
      </c>
      <c r="I809" s="363">
        <v>3</v>
      </c>
      <c r="J809" s="64"/>
      <c r="K809" s="64"/>
      <c r="L809" s="64"/>
    </row>
    <row r="810" spans="1:12" x14ac:dyDescent="0.25">
      <c r="A810" s="71">
        <v>461204</v>
      </c>
      <c r="B810" s="71">
        <v>2007</v>
      </c>
      <c r="C810" s="71" t="s">
        <v>1369</v>
      </c>
      <c r="D810" s="71" t="s">
        <v>476</v>
      </c>
      <c r="E810" s="71" t="s">
        <v>475</v>
      </c>
      <c r="F810" s="66" t="s">
        <v>307</v>
      </c>
      <c r="G810" s="70" t="s">
        <v>467</v>
      </c>
      <c r="H810" s="70" t="s">
        <v>971</v>
      </c>
      <c r="I810" s="363">
        <v>3</v>
      </c>
      <c r="J810" s="64"/>
      <c r="K810" s="64"/>
      <c r="L810" s="64"/>
    </row>
    <row r="811" spans="1:12" x14ac:dyDescent="0.25">
      <c r="A811" s="71">
        <v>461205</v>
      </c>
      <c r="B811" s="71">
        <v>2007</v>
      </c>
      <c r="C811" s="71" t="s">
        <v>1368</v>
      </c>
      <c r="D811" s="71" t="s">
        <v>476</v>
      </c>
      <c r="E811" s="71" t="s">
        <v>475</v>
      </c>
      <c r="F811" s="66" t="s">
        <v>307</v>
      </c>
      <c r="G811" s="70" t="s">
        <v>467</v>
      </c>
      <c r="H811" s="70" t="s">
        <v>971</v>
      </c>
      <c r="I811" s="363">
        <v>3</v>
      </c>
      <c r="J811" s="64"/>
      <c r="K811" s="64"/>
      <c r="L811" s="64"/>
    </row>
    <row r="812" spans="1:12" x14ac:dyDescent="0.25">
      <c r="A812" s="71">
        <v>461206</v>
      </c>
      <c r="B812" s="71">
        <v>2007</v>
      </c>
      <c r="C812" s="71" t="s">
        <v>1367</v>
      </c>
      <c r="D812" s="71" t="s">
        <v>476</v>
      </c>
      <c r="E812" s="71" t="s">
        <v>475</v>
      </c>
      <c r="F812" s="66" t="s">
        <v>307</v>
      </c>
      <c r="G812" s="70" t="s">
        <v>467</v>
      </c>
      <c r="H812" s="70" t="s">
        <v>971</v>
      </c>
      <c r="I812" s="363">
        <v>3</v>
      </c>
      <c r="J812" s="64"/>
      <c r="K812" s="64"/>
      <c r="L812" s="64"/>
    </row>
    <row r="813" spans="1:12" x14ac:dyDescent="0.25">
      <c r="A813" s="71">
        <v>461207</v>
      </c>
      <c r="B813" s="71">
        <v>2007</v>
      </c>
      <c r="C813" s="71" t="s">
        <v>1366</v>
      </c>
      <c r="D813" s="71" t="s">
        <v>476</v>
      </c>
      <c r="E813" s="71" t="s">
        <v>475</v>
      </c>
      <c r="F813" s="66" t="s">
        <v>307</v>
      </c>
      <c r="G813" s="70" t="s">
        <v>467</v>
      </c>
      <c r="H813" s="70" t="s">
        <v>971</v>
      </c>
      <c r="I813" s="363">
        <v>3</v>
      </c>
      <c r="J813" s="64"/>
      <c r="K813" s="64"/>
      <c r="L813" s="64"/>
    </row>
    <row r="814" spans="1:12" x14ac:dyDescent="0.25">
      <c r="A814" s="71">
        <v>461300</v>
      </c>
      <c r="B814" s="71">
        <v>2007</v>
      </c>
      <c r="C814" s="71" t="s">
        <v>1365</v>
      </c>
      <c r="D814" s="71" t="s">
        <v>476</v>
      </c>
      <c r="E814" s="71" t="s">
        <v>475</v>
      </c>
      <c r="F814" s="66" t="s">
        <v>307</v>
      </c>
      <c r="G814" s="70" t="s">
        <v>467</v>
      </c>
      <c r="H814" s="70" t="s">
        <v>971</v>
      </c>
      <c r="I814" s="363">
        <v>3</v>
      </c>
      <c r="J814" s="64"/>
      <c r="K814" s="64"/>
      <c r="L814" s="64"/>
    </row>
    <row r="815" spans="1:12" x14ac:dyDescent="0.25">
      <c r="A815" s="71">
        <v>461301</v>
      </c>
      <c r="B815" s="71">
        <v>2007</v>
      </c>
      <c r="C815" s="71" t="s">
        <v>1364</v>
      </c>
      <c r="D815" s="71" t="s">
        <v>476</v>
      </c>
      <c r="E815" s="71" t="s">
        <v>475</v>
      </c>
      <c r="F815" s="66" t="s">
        <v>307</v>
      </c>
      <c r="G815" s="70" t="s">
        <v>467</v>
      </c>
      <c r="H815" s="70" t="s">
        <v>971</v>
      </c>
      <c r="I815" s="363">
        <v>3</v>
      </c>
      <c r="J815" s="64"/>
      <c r="K815" s="64"/>
      <c r="L815" s="64"/>
    </row>
    <row r="816" spans="1:12" x14ac:dyDescent="0.25">
      <c r="A816" s="71">
        <v>461302</v>
      </c>
      <c r="B816" s="71">
        <v>2007</v>
      </c>
      <c r="C816" s="71" t="s">
        <v>1363</v>
      </c>
      <c r="D816" s="71" t="s">
        <v>476</v>
      </c>
      <c r="E816" s="71" t="s">
        <v>475</v>
      </c>
      <c r="F816" s="66" t="s">
        <v>307</v>
      </c>
      <c r="G816" s="70" t="s">
        <v>467</v>
      </c>
      <c r="H816" s="70" t="s">
        <v>971</v>
      </c>
      <c r="I816" s="363">
        <v>3</v>
      </c>
      <c r="J816" s="64"/>
      <c r="K816" s="64"/>
      <c r="L816" s="64"/>
    </row>
    <row r="817" spans="1:12" x14ac:dyDescent="0.25">
      <c r="A817" s="71">
        <v>461303</v>
      </c>
      <c r="B817" s="71">
        <v>2007</v>
      </c>
      <c r="C817" s="71" t="s">
        <v>1362</v>
      </c>
      <c r="D817" s="71" t="s">
        <v>476</v>
      </c>
      <c r="E817" s="71" t="s">
        <v>475</v>
      </c>
      <c r="F817" s="66" t="s">
        <v>307</v>
      </c>
      <c r="G817" s="70" t="s">
        <v>467</v>
      </c>
      <c r="H817" s="70" t="s">
        <v>971</v>
      </c>
      <c r="I817" s="363">
        <v>3</v>
      </c>
      <c r="J817" s="64"/>
      <c r="K817" s="64"/>
      <c r="L817" s="64"/>
    </row>
    <row r="818" spans="1:12" x14ac:dyDescent="0.25">
      <c r="A818" s="71">
        <v>461304</v>
      </c>
      <c r="B818" s="71">
        <v>2007</v>
      </c>
      <c r="C818" s="71" t="s">
        <v>1361</v>
      </c>
      <c r="D818" s="71" t="s">
        <v>476</v>
      </c>
      <c r="E818" s="71" t="s">
        <v>475</v>
      </c>
      <c r="F818" s="66" t="s">
        <v>307</v>
      </c>
      <c r="G818" s="70" t="s">
        <v>467</v>
      </c>
      <c r="H818" s="70" t="s">
        <v>971</v>
      </c>
      <c r="I818" s="363">
        <v>3</v>
      </c>
      <c r="J818" s="64"/>
      <c r="K818" s="64"/>
      <c r="L818" s="64"/>
    </row>
    <row r="819" spans="1:12" x14ac:dyDescent="0.25">
      <c r="A819" s="71">
        <v>461305</v>
      </c>
      <c r="B819" s="71">
        <v>2007</v>
      </c>
      <c r="C819" s="71" t="s">
        <v>1360</v>
      </c>
      <c r="D819" s="71" t="s">
        <v>476</v>
      </c>
      <c r="E819" s="71" t="s">
        <v>475</v>
      </c>
      <c r="F819" s="66" t="s">
        <v>307</v>
      </c>
      <c r="G819" s="70" t="s">
        <v>467</v>
      </c>
      <c r="H819" s="70" t="s">
        <v>971</v>
      </c>
      <c r="I819" s="363">
        <v>3</v>
      </c>
      <c r="J819" s="64"/>
      <c r="K819" s="64"/>
      <c r="L819" s="64"/>
    </row>
    <row r="820" spans="1:12" x14ac:dyDescent="0.25">
      <c r="A820" s="71">
        <v>461400</v>
      </c>
      <c r="B820" s="71">
        <v>2007</v>
      </c>
      <c r="C820" s="71" t="s">
        <v>1359</v>
      </c>
      <c r="D820" s="71" t="s">
        <v>476</v>
      </c>
      <c r="E820" s="71" t="s">
        <v>475</v>
      </c>
      <c r="F820" s="66" t="s">
        <v>307</v>
      </c>
      <c r="G820" s="70" t="s">
        <v>467</v>
      </c>
      <c r="H820" s="70" t="s">
        <v>971</v>
      </c>
      <c r="I820" s="363">
        <v>3</v>
      </c>
      <c r="J820" s="64"/>
      <c r="K820" s="64"/>
      <c r="L820" s="64"/>
    </row>
    <row r="821" spans="1:12" x14ac:dyDescent="0.25">
      <c r="A821" s="71">
        <v>461401</v>
      </c>
      <c r="B821" s="71">
        <v>2007</v>
      </c>
      <c r="C821" s="71" t="s">
        <v>1358</v>
      </c>
      <c r="D821" s="71" t="s">
        <v>476</v>
      </c>
      <c r="E821" s="71" t="s">
        <v>475</v>
      </c>
      <c r="F821" s="66" t="s">
        <v>307</v>
      </c>
      <c r="G821" s="70" t="s">
        <v>467</v>
      </c>
      <c r="H821" s="70" t="s">
        <v>971</v>
      </c>
      <c r="I821" s="363">
        <v>3</v>
      </c>
      <c r="J821" s="64"/>
      <c r="K821" s="64"/>
      <c r="L821" s="64"/>
    </row>
    <row r="822" spans="1:12" x14ac:dyDescent="0.25">
      <c r="A822" s="71">
        <v>461402</v>
      </c>
      <c r="B822" s="71">
        <v>2007</v>
      </c>
      <c r="C822" s="71" t="s">
        <v>1357</v>
      </c>
      <c r="D822" s="71" t="s">
        <v>476</v>
      </c>
      <c r="E822" s="71" t="s">
        <v>475</v>
      </c>
      <c r="F822" s="66" t="s">
        <v>307</v>
      </c>
      <c r="G822" s="70" t="s">
        <v>467</v>
      </c>
      <c r="H822" s="70" t="s">
        <v>971</v>
      </c>
      <c r="I822" s="363">
        <v>3</v>
      </c>
      <c r="J822" s="64"/>
      <c r="K822" s="64"/>
      <c r="L822" s="64"/>
    </row>
    <row r="823" spans="1:12" x14ac:dyDescent="0.25">
      <c r="A823" s="71">
        <v>461403</v>
      </c>
      <c r="B823" s="71">
        <v>2007</v>
      </c>
      <c r="C823" s="71" t="s">
        <v>1356</v>
      </c>
      <c r="D823" s="71" t="s">
        <v>476</v>
      </c>
      <c r="E823" s="71" t="s">
        <v>475</v>
      </c>
      <c r="F823" s="66" t="s">
        <v>307</v>
      </c>
      <c r="G823" s="70" t="s">
        <v>467</v>
      </c>
      <c r="H823" s="70" t="s">
        <v>971</v>
      </c>
      <c r="I823" s="363">
        <v>3</v>
      </c>
      <c r="J823" s="64"/>
      <c r="K823" s="64"/>
      <c r="L823" s="64"/>
    </row>
    <row r="824" spans="1:12" x14ac:dyDescent="0.25">
      <c r="A824" s="71">
        <v>461404</v>
      </c>
      <c r="B824" s="71">
        <v>2007</v>
      </c>
      <c r="C824" s="71" t="s">
        <v>1355</v>
      </c>
      <c r="D824" s="71" t="s">
        <v>476</v>
      </c>
      <c r="E824" s="71" t="s">
        <v>475</v>
      </c>
      <c r="F824" s="66" t="s">
        <v>307</v>
      </c>
      <c r="G824" s="70" t="s">
        <v>467</v>
      </c>
      <c r="H824" s="70" t="s">
        <v>971</v>
      </c>
      <c r="I824" s="363">
        <v>3</v>
      </c>
      <c r="J824" s="64"/>
      <c r="K824" s="64"/>
      <c r="L824" s="64"/>
    </row>
    <row r="825" spans="1:12" x14ac:dyDescent="0.25">
      <c r="A825" s="71">
        <v>461405</v>
      </c>
      <c r="B825" s="71">
        <v>2007</v>
      </c>
      <c r="C825" s="71" t="s">
        <v>1354</v>
      </c>
      <c r="D825" s="71" t="s">
        <v>476</v>
      </c>
      <c r="E825" s="71" t="s">
        <v>475</v>
      </c>
      <c r="F825" s="66" t="s">
        <v>307</v>
      </c>
      <c r="G825" s="70" t="s">
        <v>467</v>
      </c>
      <c r="H825" s="70" t="s">
        <v>971</v>
      </c>
      <c r="I825" s="363">
        <v>3</v>
      </c>
      <c r="J825" s="64"/>
      <c r="K825" s="64"/>
      <c r="L825" s="64"/>
    </row>
    <row r="826" spans="1:12" x14ac:dyDescent="0.25">
      <c r="A826" s="71">
        <v>461406</v>
      </c>
      <c r="B826" s="71">
        <v>2007</v>
      </c>
      <c r="C826" s="71" t="s">
        <v>1353</v>
      </c>
      <c r="D826" s="71" t="s">
        <v>476</v>
      </c>
      <c r="E826" s="71" t="s">
        <v>475</v>
      </c>
      <c r="F826" s="66" t="s">
        <v>307</v>
      </c>
      <c r="G826" s="70" t="s">
        <v>467</v>
      </c>
      <c r="H826" s="70" t="s">
        <v>971</v>
      </c>
      <c r="I826" s="363">
        <v>3</v>
      </c>
      <c r="J826" s="64"/>
      <c r="K826" s="64"/>
      <c r="L826" s="64"/>
    </row>
    <row r="827" spans="1:12" x14ac:dyDescent="0.25">
      <c r="A827" s="71">
        <v>461407</v>
      </c>
      <c r="B827" s="71">
        <v>2007</v>
      </c>
      <c r="C827" s="71" t="s">
        <v>1352</v>
      </c>
      <c r="D827" s="71" t="s">
        <v>476</v>
      </c>
      <c r="E827" s="71" t="s">
        <v>475</v>
      </c>
      <c r="F827" s="66" t="s">
        <v>307</v>
      </c>
      <c r="G827" s="70" t="s">
        <v>467</v>
      </c>
      <c r="H827" s="70" t="s">
        <v>971</v>
      </c>
      <c r="I827" s="363">
        <v>3</v>
      </c>
      <c r="J827" s="64"/>
      <c r="K827" s="64"/>
      <c r="L827" s="64"/>
    </row>
    <row r="828" spans="1:12" x14ac:dyDescent="0.25">
      <c r="A828" s="71">
        <v>461500</v>
      </c>
      <c r="B828" s="71">
        <v>2007</v>
      </c>
      <c r="C828" s="71" t="s">
        <v>1351</v>
      </c>
      <c r="D828" s="71" t="s">
        <v>476</v>
      </c>
      <c r="E828" s="71" t="s">
        <v>475</v>
      </c>
      <c r="F828" s="66" t="s">
        <v>307</v>
      </c>
      <c r="G828" s="70" t="s">
        <v>467</v>
      </c>
      <c r="H828" s="70" t="s">
        <v>971</v>
      </c>
      <c r="I828" s="363">
        <v>3</v>
      </c>
      <c r="J828" s="64"/>
      <c r="K828" s="64"/>
      <c r="L828" s="64"/>
    </row>
    <row r="829" spans="1:12" x14ac:dyDescent="0.25">
      <c r="A829" s="71">
        <v>461501</v>
      </c>
      <c r="B829" s="71">
        <v>2007</v>
      </c>
      <c r="C829" s="71" t="s">
        <v>1350</v>
      </c>
      <c r="D829" s="71" t="s">
        <v>476</v>
      </c>
      <c r="E829" s="71" t="s">
        <v>475</v>
      </c>
      <c r="F829" s="66" t="s">
        <v>307</v>
      </c>
      <c r="G829" s="70" t="s">
        <v>467</v>
      </c>
      <c r="H829" s="70" t="s">
        <v>971</v>
      </c>
      <c r="I829" s="363">
        <v>3</v>
      </c>
      <c r="J829" s="64"/>
      <c r="K829" s="64"/>
      <c r="L829" s="64"/>
    </row>
    <row r="830" spans="1:12" x14ac:dyDescent="0.25">
      <c r="A830" s="71">
        <v>461502</v>
      </c>
      <c r="B830" s="71">
        <v>2007</v>
      </c>
      <c r="C830" s="71" t="s">
        <v>1349</v>
      </c>
      <c r="D830" s="71" t="s">
        <v>476</v>
      </c>
      <c r="E830" s="71" t="s">
        <v>475</v>
      </c>
      <c r="F830" s="66" t="s">
        <v>307</v>
      </c>
      <c r="G830" s="70" t="s">
        <v>467</v>
      </c>
      <c r="H830" s="70" t="s">
        <v>971</v>
      </c>
      <c r="I830" s="363">
        <v>3</v>
      </c>
      <c r="J830" s="64"/>
      <c r="K830" s="64"/>
      <c r="L830" s="64"/>
    </row>
    <row r="831" spans="1:12" x14ac:dyDescent="0.25">
      <c r="A831" s="71">
        <v>461503</v>
      </c>
      <c r="B831" s="71">
        <v>2007</v>
      </c>
      <c r="C831" s="71" t="s">
        <v>1348</v>
      </c>
      <c r="D831" s="71" t="s">
        <v>476</v>
      </c>
      <c r="E831" s="71" t="s">
        <v>475</v>
      </c>
      <c r="F831" s="66" t="s">
        <v>307</v>
      </c>
      <c r="G831" s="70" t="s">
        <v>467</v>
      </c>
      <c r="H831" s="70" t="s">
        <v>971</v>
      </c>
      <c r="I831" s="363">
        <v>3</v>
      </c>
      <c r="J831" s="64"/>
      <c r="K831" s="64"/>
      <c r="L831" s="64"/>
    </row>
    <row r="832" spans="1:12" x14ac:dyDescent="0.25">
      <c r="A832" s="71">
        <v>461504</v>
      </c>
      <c r="B832" s="71">
        <v>2007</v>
      </c>
      <c r="C832" s="71" t="s">
        <v>1347</v>
      </c>
      <c r="D832" s="71" t="s">
        <v>476</v>
      </c>
      <c r="E832" s="71" t="s">
        <v>475</v>
      </c>
      <c r="F832" s="66" t="s">
        <v>307</v>
      </c>
      <c r="G832" s="70" t="s">
        <v>467</v>
      </c>
      <c r="H832" s="70" t="s">
        <v>971</v>
      </c>
      <c r="I832" s="363">
        <v>3</v>
      </c>
      <c r="J832" s="64"/>
      <c r="K832" s="64"/>
      <c r="L832" s="64"/>
    </row>
    <row r="833" spans="1:12" x14ac:dyDescent="0.25">
      <c r="A833" s="71">
        <v>461505</v>
      </c>
      <c r="B833" s="71">
        <v>2007</v>
      </c>
      <c r="C833" s="71" t="s">
        <v>1346</v>
      </c>
      <c r="D833" s="71" t="s">
        <v>476</v>
      </c>
      <c r="E833" s="71" t="s">
        <v>475</v>
      </c>
      <c r="F833" s="66" t="s">
        <v>307</v>
      </c>
      <c r="G833" s="70" t="s">
        <v>467</v>
      </c>
      <c r="H833" s="70" t="s">
        <v>971</v>
      </c>
      <c r="I833" s="363">
        <v>3</v>
      </c>
      <c r="J833" s="64"/>
      <c r="K833" s="64"/>
      <c r="L833" s="64"/>
    </row>
    <row r="834" spans="1:12" x14ac:dyDescent="0.25">
      <c r="A834" s="71">
        <v>461506</v>
      </c>
      <c r="B834" s="71">
        <v>2007</v>
      </c>
      <c r="C834" s="71" t="s">
        <v>1345</v>
      </c>
      <c r="D834" s="71" t="s">
        <v>476</v>
      </c>
      <c r="E834" s="71" t="s">
        <v>475</v>
      </c>
      <c r="F834" s="66" t="s">
        <v>307</v>
      </c>
      <c r="G834" s="70" t="s">
        <v>467</v>
      </c>
      <c r="H834" s="70" t="s">
        <v>971</v>
      </c>
      <c r="I834" s="363">
        <v>3</v>
      </c>
      <c r="J834" s="64"/>
      <c r="K834" s="64"/>
      <c r="L834" s="64"/>
    </row>
    <row r="835" spans="1:12" x14ac:dyDescent="0.25">
      <c r="A835" s="71">
        <v>461507</v>
      </c>
      <c r="B835" s="71">
        <v>2007</v>
      </c>
      <c r="C835" s="71" t="s">
        <v>1344</v>
      </c>
      <c r="D835" s="71" t="s">
        <v>476</v>
      </c>
      <c r="E835" s="71" t="s">
        <v>475</v>
      </c>
      <c r="F835" s="66" t="s">
        <v>307</v>
      </c>
      <c r="G835" s="70" t="s">
        <v>467</v>
      </c>
      <c r="H835" s="70" t="s">
        <v>971</v>
      </c>
      <c r="I835" s="363">
        <v>3</v>
      </c>
      <c r="J835" s="64"/>
      <c r="K835" s="64"/>
      <c r="L835" s="64"/>
    </row>
    <row r="836" spans="1:12" x14ac:dyDescent="0.25">
      <c r="A836" s="71">
        <v>461600</v>
      </c>
      <c r="B836" s="71">
        <v>2007</v>
      </c>
      <c r="C836" s="71" t="s">
        <v>1343</v>
      </c>
      <c r="D836" s="71" t="s">
        <v>476</v>
      </c>
      <c r="E836" s="71" t="s">
        <v>475</v>
      </c>
      <c r="F836" s="66" t="s">
        <v>307</v>
      </c>
      <c r="G836" s="70" t="s">
        <v>467</v>
      </c>
      <c r="H836" s="70" t="s">
        <v>971</v>
      </c>
      <c r="I836" s="363">
        <v>3</v>
      </c>
      <c r="J836" s="64"/>
      <c r="K836" s="64"/>
      <c r="L836" s="64"/>
    </row>
    <row r="837" spans="1:12" x14ac:dyDescent="0.25">
      <c r="A837" s="71">
        <v>461601</v>
      </c>
      <c r="B837" s="71">
        <v>2007</v>
      </c>
      <c r="C837" s="71" t="s">
        <v>1342</v>
      </c>
      <c r="D837" s="71" t="s">
        <v>476</v>
      </c>
      <c r="E837" s="71" t="s">
        <v>475</v>
      </c>
      <c r="F837" s="66" t="s">
        <v>307</v>
      </c>
      <c r="G837" s="70" t="s">
        <v>467</v>
      </c>
      <c r="H837" s="70" t="s">
        <v>971</v>
      </c>
      <c r="I837" s="363">
        <v>3</v>
      </c>
      <c r="J837" s="64"/>
      <c r="K837" s="64"/>
      <c r="L837" s="64"/>
    </row>
    <row r="838" spans="1:12" x14ac:dyDescent="0.25">
      <c r="A838" s="71">
        <v>461602</v>
      </c>
      <c r="B838" s="71">
        <v>2007</v>
      </c>
      <c r="C838" s="71" t="s">
        <v>1341</v>
      </c>
      <c r="D838" s="71" t="s">
        <v>476</v>
      </c>
      <c r="E838" s="71" t="s">
        <v>475</v>
      </c>
      <c r="F838" s="66" t="s">
        <v>307</v>
      </c>
      <c r="G838" s="70" t="s">
        <v>467</v>
      </c>
      <c r="H838" s="70" t="s">
        <v>971</v>
      </c>
      <c r="I838" s="363">
        <v>3</v>
      </c>
      <c r="J838" s="64"/>
      <c r="K838" s="64"/>
      <c r="L838" s="64"/>
    </row>
    <row r="839" spans="1:12" x14ac:dyDescent="0.25">
      <c r="A839" s="71">
        <v>461603</v>
      </c>
      <c r="B839" s="71">
        <v>2007</v>
      </c>
      <c r="C839" s="71" t="s">
        <v>1340</v>
      </c>
      <c r="D839" s="71" t="s">
        <v>476</v>
      </c>
      <c r="E839" s="71" t="s">
        <v>475</v>
      </c>
      <c r="F839" s="66" t="s">
        <v>307</v>
      </c>
      <c r="G839" s="70" t="s">
        <v>467</v>
      </c>
      <c r="H839" s="70" t="s">
        <v>971</v>
      </c>
      <c r="I839" s="363">
        <v>3</v>
      </c>
      <c r="J839" s="64"/>
      <c r="K839" s="64"/>
      <c r="L839" s="64"/>
    </row>
    <row r="840" spans="1:12" x14ac:dyDescent="0.25">
      <c r="A840" s="71">
        <v>461604</v>
      </c>
      <c r="B840" s="71">
        <v>2007</v>
      </c>
      <c r="C840" s="71" t="s">
        <v>1339</v>
      </c>
      <c r="D840" s="71" t="s">
        <v>476</v>
      </c>
      <c r="E840" s="71" t="s">
        <v>475</v>
      </c>
      <c r="F840" s="66" t="s">
        <v>307</v>
      </c>
      <c r="G840" s="70" t="s">
        <v>467</v>
      </c>
      <c r="H840" s="70" t="s">
        <v>971</v>
      </c>
      <c r="I840" s="363">
        <v>3</v>
      </c>
      <c r="J840" s="64"/>
      <c r="K840" s="64"/>
      <c r="L840" s="64"/>
    </row>
    <row r="841" spans="1:12" x14ac:dyDescent="0.25">
      <c r="A841" s="71">
        <v>461605</v>
      </c>
      <c r="B841" s="71">
        <v>2007</v>
      </c>
      <c r="C841" s="71" t="s">
        <v>1338</v>
      </c>
      <c r="D841" s="71" t="s">
        <v>476</v>
      </c>
      <c r="E841" s="71" t="s">
        <v>475</v>
      </c>
      <c r="F841" s="66" t="s">
        <v>307</v>
      </c>
      <c r="G841" s="70" t="s">
        <v>467</v>
      </c>
      <c r="H841" s="70" t="s">
        <v>971</v>
      </c>
      <c r="I841" s="363">
        <v>3</v>
      </c>
      <c r="J841" s="64"/>
      <c r="K841" s="64"/>
      <c r="L841" s="64"/>
    </row>
    <row r="842" spans="1:12" x14ac:dyDescent="0.25">
      <c r="A842" s="71">
        <v>461606</v>
      </c>
      <c r="B842" s="71">
        <v>2007</v>
      </c>
      <c r="C842" s="71" t="s">
        <v>1337</v>
      </c>
      <c r="D842" s="71" t="s">
        <v>476</v>
      </c>
      <c r="E842" s="71" t="s">
        <v>475</v>
      </c>
      <c r="F842" s="66" t="s">
        <v>307</v>
      </c>
      <c r="G842" s="70" t="s">
        <v>467</v>
      </c>
      <c r="H842" s="70" t="s">
        <v>971</v>
      </c>
      <c r="I842" s="363">
        <v>3</v>
      </c>
      <c r="J842" s="64"/>
      <c r="K842" s="64"/>
      <c r="L842" s="64"/>
    </row>
    <row r="843" spans="1:12" x14ac:dyDescent="0.25">
      <c r="A843" s="71">
        <v>461607</v>
      </c>
      <c r="B843" s="71">
        <v>2007</v>
      </c>
      <c r="C843" s="71" t="s">
        <v>1336</v>
      </c>
      <c r="D843" s="71" t="s">
        <v>476</v>
      </c>
      <c r="E843" s="71" t="s">
        <v>475</v>
      </c>
      <c r="F843" s="66" t="s">
        <v>307</v>
      </c>
      <c r="G843" s="70" t="s">
        <v>467</v>
      </c>
      <c r="H843" s="70" t="s">
        <v>971</v>
      </c>
      <c r="I843" s="363">
        <v>3</v>
      </c>
      <c r="J843" s="64"/>
      <c r="K843" s="64"/>
      <c r="L843" s="64"/>
    </row>
    <row r="844" spans="1:12" x14ac:dyDescent="0.25">
      <c r="A844" s="71">
        <v>461608</v>
      </c>
      <c r="B844" s="71">
        <v>2007</v>
      </c>
      <c r="C844" s="71" t="s">
        <v>1335</v>
      </c>
      <c r="D844" s="71" t="s">
        <v>476</v>
      </c>
      <c r="E844" s="71" t="s">
        <v>475</v>
      </c>
      <c r="F844" s="66" t="s">
        <v>307</v>
      </c>
      <c r="G844" s="70" t="s">
        <v>467</v>
      </c>
      <c r="H844" s="70" t="s">
        <v>971</v>
      </c>
      <c r="I844" s="363">
        <v>3</v>
      </c>
      <c r="J844" s="64"/>
      <c r="K844" s="64"/>
      <c r="L844" s="64"/>
    </row>
    <row r="845" spans="1:12" x14ac:dyDescent="0.25">
      <c r="A845" s="71">
        <v>461609</v>
      </c>
      <c r="B845" s="71">
        <v>2007</v>
      </c>
      <c r="C845" s="71" t="s">
        <v>1334</v>
      </c>
      <c r="D845" s="71" t="s">
        <v>476</v>
      </c>
      <c r="E845" s="71" t="s">
        <v>475</v>
      </c>
      <c r="F845" s="66" t="s">
        <v>307</v>
      </c>
      <c r="G845" s="70" t="s">
        <v>467</v>
      </c>
      <c r="H845" s="70" t="s">
        <v>971</v>
      </c>
      <c r="I845" s="363">
        <v>3</v>
      </c>
      <c r="J845" s="64"/>
      <c r="K845" s="64"/>
      <c r="L845" s="64"/>
    </row>
    <row r="846" spans="1:12" x14ac:dyDescent="0.25">
      <c r="A846" s="71">
        <v>461700</v>
      </c>
      <c r="B846" s="71">
        <v>2007</v>
      </c>
      <c r="C846" s="71" t="s">
        <v>1333</v>
      </c>
      <c r="D846" s="71" t="s">
        <v>476</v>
      </c>
      <c r="E846" s="71" t="s">
        <v>1044</v>
      </c>
      <c r="F846" s="66" t="s">
        <v>307</v>
      </c>
      <c r="G846" s="70" t="s">
        <v>467</v>
      </c>
      <c r="H846" s="70" t="s">
        <v>971</v>
      </c>
      <c r="I846" s="363">
        <v>3</v>
      </c>
      <c r="J846" s="64"/>
      <c r="K846" s="64"/>
      <c r="L846" s="64"/>
    </row>
    <row r="847" spans="1:12" x14ac:dyDescent="0.25">
      <c r="A847" s="71">
        <v>461701</v>
      </c>
      <c r="B847" s="71">
        <v>2007</v>
      </c>
      <c r="C847" s="71" t="s">
        <v>1332</v>
      </c>
      <c r="D847" s="71" t="s">
        <v>476</v>
      </c>
      <c r="E847" s="71" t="s">
        <v>468</v>
      </c>
      <c r="F847" s="66" t="s">
        <v>307</v>
      </c>
      <c r="G847" s="70" t="s">
        <v>467</v>
      </c>
      <c r="H847" s="70" t="s">
        <v>971</v>
      </c>
      <c r="I847" s="363">
        <v>3</v>
      </c>
      <c r="J847" s="64"/>
      <c r="K847" s="64"/>
      <c r="L847" s="64"/>
    </row>
    <row r="848" spans="1:12" x14ac:dyDescent="0.25">
      <c r="A848" s="71">
        <v>461702</v>
      </c>
      <c r="B848" s="71">
        <v>2007</v>
      </c>
      <c r="C848" s="71" t="s">
        <v>1331</v>
      </c>
      <c r="D848" s="71" t="s">
        <v>476</v>
      </c>
      <c r="E848" s="71" t="s">
        <v>468</v>
      </c>
      <c r="F848" s="66" t="s">
        <v>307</v>
      </c>
      <c r="G848" s="70" t="s">
        <v>467</v>
      </c>
      <c r="H848" s="70" t="s">
        <v>971</v>
      </c>
      <c r="I848" s="363">
        <v>3</v>
      </c>
      <c r="J848" s="64"/>
      <c r="K848" s="64"/>
      <c r="L848" s="64"/>
    </row>
    <row r="849" spans="1:12" x14ac:dyDescent="0.25">
      <c r="A849" s="71">
        <v>461703</v>
      </c>
      <c r="B849" s="71">
        <v>2007</v>
      </c>
      <c r="C849" s="71" t="s">
        <v>1330</v>
      </c>
      <c r="D849" s="71" t="s">
        <v>476</v>
      </c>
      <c r="E849" s="71" t="s">
        <v>468</v>
      </c>
      <c r="F849" s="66" t="s">
        <v>307</v>
      </c>
      <c r="G849" s="70" t="s">
        <v>467</v>
      </c>
      <c r="H849" s="70" t="s">
        <v>971</v>
      </c>
      <c r="I849" s="363">
        <v>3</v>
      </c>
      <c r="J849" s="64"/>
      <c r="K849" s="64"/>
      <c r="L849" s="64"/>
    </row>
    <row r="850" spans="1:12" x14ac:dyDescent="0.25">
      <c r="A850" s="71">
        <v>461704</v>
      </c>
      <c r="B850" s="71">
        <v>2007</v>
      </c>
      <c r="C850" s="71" t="s">
        <v>1329</v>
      </c>
      <c r="D850" s="71" t="s">
        <v>476</v>
      </c>
      <c r="E850" s="71" t="s">
        <v>468</v>
      </c>
      <c r="F850" s="66" t="s">
        <v>307</v>
      </c>
      <c r="G850" s="70" t="s">
        <v>467</v>
      </c>
      <c r="H850" s="70" t="s">
        <v>971</v>
      </c>
      <c r="I850" s="363">
        <v>3</v>
      </c>
      <c r="J850" s="64"/>
      <c r="K850" s="64"/>
      <c r="L850" s="64"/>
    </row>
    <row r="851" spans="1:12" x14ac:dyDescent="0.25">
      <c r="A851" s="71">
        <v>461705</v>
      </c>
      <c r="B851" s="71">
        <v>2007</v>
      </c>
      <c r="C851" s="71" t="s">
        <v>1328</v>
      </c>
      <c r="D851" s="71" t="s">
        <v>476</v>
      </c>
      <c r="E851" s="71" t="s">
        <v>1044</v>
      </c>
      <c r="F851" s="66" t="s">
        <v>307</v>
      </c>
      <c r="G851" s="70" t="s">
        <v>467</v>
      </c>
      <c r="H851" s="70" t="s">
        <v>971</v>
      </c>
      <c r="I851" s="363">
        <v>3</v>
      </c>
      <c r="J851" s="64"/>
      <c r="K851" s="64"/>
      <c r="L851" s="64"/>
    </row>
    <row r="852" spans="1:12" x14ac:dyDescent="0.25">
      <c r="A852" s="71">
        <v>461706</v>
      </c>
      <c r="B852" s="71">
        <v>2007</v>
      </c>
      <c r="C852" s="71" t="s">
        <v>1327</v>
      </c>
      <c r="D852" s="71" t="s">
        <v>476</v>
      </c>
      <c r="E852" s="71" t="s">
        <v>468</v>
      </c>
      <c r="F852" s="65" t="s">
        <v>151</v>
      </c>
      <c r="G852" s="70" t="s">
        <v>467</v>
      </c>
      <c r="H852" s="70" t="s">
        <v>971</v>
      </c>
      <c r="I852" s="363">
        <v>3</v>
      </c>
      <c r="J852" s="64"/>
      <c r="K852" s="64"/>
      <c r="L852" s="64"/>
    </row>
    <row r="853" spans="1:12" x14ac:dyDescent="0.25">
      <c r="A853" s="71">
        <v>461707</v>
      </c>
      <c r="B853" s="71">
        <v>2007</v>
      </c>
      <c r="C853" s="71" t="s">
        <v>1326</v>
      </c>
      <c r="D853" s="71" t="s">
        <v>476</v>
      </c>
      <c r="E853" s="71" t="s">
        <v>1044</v>
      </c>
      <c r="F853" s="66" t="s">
        <v>307</v>
      </c>
      <c r="G853" s="70" t="s">
        <v>467</v>
      </c>
      <c r="H853" s="70" t="s">
        <v>971</v>
      </c>
      <c r="I853" s="363">
        <v>3</v>
      </c>
      <c r="J853" s="64"/>
      <c r="K853" s="64"/>
      <c r="L853" s="64"/>
    </row>
    <row r="854" spans="1:12" x14ac:dyDescent="0.25">
      <c r="A854" s="71">
        <v>461708</v>
      </c>
      <c r="B854" s="71">
        <v>2007</v>
      </c>
      <c r="C854" s="71" t="s">
        <v>1325</v>
      </c>
      <c r="D854" s="71" t="s">
        <v>476</v>
      </c>
      <c r="E854" s="71" t="s">
        <v>475</v>
      </c>
      <c r="F854" s="66" t="s">
        <v>307</v>
      </c>
      <c r="G854" s="70" t="s">
        <v>467</v>
      </c>
      <c r="H854" s="70" t="s">
        <v>971</v>
      </c>
      <c r="I854" s="363">
        <v>3</v>
      </c>
      <c r="J854" s="64"/>
      <c r="K854" s="64"/>
      <c r="L854" s="64"/>
    </row>
    <row r="855" spans="1:12" x14ac:dyDescent="0.25">
      <c r="A855" s="71">
        <v>461709</v>
      </c>
      <c r="B855" s="71">
        <v>2007</v>
      </c>
      <c r="C855" s="71" t="s">
        <v>1324</v>
      </c>
      <c r="D855" s="71" t="s">
        <v>476</v>
      </c>
      <c r="E855" s="71" t="s">
        <v>475</v>
      </c>
      <c r="F855" s="66" t="s">
        <v>307</v>
      </c>
      <c r="G855" s="70" t="s">
        <v>467</v>
      </c>
      <c r="H855" s="70" t="s">
        <v>971</v>
      </c>
      <c r="I855" s="363">
        <v>3</v>
      </c>
      <c r="J855" s="64"/>
      <c r="K855" s="64"/>
      <c r="L855" s="64"/>
    </row>
    <row r="856" spans="1:12" x14ac:dyDescent="0.25">
      <c r="A856" s="71">
        <v>461800</v>
      </c>
      <c r="B856" s="71">
        <v>2007</v>
      </c>
      <c r="C856" s="71" t="s">
        <v>1323</v>
      </c>
      <c r="D856" s="71" t="s">
        <v>476</v>
      </c>
      <c r="E856" s="71" t="s">
        <v>475</v>
      </c>
      <c r="F856" s="66" t="s">
        <v>307</v>
      </c>
      <c r="G856" s="70" t="s">
        <v>467</v>
      </c>
      <c r="H856" s="70" t="s">
        <v>971</v>
      </c>
      <c r="I856" s="363">
        <v>3</v>
      </c>
      <c r="J856" s="64"/>
      <c r="K856" s="64"/>
      <c r="L856" s="64"/>
    </row>
    <row r="857" spans="1:12" x14ac:dyDescent="0.25">
      <c r="A857" s="71">
        <v>461810</v>
      </c>
      <c r="B857" s="71">
        <v>2007</v>
      </c>
      <c r="C857" s="71" t="s">
        <v>1322</v>
      </c>
      <c r="D857" s="71" t="s">
        <v>476</v>
      </c>
      <c r="E857" s="71" t="s">
        <v>475</v>
      </c>
      <c r="F857" s="66" t="s">
        <v>307</v>
      </c>
      <c r="G857" s="70" t="s">
        <v>467</v>
      </c>
      <c r="H857" s="70" t="s">
        <v>971</v>
      </c>
      <c r="I857" s="363">
        <v>3</v>
      </c>
      <c r="J857" s="64"/>
      <c r="K857" s="64"/>
      <c r="L857" s="64"/>
    </row>
    <row r="858" spans="1:12" x14ac:dyDescent="0.25">
      <c r="A858" s="71">
        <v>461811</v>
      </c>
      <c r="B858" s="71">
        <v>2007</v>
      </c>
      <c r="C858" s="71" t="s">
        <v>1321</v>
      </c>
      <c r="D858" s="71" t="s">
        <v>476</v>
      </c>
      <c r="E858" s="71" t="s">
        <v>475</v>
      </c>
      <c r="F858" s="66" t="s">
        <v>307</v>
      </c>
      <c r="G858" s="70" t="s">
        <v>467</v>
      </c>
      <c r="H858" s="70" t="s">
        <v>971</v>
      </c>
      <c r="I858" s="363">
        <v>3</v>
      </c>
      <c r="J858" s="64"/>
      <c r="K858" s="64"/>
      <c r="L858" s="64"/>
    </row>
    <row r="859" spans="1:12" x14ac:dyDescent="0.25">
      <c r="A859" s="71">
        <v>461812</v>
      </c>
      <c r="B859" s="71">
        <v>2007</v>
      </c>
      <c r="C859" s="71" t="s">
        <v>1320</v>
      </c>
      <c r="D859" s="71" t="s">
        <v>476</v>
      </c>
      <c r="E859" s="71" t="s">
        <v>475</v>
      </c>
      <c r="F859" s="66" t="s">
        <v>307</v>
      </c>
      <c r="G859" s="70" t="s">
        <v>467</v>
      </c>
      <c r="H859" s="70" t="s">
        <v>971</v>
      </c>
      <c r="I859" s="363">
        <v>3</v>
      </c>
      <c r="J859" s="64"/>
      <c r="K859" s="64"/>
      <c r="L859" s="64"/>
    </row>
    <row r="860" spans="1:12" x14ac:dyDescent="0.25">
      <c r="A860" s="71">
        <v>461813</v>
      </c>
      <c r="B860" s="71">
        <v>2007</v>
      </c>
      <c r="C860" s="71" t="s">
        <v>1319</v>
      </c>
      <c r="D860" s="71" t="s">
        <v>476</v>
      </c>
      <c r="E860" s="71" t="s">
        <v>475</v>
      </c>
      <c r="F860" s="66" t="s">
        <v>307</v>
      </c>
      <c r="G860" s="70" t="s">
        <v>467</v>
      </c>
      <c r="H860" s="70" t="s">
        <v>971</v>
      </c>
      <c r="I860" s="363">
        <v>3</v>
      </c>
      <c r="J860" s="64"/>
      <c r="K860" s="64"/>
      <c r="L860" s="64"/>
    </row>
    <row r="861" spans="1:12" x14ac:dyDescent="0.25">
      <c r="A861" s="71">
        <v>461814</v>
      </c>
      <c r="B861" s="71">
        <v>2007</v>
      </c>
      <c r="C861" s="71" t="s">
        <v>1318</v>
      </c>
      <c r="D861" s="71" t="s">
        <v>476</v>
      </c>
      <c r="E861" s="71" t="s">
        <v>475</v>
      </c>
      <c r="F861" s="66" t="s">
        <v>307</v>
      </c>
      <c r="G861" s="70" t="s">
        <v>467</v>
      </c>
      <c r="H861" s="70" t="s">
        <v>971</v>
      </c>
      <c r="I861" s="363">
        <v>3</v>
      </c>
      <c r="J861" s="64"/>
      <c r="K861" s="64"/>
      <c r="L861" s="64"/>
    </row>
    <row r="862" spans="1:12" x14ac:dyDescent="0.25">
      <c r="A862" s="71">
        <v>461820</v>
      </c>
      <c r="B862" s="71">
        <v>2007</v>
      </c>
      <c r="C862" s="71" t="s">
        <v>1317</v>
      </c>
      <c r="D862" s="71" t="s">
        <v>476</v>
      </c>
      <c r="E862" s="71" t="s">
        <v>475</v>
      </c>
      <c r="F862" s="66" t="s">
        <v>307</v>
      </c>
      <c r="G862" s="70" t="s">
        <v>467</v>
      </c>
      <c r="H862" s="70" t="s">
        <v>971</v>
      </c>
      <c r="I862" s="363">
        <v>3</v>
      </c>
      <c r="J862" s="64"/>
      <c r="K862" s="64"/>
      <c r="L862" s="64"/>
    </row>
    <row r="863" spans="1:12" x14ac:dyDescent="0.25">
      <c r="A863" s="71">
        <v>461821</v>
      </c>
      <c r="B863" s="71">
        <v>2007</v>
      </c>
      <c r="C863" s="71" t="s">
        <v>1316</v>
      </c>
      <c r="D863" s="71" t="s">
        <v>476</v>
      </c>
      <c r="E863" s="71" t="s">
        <v>475</v>
      </c>
      <c r="F863" s="66" t="s">
        <v>307</v>
      </c>
      <c r="G863" s="70" t="s">
        <v>467</v>
      </c>
      <c r="H863" s="70" t="s">
        <v>971</v>
      </c>
      <c r="I863" s="363">
        <v>3</v>
      </c>
      <c r="J863" s="64"/>
      <c r="K863" s="64"/>
      <c r="L863" s="64"/>
    </row>
    <row r="864" spans="1:12" x14ac:dyDescent="0.25">
      <c r="A864" s="71">
        <v>461822</v>
      </c>
      <c r="B864" s="71">
        <v>2007</v>
      </c>
      <c r="C864" s="71" t="s">
        <v>1315</v>
      </c>
      <c r="D864" s="71" t="s">
        <v>476</v>
      </c>
      <c r="E864" s="71" t="s">
        <v>475</v>
      </c>
      <c r="F864" s="66" t="s">
        <v>307</v>
      </c>
      <c r="G864" s="70" t="s">
        <v>467</v>
      </c>
      <c r="H864" s="70" t="s">
        <v>971</v>
      </c>
      <c r="I864" s="363">
        <v>3</v>
      </c>
      <c r="J864" s="64"/>
      <c r="K864" s="64"/>
      <c r="L864" s="64"/>
    </row>
    <row r="865" spans="1:12" x14ac:dyDescent="0.25">
      <c r="A865" s="71">
        <v>461823</v>
      </c>
      <c r="B865" s="71">
        <v>2007</v>
      </c>
      <c r="C865" s="71" t="s">
        <v>1314</v>
      </c>
      <c r="D865" s="71" t="s">
        <v>476</v>
      </c>
      <c r="E865" s="71" t="s">
        <v>475</v>
      </c>
      <c r="F865" s="66" t="s">
        <v>307</v>
      </c>
      <c r="G865" s="70" t="s">
        <v>467</v>
      </c>
      <c r="H865" s="70" t="s">
        <v>971</v>
      </c>
      <c r="I865" s="363">
        <v>3</v>
      </c>
      <c r="J865" s="64"/>
      <c r="K865" s="64"/>
      <c r="L865" s="64"/>
    </row>
    <row r="866" spans="1:12" x14ac:dyDescent="0.25">
      <c r="A866" s="71">
        <v>461824</v>
      </c>
      <c r="B866" s="71">
        <v>2007</v>
      </c>
      <c r="C866" s="71" t="s">
        <v>1313</v>
      </c>
      <c r="D866" s="71" t="s">
        <v>476</v>
      </c>
      <c r="E866" s="71" t="s">
        <v>475</v>
      </c>
      <c r="F866" s="66" t="s">
        <v>307</v>
      </c>
      <c r="G866" s="70" t="s">
        <v>467</v>
      </c>
      <c r="H866" s="70" t="s">
        <v>971</v>
      </c>
      <c r="I866" s="363">
        <v>3</v>
      </c>
      <c r="J866" s="64"/>
      <c r="K866" s="64"/>
      <c r="L866" s="64"/>
    </row>
    <row r="867" spans="1:12" x14ac:dyDescent="0.25">
      <c r="A867" s="71">
        <v>461830</v>
      </c>
      <c r="B867" s="71">
        <v>2007</v>
      </c>
      <c r="C867" s="71" t="s">
        <v>1312</v>
      </c>
      <c r="D867" s="71" t="s">
        <v>476</v>
      </c>
      <c r="E867" s="71" t="s">
        <v>475</v>
      </c>
      <c r="F867" s="66" t="s">
        <v>307</v>
      </c>
      <c r="G867" s="70" t="s">
        <v>467</v>
      </c>
      <c r="H867" s="70" t="s">
        <v>971</v>
      </c>
      <c r="I867" s="363">
        <v>3</v>
      </c>
      <c r="J867" s="64"/>
      <c r="K867" s="64"/>
      <c r="L867" s="64"/>
    </row>
    <row r="868" spans="1:12" x14ac:dyDescent="0.25">
      <c r="A868" s="71">
        <v>461831</v>
      </c>
      <c r="B868" s="71">
        <v>2007</v>
      </c>
      <c r="C868" s="71" t="s">
        <v>1311</v>
      </c>
      <c r="D868" s="71" t="s">
        <v>476</v>
      </c>
      <c r="E868" s="71" t="s">
        <v>475</v>
      </c>
      <c r="F868" s="66" t="s">
        <v>307</v>
      </c>
      <c r="G868" s="70" t="s">
        <v>467</v>
      </c>
      <c r="H868" s="70" t="s">
        <v>971</v>
      </c>
      <c r="I868" s="363">
        <v>3</v>
      </c>
      <c r="J868" s="64"/>
      <c r="K868" s="64"/>
      <c r="L868" s="64"/>
    </row>
    <row r="869" spans="1:12" x14ac:dyDescent="0.25">
      <c r="A869" s="71">
        <v>461832</v>
      </c>
      <c r="B869" s="71">
        <v>2007</v>
      </c>
      <c r="C869" s="71" t="s">
        <v>1310</v>
      </c>
      <c r="D869" s="71" t="s">
        <v>476</v>
      </c>
      <c r="E869" s="71" t="s">
        <v>475</v>
      </c>
      <c r="F869" s="66" t="s">
        <v>307</v>
      </c>
      <c r="G869" s="70" t="s">
        <v>467</v>
      </c>
      <c r="H869" s="70" t="s">
        <v>971</v>
      </c>
      <c r="I869" s="363">
        <v>3</v>
      </c>
      <c r="J869" s="64"/>
      <c r="K869" s="64"/>
      <c r="L869" s="64"/>
    </row>
    <row r="870" spans="1:12" x14ac:dyDescent="0.25">
      <c r="A870" s="71">
        <v>461833</v>
      </c>
      <c r="B870" s="71">
        <v>2007</v>
      </c>
      <c r="C870" s="71" t="s">
        <v>1309</v>
      </c>
      <c r="D870" s="71" t="s">
        <v>476</v>
      </c>
      <c r="E870" s="71" t="s">
        <v>475</v>
      </c>
      <c r="F870" s="66" t="s">
        <v>307</v>
      </c>
      <c r="G870" s="70" t="s">
        <v>467</v>
      </c>
      <c r="H870" s="70" t="s">
        <v>971</v>
      </c>
      <c r="I870" s="363">
        <v>3</v>
      </c>
      <c r="J870" s="64"/>
      <c r="K870" s="64"/>
      <c r="L870" s="64"/>
    </row>
    <row r="871" spans="1:12" x14ac:dyDescent="0.25">
      <c r="A871" s="71">
        <v>461834</v>
      </c>
      <c r="B871" s="71">
        <v>2007</v>
      </c>
      <c r="C871" s="71" t="s">
        <v>1308</v>
      </c>
      <c r="D871" s="71" t="s">
        <v>476</v>
      </c>
      <c r="E871" s="71" t="s">
        <v>475</v>
      </c>
      <c r="F871" s="66" t="s">
        <v>307</v>
      </c>
      <c r="G871" s="70" t="s">
        <v>467</v>
      </c>
      <c r="H871" s="70" t="s">
        <v>971</v>
      </c>
      <c r="I871" s="363">
        <v>3</v>
      </c>
      <c r="J871" s="64"/>
      <c r="K871" s="64"/>
      <c r="L871" s="64"/>
    </row>
    <row r="872" spans="1:12" x14ac:dyDescent="0.25">
      <c r="A872" s="71">
        <v>461835</v>
      </c>
      <c r="B872" s="71">
        <v>2007</v>
      </c>
      <c r="C872" s="71" t="s">
        <v>1307</v>
      </c>
      <c r="D872" s="71" t="s">
        <v>476</v>
      </c>
      <c r="E872" s="71" t="s">
        <v>475</v>
      </c>
      <c r="F872" s="66" t="s">
        <v>307</v>
      </c>
      <c r="G872" s="70" t="s">
        <v>467</v>
      </c>
      <c r="H872" s="70" t="s">
        <v>971</v>
      </c>
      <c r="I872" s="363">
        <v>3</v>
      </c>
      <c r="J872" s="64"/>
      <c r="K872" s="64"/>
      <c r="L872" s="64"/>
    </row>
    <row r="873" spans="1:12" x14ac:dyDescent="0.25">
      <c r="A873" s="71">
        <v>461890</v>
      </c>
      <c r="B873" s="71">
        <v>2007</v>
      </c>
      <c r="C873" s="71" t="s">
        <v>1306</v>
      </c>
      <c r="D873" s="71" t="s">
        <v>476</v>
      </c>
      <c r="E873" s="71" t="s">
        <v>475</v>
      </c>
      <c r="F873" s="66" t="s">
        <v>307</v>
      </c>
      <c r="G873" s="70" t="s">
        <v>467</v>
      </c>
      <c r="H873" s="70" t="s">
        <v>971</v>
      </c>
      <c r="I873" s="363">
        <v>3</v>
      </c>
      <c r="J873" s="64"/>
      <c r="K873" s="64"/>
      <c r="L873" s="64"/>
    </row>
    <row r="874" spans="1:12" x14ac:dyDescent="0.25">
      <c r="A874" s="71">
        <v>461891</v>
      </c>
      <c r="B874" s="71">
        <v>2007</v>
      </c>
      <c r="C874" s="71" t="s">
        <v>1305</v>
      </c>
      <c r="D874" s="71" t="s">
        <v>476</v>
      </c>
      <c r="E874" s="71" t="s">
        <v>475</v>
      </c>
      <c r="F874" s="66" t="s">
        <v>307</v>
      </c>
      <c r="G874" s="70" t="s">
        <v>467</v>
      </c>
      <c r="H874" s="70" t="s">
        <v>971</v>
      </c>
      <c r="I874" s="363">
        <v>3</v>
      </c>
      <c r="J874" s="64"/>
      <c r="K874" s="64"/>
      <c r="L874" s="64"/>
    </row>
    <row r="875" spans="1:12" x14ac:dyDescent="0.25">
      <c r="A875" s="71">
        <v>461892</v>
      </c>
      <c r="B875" s="71">
        <v>2007</v>
      </c>
      <c r="C875" s="71" t="s">
        <v>1304</v>
      </c>
      <c r="D875" s="71" t="s">
        <v>476</v>
      </c>
      <c r="E875" s="71" t="s">
        <v>475</v>
      </c>
      <c r="F875" s="66" t="s">
        <v>307</v>
      </c>
      <c r="G875" s="70" t="s">
        <v>467</v>
      </c>
      <c r="H875" s="70" t="s">
        <v>971</v>
      </c>
      <c r="I875" s="363">
        <v>3</v>
      </c>
      <c r="J875" s="64"/>
      <c r="K875" s="64"/>
      <c r="L875" s="64"/>
    </row>
    <row r="876" spans="1:12" x14ac:dyDescent="0.25">
      <c r="A876" s="71">
        <v>461893</v>
      </c>
      <c r="B876" s="71">
        <v>2007</v>
      </c>
      <c r="C876" s="71" t="s">
        <v>1303</v>
      </c>
      <c r="D876" s="71" t="s">
        <v>476</v>
      </c>
      <c r="E876" s="71" t="s">
        <v>475</v>
      </c>
      <c r="F876" s="66" t="s">
        <v>307</v>
      </c>
      <c r="G876" s="70" t="s">
        <v>467</v>
      </c>
      <c r="H876" s="70" t="s">
        <v>971</v>
      </c>
      <c r="I876" s="363">
        <v>3</v>
      </c>
      <c r="J876" s="64"/>
      <c r="K876" s="64"/>
      <c r="L876" s="64"/>
    </row>
    <row r="877" spans="1:12" x14ac:dyDescent="0.25">
      <c r="A877" s="71">
        <v>461894</v>
      </c>
      <c r="B877" s="71">
        <v>2007</v>
      </c>
      <c r="C877" s="71" t="s">
        <v>1302</v>
      </c>
      <c r="D877" s="71" t="s">
        <v>476</v>
      </c>
      <c r="E877" s="71" t="s">
        <v>475</v>
      </c>
      <c r="F877" s="66" t="s">
        <v>307</v>
      </c>
      <c r="G877" s="70" t="s">
        <v>467</v>
      </c>
      <c r="H877" s="70" t="s">
        <v>971</v>
      </c>
      <c r="I877" s="363">
        <v>3</v>
      </c>
      <c r="J877" s="64"/>
      <c r="K877" s="64"/>
      <c r="L877" s="64"/>
    </row>
    <row r="878" spans="1:12" x14ac:dyDescent="0.25">
      <c r="A878" s="71">
        <v>461895</v>
      </c>
      <c r="B878" s="71">
        <v>2007</v>
      </c>
      <c r="C878" s="71" t="s">
        <v>1301</v>
      </c>
      <c r="D878" s="71" t="s">
        <v>476</v>
      </c>
      <c r="E878" s="71" t="s">
        <v>475</v>
      </c>
      <c r="F878" s="66" t="s">
        <v>307</v>
      </c>
      <c r="G878" s="70" t="s">
        <v>467</v>
      </c>
      <c r="H878" s="70" t="s">
        <v>971</v>
      </c>
      <c r="I878" s="363">
        <v>3</v>
      </c>
      <c r="J878" s="64"/>
      <c r="K878" s="64"/>
      <c r="L878" s="64"/>
    </row>
    <row r="879" spans="1:12" x14ac:dyDescent="0.25">
      <c r="A879" s="71">
        <v>461896</v>
      </c>
      <c r="B879" s="71">
        <v>2007</v>
      </c>
      <c r="C879" s="71" t="s">
        <v>1300</v>
      </c>
      <c r="D879" s="71" t="s">
        <v>476</v>
      </c>
      <c r="E879" s="71" t="s">
        <v>475</v>
      </c>
      <c r="F879" s="66" t="s">
        <v>307</v>
      </c>
      <c r="G879" s="70" t="s">
        <v>467</v>
      </c>
      <c r="H879" s="70" t="s">
        <v>971</v>
      </c>
      <c r="I879" s="363">
        <v>3</v>
      </c>
      <c r="J879" s="64"/>
      <c r="K879" s="64"/>
      <c r="L879" s="64"/>
    </row>
    <row r="880" spans="1:12" x14ac:dyDescent="0.25">
      <c r="A880" s="71">
        <v>461897</v>
      </c>
      <c r="B880" s="71">
        <v>2007</v>
      </c>
      <c r="C880" s="71" t="s">
        <v>1299</v>
      </c>
      <c r="D880" s="71" t="s">
        <v>476</v>
      </c>
      <c r="E880" s="71" t="s">
        <v>475</v>
      </c>
      <c r="F880" s="66" t="s">
        <v>307</v>
      </c>
      <c r="G880" s="70" t="s">
        <v>467</v>
      </c>
      <c r="H880" s="70" t="s">
        <v>971</v>
      </c>
      <c r="I880" s="363">
        <v>3</v>
      </c>
      <c r="J880" s="64"/>
      <c r="K880" s="64"/>
      <c r="L880" s="64"/>
    </row>
    <row r="881" spans="1:12" x14ac:dyDescent="0.25">
      <c r="A881" s="71">
        <v>461898</v>
      </c>
      <c r="B881" s="71">
        <v>2007</v>
      </c>
      <c r="C881" s="71" t="s">
        <v>1298</v>
      </c>
      <c r="D881" s="71" t="s">
        <v>476</v>
      </c>
      <c r="E881" s="71" t="s">
        <v>475</v>
      </c>
      <c r="F881" s="66" t="s">
        <v>307</v>
      </c>
      <c r="G881" s="70" t="s">
        <v>467</v>
      </c>
      <c r="H881" s="70" t="s">
        <v>971</v>
      </c>
      <c r="I881" s="363">
        <v>3</v>
      </c>
      <c r="J881" s="64"/>
      <c r="K881" s="64"/>
      <c r="L881" s="64"/>
    </row>
    <row r="882" spans="1:12" x14ac:dyDescent="0.25">
      <c r="A882" s="71">
        <v>461899</v>
      </c>
      <c r="B882" s="71">
        <v>2007</v>
      </c>
      <c r="C882" s="71" t="s">
        <v>1297</v>
      </c>
      <c r="D882" s="71" t="s">
        <v>476</v>
      </c>
      <c r="E882" s="71" t="s">
        <v>475</v>
      </c>
      <c r="F882" s="66" t="s">
        <v>307</v>
      </c>
      <c r="G882" s="70" t="s">
        <v>467</v>
      </c>
      <c r="H882" s="70" t="s">
        <v>971</v>
      </c>
      <c r="I882" s="363">
        <v>3</v>
      </c>
      <c r="J882" s="64"/>
      <c r="K882" s="64"/>
      <c r="L882" s="64"/>
    </row>
    <row r="883" spans="1:12" x14ac:dyDescent="0.25">
      <c r="A883" s="71">
        <v>461900</v>
      </c>
      <c r="B883" s="71">
        <v>2007</v>
      </c>
      <c r="C883" s="71" t="s">
        <v>1296</v>
      </c>
      <c r="D883" s="71" t="s">
        <v>476</v>
      </c>
      <c r="E883" s="71" t="s">
        <v>475</v>
      </c>
      <c r="F883" s="66" t="s">
        <v>307</v>
      </c>
      <c r="G883" s="70" t="s">
        <v>467</v>
      </c>
      <c r="H883" s="70" t="s">
        <v>971</v>
      </c>
      <c r="I883" s="363">
        <v>3</v>
      </c>
      <c r="J883" s="64"/>
      <c r="K883" s="64"/>
      <c r="L883" s="64"/>
    </row>
    <row r="884" spans="1:12" x14ac:dyDescent="0.25">
      <c r="A884" s="71">
        <v>461901</v>
      </c>
      <c r="B884" s="71">
        <v>2007</v>
      </c>
      <c r="C884" s="71" t="s">
        <v>1295</v>
      </c>
      <c r="D884" s="71" t="s">
        <v>476</v>
      </c>
      <c r="E884" s="71" t="s">
        <v>475</v>
      </c>
      <c r="F884" s="66" t="s">
        <v>307</v>
      </c>
      <c r="G884" s="70" t="s">
        <v>467</v>
      </c>
      <c r="H884" s="70" t="s">
        <v>971</v>
      </c>
      <c r="I884" s="363">
        <v>3</v>
      </c>
      <c r="J884" s="64"/>
      <c r="K884" s="64"/>
      <c r="L884" s="64"/>
    </row>
    <row r="885" spans="1:12" x14ac:dyDescent="0.25">
      <c r="A885" s="71">
        <v>461902</v>
      </c>
      <c r="B885" s="71">
        <v>2007</v>
      </c>
      <c r="C885" s="71" t="s">
        <v>1294</v>
      </c>
      <c r="D885" s="71" t="s">
        <v>476</v>
      </c>
      <c r="E885" s="71" t="s">
        <v>475</v>
      </c>
      <c r="F885" s="66" t="s">
        <v>307</v>
      </c>
      <c r="G885" s="70" t="s">
        <v>467</v>
      </c>
      <c r="H885" s="70" t="s">
        <v>971</v>
      </c>
      <c r="I885" s="363">
        <v>3</v>
      </c>
      <c r="J885" s="64"/>
      <c r="K885" s="64"/>
      <c r="L885" s="64"/>
    </row>
    <row r="886" spans="1:12" x14ac:dyDescent="0.25">
      <c r="A886" s="71">
        <v>461903</v>
      </c>
      <c r="B886" s="71">
        <v>2007</v>
      </c>
      <c r="C886" s="71" t="s">
        <v>1293</v>
      </c>
      <c r="D886" s="71" t="s">
        <v>476</v>
      </c>
      <c r="E886" s="71" t="s">
        <v>475</v>
      </c>
      <c r="F886" s="66" t="s">
        <v>307</v>
      </c>
      <c r="G886" s="70" t="s">
        <v>467</v>
      </c>
      <c r="H886" s="70" t="s">
        <v>971</v>
      </c>
      <c r="I886" s="363">
        <v>3</v>
      </c>
      <c r="J886" s="64"/>
      <c r="K886" s="64"/>
      <c r="L886" s="64"/>
    </row>
    <row r="887" spans="1:12" x14ac:dyDescent="0.25">
      <c r="A887" s="71">
        <v>461904</v>
      </c>
      <c r="B887" s="71">
        <v>2007</v>
      </c>
      <c r="C887" s="71" t="s">
        <v>1292</v>
      </c>
      <c r="D887" s="71" t="s">
        <v>476</v>
      </c>
      <c r="E887" s="71" t="s">
        <v>475</v>
      </c>
      <c r="F887" s="66" t="s">
        <v>307</v>
      </c>
      <c r="G887" s="70" t="s">
        <v>467</v>
      </c>
      <c r="H887" s="70" t="s">
        <v>971</v>
      </c>
      <c r="I887" s="363">
        <v>3</v>
      </c>
      <c r="J887" s="64"/>
      <c r="K887" s="64"/>
      <c r="L887" s="64"/>
    </row>
    <row r="888" spans="1:12" x14ac:dyDescent="0.25">
      <c r="A888" s="71">
        <v>462000</v>
      </c>
      <c r="B888" s="71">
        <v>2007</v>
      </c>
      <c r="C888" s="71" t="s">
        <v>1291</v>
      </c>
      <c r="D888" s="71" t="s">
        <v>476</v>
      </c>
      <c r="E888" s="71" t="s">
        <v>468</v>
      </c>
      <c r="F888" s="66" t="s">
        <v>307</v>
      </c>
      <c r="G888" s="70" t="s">
        <v>467</v>
      </c>
      <c r="H888" s="70" t="s">
        <v>971</v>
      </c>
      <c r="I888" s="363">
        <v>3</v>
      </c>
      <c r="J888" s="64"/>
      <c r="K888" s="64"/>
      <c r="L888" s="64"/>
    </row>
    <row r="889" spans="1:12" x14ac:dyDescent="0.25">
      <c r="A889" s="71">
        <v>462100</v>
      </c>
      <c r="B889" s="71">
        <v>2007</v>
      </c>
      <c r="C889" s="71" t="s">
        <v>1290</v>
      </c>
      <c r="D889" s="71" t="s">
        <v>476</v>
      </c>
      <c r="E889" s="71" t="s">
        <v>468</v>
      </c>
      <c r="F889" s="66" t="s">
        <v>307</v>
      </c>
      <c r="G889" s="70" t="s">
        <v>467</v>
      </c>
      <c r="H889" s="70" t="s">
        <v>971</v>
      </c>
      <c r="I889" s="363">
        <v>3</v>
      </c>
      <c r="J889" s="64"/>
      <c r="K889" s="64"/>
      <c r="L889" s="64"/>
    </row>
    <row r="890" spans="1:12" x14ac:dyDescent="0.25">
      <c r="A890" s="71">
        <v>462110</v>
      </c>
      <c r="B890" s="71">
        <v>2007</v>
      </c>
      <c r="C890" s="71" t="s">
        <v>1289</v>
      </c>
      <c r="D890" s="71" t="s">
        <v>476</v>
      </c>
      <c r="E890" s="71" t="s">
        <v>468</v>
      </c>
      <c r="F890" s="66" t="s">
        <v>307</v>
      </c>
      <c r="G890" s="70" t="s">
        <v>467</v>
      </c>
      <c r="H890" s="70" t="s">
        <v>971</v>
      </c>
      <c r="I890" s="363">
        <v>3</v>
      </c>
      <c r="J890" s="64"/>
      <c r="K890" s="64"/>
      <c r="L890" s="64"/>
    </row>
    <row r="891" spans="1:12" x14ac:dyDescent="0.25">
      <c r="A891" s="71">
        <v>462120</v>
      </c>
      <c r="B891" s="71">
        <v>2007</v>
      </c>
      <c r="C891" s="71" t="s">
        <v>1288</v>
      </c>
      <c r="D891" s="71" t="s">
        <v>476</v>
      </c>
      <c r="E891" s="71" t="s">
        <v>468</v>
      </c>
      <c r="F891" s="66" t="s">
        <v>307</v>
      </c>
      <c r="G891" s="70" t="s">
        <v>467</v>
      </c>
      <c r="H891" s="70" t="s">
        <v>971</v>
      </c>
      <c r="I891" s="363">
        <v>3</v>
      </c>
      <c r="J891" s="64"/>
      <c r="K891" s="64"/>
      <c r="L891" s="64"/>
    </row>
    <row r="892" spans="1:12" x14ac:dyDescent="0.25">
      <c r="A892" s="71">
        <v>462121</v>
      </c>
      <c r="B892" s="71">
        <v>2007</v>
      </c>
      <c r="C892" s="71" t="s">
        <v>1287</v>
      </c>
      <c r="D892" s="71" t="s">
        <v>476</v>
      </c>
      <c r="E892" s="71" t="s">
        <v>468</v>
      </c>
      <c r="F892" s="66" t="s">
        <v>307</v>
      </c>
      <c r="G892" s="70" t="s">
        <v>467</v>
      </c>
      <c r="H892" s="70" t="s">
        <v>971</v>
      </c>
      <c r="I892" s="363">
        <v>3</v>
      </c>
      <c r="J892" s="64"/>
      <c r="K892" s="64"/>
      <c r="L892" s="64"/>
    </row>
    <row r="893" spans="1:12" x14ac:dyDescent="0.25">
      <c r="A893" s="71">
        <v>462122</v>
      </c>
      <c r="B893" s="71">
        <v>2007</v>
      </c>
      <c r="C893" s="71" t="s">
        <v>1286</v>
      </c>
      <c r="D893" s="71" t="s">
        <v>476</v>
      </c>
      <c r="E893" s="71" t="s">
        <v>468</v>
      </c>
      <c r="F893" s="66" t="s">
        <v>307</v>
      </c>
      <c r="G893" s="70" t="s">
        <v>467</v>
      </c>
      <c r="H893" s="70" t="s">
        <v>971</v>
      </c>
      <c r="I893" s="363">
        <v>3</v>
      </c>
      <c r="J893" s="64"/>
      <c r="K893" s="64"/>
      <c r="L893" s="64"/>
    </row>
    <row r="894" spans="1:12" x14ac:dyDescent="0.25">
      <c r="A894" s="71">
        <v>462200</v>
      </c>
      <c r="B894" s="71">
        <v>2007</v>
      </c>
      <c r="C894" s="71" t="s">
        <v>1285</v>
      </c>
      <c r="D894" s="71" t="s">
        <v>476</v>
      </c>
      <c r="E894" s="71" t="s">
        <v>468</v>
      </c>
      <c r="F894" s="66" t="s">
        <v>307</v>
      </c>
      <c r="G894" s="70" t="s">
        <v>467</v>
      </c>
      <c r="H894" s="70" t="s">
        <v>971</v>
      </c>
      <c r="I894" s="363">
        <v>3</v>
      </c>
      <c r="J894" s="64"/>
      <c r="K894" s="64"/>
      <c r="L894" s="64"/>
    </row>
    <row r="895" spans="1:12" x14ac:dyDescent="0.25">
      <c r="A895" s="71">
        <v>462300</v>
      </c>
      <c r="B895" s="71">
        <v>2007</v>
      </c>
      <c r="C895" s="71" t="s">
        <v>1284</v>
      </c>
      <c r="D895" s="71" t="s">
        <v>476</v>
      </c>
      <c r="E895" s="71" t="s">
        <v>468</v>
      </c>
      <c r="F895" s="66" t="s">
        <v>307</v>
      </c>
      <c r="G895" s="70" t="s">
        <v>467</v>
      </c>
      <c r="H895" s="70" t="s">
        <v>971</v>
      </c>
      <c r="I895" s="363">
        <v>3</v>
      </c>
      <c r="J895" s="64"/>
      <c r="K895" s="64"/>
      <c r="L895" s="64"/>
    </row>
    <row r="896" spans="1:12" x14ac:dyDescent="0.25">
      <c r="A896" s="71">
        <v>462400</v>
      </c>
      <c r="B896" s="71">
        <v>2007</v>
      </c>
      <c r="C896" s="71" t="s">
        <v>1283</v>
      </c>
      <c r="D896" s="71" t="s">
        <v>476</v>
      </c>
      <c r="E896" s="71" t="s">
        <v>468</v>
      </c>
      <c r="F896" s="66" t="s">
        <v>307</v>
      </c>
      <c r="G896" s="70" t="s">
        <v>467</v>
      </c>
      <c r="H896" s="70" t="s">
        <v>971</v>
      </c>
      <c r="I896" s="363">
        <v>3</v>
      </c>
      <c r="J896" s="64"/>
      <c r="K896" s="64"/>
      <c r="L896" s="64"/>
    </row>
    <row r="897" spans="1:12" x14ac:dyDescent="0.25">
      <c r="A897" s="71">
        <v>462410</v>
      </c>
      <c r="B897" s="71">
        <v>2007</v>
      </c>
      <c r="C897" s="71" t="s">
        <v>1282</v>
      </c>
      <c r="D897" s="71" t="s">
        <v>476</v>
      </c>
      <c r="E897" s="71" t="s">
        <v>468</v>
      </c>
      <c r="F897" s="66" t="s">
        <v>307</v>
      </c>
      <c r="G897" s="70" t="s">
        <v>467</v>
      </c>
      <c r="H897" s="70" t="s">
        <v>971</v>
      </c>
      <c r="I897" s="363">
        <v>3</v>
      </c>
      <c r="J897" s="64"/>
      <c r="K897" s="64"/>
      <c r="L897" s="64"/>
    </row>
    <row r="898" spans="1:12" x14ac:dyDescent="0.25">
      <c r="A898" s="71">
        <v>462420</v>
      </c>
      <c r="B898" s="71">
        <v>2007</v>
      </c>
      <c r="C898" s="71" t="s">
        <v>1281</v>
      </c>
      <c r="D898" s="71" t="s">
        <v>476</v>
      </c>
      <c r="E898" s="71" t="s">
        <v>468</v>
      </c>
      <c r="F898" s="66" t="s">
        <v>307</v>
      </c>
      <c r="G898" s="70" t="s">
        <v>467</v>
      </c>
      <c r="H898" s="70" t="s">
        <v>971</v>
      </c>
      <c r="I898" s="363">
        <v>3</v>
      </c>
      <c r="J898" s="64"/>
      <c r="K898" s="64"/>
      <c r="L898" s="64"/>
    </row>
    <row r="899" spans="1:12" x14ac:dyDescent="0.25">
      <c r="A899" s="71">
        <v>463000</v>
      </c>
      <c r="B899" s="71">
        <v>2007</v>
      </c>
      <c r="C899" s="71" t="s">
        <v>1280</v>
      </c>
      <c r="D899" s="71" t="s">
        <v>476</v>
      </c>
      <c r="E899" s="71" t="s">
        <v>1044</v>
      </c>
      <c r="F899" s="66" t="s">
        <v>307</v>
      </c>
      <c r="G899" s="70" t="s">
        <v>467</v>
      </c>
      <c r="H899" s="70" t="s">
        <v>971</v>
      </c>
      <c r="I899" s="363">
        <v>3</v>
      </c>
      <c r="J899" s="64"/>
      <c r="K899" s="64"/>
      <c r="L899" s="64"/>
    </row>
    <row r="900" spans="1:12" x14ac:dyDescent="0.25">
      <c r="A900" s="71">
        <v>463100</v>
      </c>
      <c r="B900" s="71">
        <v>2007</v>
      </c>
      <c r="C900" s="71" t="s">
        <v>1279</v>
      </c>
      <c r="D900" s="71" t="s">
        <v>476</v>
      </c>
      <c r="E900" s="71" t="s">
        <v>468</v>
      </c>
      <c r="F900" s="66" t="s">
        <v>307</v>
      </c>
      <c r="G900" s="70" t="s">
        <v>467</v>
      </c>
      <c r="H900" s="70" t="s">
        <v>971</v>
      </c>
      <c r="I900" s="363">
        <v>3</v>
      </c>
      <c r="J900" s="64"/>
      <c r="K900" s="64"/>
      <c r="L900" s="64"/>
    </row>
    <row r="901" spans="1:12" x14ac:dyDescent="0.25">
      <c r="A901" s="71">
        <v>463110</v>
      </c>
      <c r="B901" s="71">
        <v>2007</v>
      </c>
      <c r="C901" s="71" t="s">
        <v>1278</v>
      </c>
      <c r="D901" s="71" t="s">
        <v>476</v>
      </c>
      <c r="E901" s="71" t="s">
        <v>468</v>
      </c>
      <c r="F901" s="66" t="s">
        <v>307</v>
      </c>
      <c r="G901" s="70" t="s">
        <v>467</v>
      </c>
      <c r="H901" s="70" t="s">
        <v>971</v>
      </c>
      <c r="I901" s="363">
        <v>3</v>
      </c>
      <c r="J901" s="64"/>
      <c r="K901" s="64"/>
      <c r="L901" s="64"/>
    </row>
    <row r="902" spans="1:12" x14ac:dyDescent="0.25">
      <c r="A902" s="71">
        <v>463120</v>
      </c>
      <c r="B902" s="71">
        <v>2007</v>
      </c>
      <c r="C902" s="71" t="s">
        <v>1277</v>
      </c>
      <c r="D902" s="71" t="s">
        <v>476</v>
      </c>
      <c r="E902" s="71" t="s">
        <v>468</v>
      </c>
      <c r="F902" s="66" t="s">
        <v>307</v>
      </c>
      <c r="G902" s="70" t="s">
        <v>467</v>
      </c>
      <c r="H902" s="70" t="s">
        <v>971</v>
      </c>
      <c r="I902" s="363">
        <v>3</v>
      </c>
      <c r="J902" s="64"/>
      <c r="K902" s="64"/>
      <c r="L902" s="64"/>
    </row>
    <row r="903" spans="1:12" x14ac:dyDescent="0.25">
      <c r="A903" s="71">
        <v>463200</v>
      </c>
      <c r="B903" s="71">
        <v>2007</v>
      </c>
      <c r="C903" s="71" t="s">
        <v>1276</v>
      </c>
      <c r="D903" s="71" t="s">
        <v>476</v>
      </c>
      <c r="E903" s="71" t="s">
        <v>468</v>
      </c>
      <c r="F903" s="66" t="s">
        <v>307</v>
      </c>
      <c r="G903" s="70" t="s">
        <v>467</v>
      </c>
      <c r="H903" s="70" t="s">
        <v>971</v>
      </c>
      <c r="I903" s="363">
        <v>3</v>
      </c>
      <c r="J903" s="64"/>
      <c r="K903" s="64"/>
      <c r="L903" s="64"/>
    </row>
    <row r="904" spans="1:12" x14ac:dyDescent="0.25">
      <c r="A904" s="71">
        <v>463210</v>
      </c>
      <c r="B904" s="71">
        <v>2007</v>
      </c>
      <c r="C904" s="71" t="s">
        <v>1275</v>
      </c>
      <c r="D904" s="71" t="s">
        <v>476</v>
      </c>
      <c r="E904" s="71" t="s">
        <v>468</v>
      </c>
      <c r="F904" s="66" t="s">
        <v>307</v>
      </c>
      <c r="G904" s="70" t="s">
        <v>467</v>
      </c>
      <c r="H904" s="70" t="s">
        <v>971</v>
      </c>
      <c r="I904" s="363">
        <v>3</v>
      </c>
      <c r="J904" s="64"/>
      <c r="K904" s="64"/>
      <c r="L904" s="64"/>
    </row>
    <row r="905" spans="1:12" x14ac:dyDescent="0.25">
      <c r="A905" s="71">
        <v>463220</v>
      </c>
      <c r="B905" s="71">
        <v>2007</v>
      </c>
      <c r="C905" s="71" t="s">
        <v>1274</v>
      </c>
      <c r="D905" s="71" t="s">
        <v>476</v>
      </c>
      <c r="E905" s="71" t="s">
        <v>468</v>
      </c>
      <c r="F905" s="66" t="s">
        <v>307</v>
      </c>
      <c r="G905" s="70" t="s">
        <v>467</v>
      </c>
      <c r="H905" s="70" t="s">
        <v>971</v>
      </c>
      <c r="I905" s="363">
        <v>3</v>
      </c>
      <c r="J905" s="64"/>
      <c r="K905" s="64"/>
      <c r="L905" s="64"/>
    </row>
    <row r="906" spans="1:12" x14ac:dyDescent="0.25">
      <c r="A906" s="71">
        <v>463300</v>
      </c>
      <c r="B906" s="71">
        <v>2007</v>
      </c>
      <c r="C906" s="71" t="s">
        <v>1273</v>
      </c>
      <c r="D906" s="71" t="s">
        <v>476</v>
      </c>
      <c r="E906" s="71" t="s">
        <v>468</v>
      </c>
      <c r="F906" s="66" t="s">
        <v>307</v>
      </c>
      <c r="G906" s="70" t="s">
        <v>467</v>
      </c>
      <c r="H906" s="70" t="s">
        <v>971</v>
      </c>
      <c r="I906" s="363">
        <v>3</v>
      </c>
      <c r="J906" s="64"/>
      <c r="K906" s="64"/>
      <c r="L906" s="64"/>
    </row>
    <row r="907" spans="1:12" x14ac:dyDescent="0.25">
      <c r="A907" s="71">
        <v>463310</v>
      </c>
      <c r="B907" s="71">
        <v>2007</v>
      </c>
      <c r="C907" s="71" t="s">
        <v>1272</v>
      </c>
      <c r="D907" s="71" t="s">
        <v>476</v>
      </c>
      <c r="E907" s="71" t="s">
        <v>468</v>
      </c>
      <c r="F907" s="66" t="s">
        <v>307</v>
      </c>
      <c r="G907" s="70" t="s">
        <v>467</v>
      </c>
      <c r="H907" s="70" t="s">
        <v>971</v>
      </c>
      <c r="I907" s="363">
        <v>3</v>
      </c>
      <c r="J907" s="64"/>
      <c r="K907" s="64"/>
      <c r="L907" s="64"/>
    </row>
    <row r="908" spans="1:12" x14ac:dyDescent="0.25">
      <c r="A908" s="71">
        <v>463320</v>
      </c>
      <c r="B908" s="71">
        <v>2007</v>
      </c>
      <c r="C908" s="71" t="s">
        <v>1271</v>
      </c>
      <c r="D908" s="71" t="s">
        <v>476</v>
      </c>
      <c r="E908" s="71" t="s">
        <v>468</v>
      </c>
      <c r="F908" s="66" t="s">
        <v>307</v>
      </c>
      <c r="G908" s="70" t="s">
        <v>467</v>
      </c>
      <c r="H908" s="70" t="s">
        <v>971</v>
      </c>
      <c r="I908" s="363">
        <v>3</v>
      </c>
      <c r="J908" s="64"/>
      <c r="K908" s="64"/>
      <c r="L908" s="64"/>
    </row>
    <row r="909" spans="1:12" x14ac:dyDescent="0.25">
      <c r="A909" s="71">
        <v>463400</v>
      </c>
      <c r="B909" s="71">
        <v>2007</v>
      </c>
      <c r="C909" s="71" t="s">
        <v>1270</v>
      </c>
      <c r="D909" s="71" t="s">
        <v>476</v>
      </c>
      <c r="E909" s="71" t="s">
        <v>1044</v>
      </c>
      <c r="F909" s="66" t="s">
        <v>307</v>
      </c>
      <c r="G909" s="70" t="s">
        <v>467</v>
      </c>
      <c r="H909" s="70" t="s">
        <v>971</v>
      </c>
      <c r="I909" s="363">
        <v>3</v>
      </c>
      <c r="J909" s="64"/>
      <c r="K909" s="64"/>
      <c r="L909" s="64"/>
    </row>
    <row r="910" spans="1:12" x14ac:dyDescent="0.25">
      <c r="A910" s="71">
        <v>463410</v>
      </c>
      <c r="B910" s="71">
        <v>2007</v>
      </c>
      <c r="C910" s="71" t="s">
        <v>1269</v>
      </c>
      <c r="D910" s="71" t="s">
        <v>476</v>
      </c>
      <c r="E910" s="71" t="s">
        <v>1044</v>
      </c>
      <c r="F910" s="66" t="s">
        <v>307</v>
      </c>
      <c r="G910" s="70" t="s">
        <v>467</v>
      </c>
      <c r="H910" s="70" t="s">
        <v>971</v>
      </c>
      <c r="I910" s="363">
        <v>3</v>
      </c>
      <c r="J910" s="64"/>
      <c r="K910" s="64"/>
      <c r="L910" s="64"/>
    </row>
    <row r="911" spans="1:12" x14ac:dyDescent="0.25">
      <c r="A911" s="71">
        <v>463420</v>
      </c>
      <c r="B911" s="71">
        <v>2007</v>
      </c>
      <c r="C911" s="71" t="s">
        <v>1268</v>
      </c>
      <c r="D911" s="71" t="s">
        <v>476</v>
      </c>
      <c r="E911" s="71" t="s">
        <v>1044</v>
      </c>
      <c r="F911" s="66" t="s">
        <v>307</v>
      </c>
      <c r="G911" s="70" t="s">
        <v>467</v>
      </c>
      <c r="H911" s="70" t="s">
        <v>971</v>
      </c>
      <c r="I911" s="363">
        <v>3</v>
      </c>
      <c r="J911" s="64"/>
      <c r="K911" s="64"/>
      <c r="L911" s="64"/>
    </row>
    <row r="912" spans="1:12" x14ac:dyDescent="0.25">
      <c r="A912" s="71">
        <v>463500</v>
      </c>
      <c r="B912" s="71">
        <v>2007</v>
      </c>
      <c r="C912" s="71" t="s">
        <v>1267</v>
      </c>
      <c r="D912" s="71" t="s">
        <v>476</v>
      </c>
      <c r="E912" s="71" t="s">
        <v>475</v>
      </c>
      <c r="F912" s="66" t="s">
        <v>307</v>
      </c>
      <c r="G912" s="70" t="s">
        <v>467</v>
      </c>
      <c r="H912" s="70" t="s">
        <v>971</v>
      </c>
      <c r="I912" s="363">
        <v>3</v>
      </c>
      <c r="J912" s="64"/>
      <c r="K912" s="64"/>
      <c r="L912" s="64"/>
    </row>
    <row r="913" spans="1:12" x14ac:dyDescent="0.25">
      <c r="A913" s="71">
        <v>463600</v>
      </c>
      <c r="B913" s="71">
        <v>2007</v>
      </c>
      <c r="C913" s="71" t="s">
        <v>1266</v>
      </c>
      <c r="D913" s="71" t="s">
        <v>476</v>
      </c>
      <c r="E913" s="71" t="s">
        <v>1044</v>
      </c>
      <c r="F913" s="66" t="s">
        <v>307</v>
      </c>
      <c r="G913" s="70" t="s">
        <v>467</v>
      </c>
      <c r="H913" s="70" t="s">
        <v>971</v>
      </c>
      <c r="I913" s="363">
        <v>3</v>
      </c>
      <c r="J913" s="64"/>
      <c r="K913" s="64"/>
      <c r="L913" s="64"/>
    </row>
    <row r="914" spans="1:12" x14ac:dyDescent="0.25">
      <c r="A914" s="71">
        <v>463700</v>
      </c>
      <c r="B914" s="71">
        <v>2007</v>
      </c>
      <c r="C914" s="71" t="s">
        <v>1265</v>
      </c>
      <c r="D914" s="71" t="s">
        <v>476</v>
      </c>
      <c r="E914" s="71" t="s">
        <v>468</v>
      </c>
      <c r="F914" s="66" t="s">
        <v>307</v>
      </c>
      <c r="G914" s="70" t="s">
        <v>467</v>
      </c>
      <c r="H914" s="70" t="s">
        <v>971</v>
      </c>
      <c r="I914" s="363">
        <v>3</v>
      </c>
      <c r="J914" s="64"/>
      <c r="K914" s="64"/>
      <c r="L914" s="64"/>
    </row>
    <row r="915" spans="1:12" x14ac:dyDescent="0.25">
      <c r="A915" s="71">
        <v>463701</v>
      </c>
      <c r="B915" s="71">
        <v>2007</v>
      </c>
      <c r="C915" s="71" t="s">
        <v>1264</v>
      </c>
      <c r="D915" s="71" t="s">
        <v>476</v>
      </c>
      <c r="E915" s="71" t="s">
        <v>468</v>
      </c>
      <c r="F915" s="66" t="s">
        <v>307</v>
      </c>
      <c r="G915" s="70" t="s">
        <v>467</v>
      </c>
      <c r="H915" s="70" t="s">
        <v>971</v>
      </c>
      <c r="I915" s="363">
        <v>3</v>
      </c>
      <c r="J915" s="64"/>
      <c r="K915" s="64"/>
      <c r="L915" s="64"/>
    </row>
    <row r="916" spans="1:12" x14ac:dyDescent="0.25">
      <c r="A916" s="71">
        <v>463702</v>
      </c>
      <c r="B916" s="71">
        <v>2007</v>
      </c>
      <c r="C916" s="71" t="s">
        <v>1263</v>
      </c>
      <c r="D916" s="71" t="s">
        <v>476</v>
      </c>
      <c r="E916" s="71" t="s">
        <v>468</v>
      </c>
      <c r="F916" s="66" t="s">
        <v>307</v>
      </c>
      <c r="G916" s="70" t="s">
        <v>467</v>
      </c>
      <c r="H916" s="70" t="s">
        <v>971</v>
      </c>
      <c r="I916" s="363">
        <v>3</v>
      </c>
      <c r="J916" s="64"/>
      <c r="K916" s="64"/>
      <c r="L916" s="64"/>
    </row>
    <row r="917" spans="1:12" x14ac:dyDescent="0.25">
      <c r="A917" s="71">
        <v>463800</v>
      </c>
      <c r="B917" s="71">
        <v>2007</v>
      </c>
      <c r="C917" s="71" t="s">
        <v>1262</v>
      </c>
      <c r="D917" s="71" t="s">
        <v>476</v>
      </c>
      <c r="E917" s="71" t="s">
        <v>1044</v>
      </c>
      <c r="F917" s="65" t="s">
        <v>151</v>
      </c>
      <c r="G917" s="70" t="s">
        <v>467</v>
      </c>
      <c r="H917" s="70" t="s">
        <v>971</v>
      </c>
      <c r="I917" s="363">
        <v>3</v>
      </c>
      <c r="J917" s="64"/>
      <c r="K917" s="64"/>
      <c r="L917" s="64"/>
    </row>
    <row r="918" spans="1:12" x14ac:dyDescent="0.25">
      <c r="A918" s="71">
        <v>463810</v>
      </c>
      <c r="B918" s="71">
        <v>2007</v>
      </c>
      <c r="C918" s="71" t="s">
        <v>1261</v>
      </c>
      <c r="D918" s="71" t="s">
        <v>476</v>
      </c>
      <c r="E918" s="71" t="s">
        <v>468</v>
      </c>
      <c r="F918" s="65" t="s">
        <v>151</v>
      </c>
      <c r="G918" s="70" t="s">
        <v>467</v>
      </c>
      <c r="H918" s="70" t="s">
        <v>971</v>
      </c>
      <c r="I918" s="363">
        <v>3</v>
      </c>
      <c r="J918" s="64"/>
      <c r="K918" s="64"/>
      <c r="L918" s="64"/>
    </row>
    <row r="919" spans="1:12" x14ac:dyDescent="0.25">
      <c r="A919" s="71">
        <v>463820</v>
      </c>
      <c r="B919" s="71">
        <v>2007</v>
      </c>
      <c r="C919" s="71" t="s">
        <v>1260</v>
      </c>
      <c r="D919" s="71" t="s">
        <v>476</v>
      </c>
      <c r="E919" s="71" t="s">
        <v>468</v>
      </c>
      <c r="F919" s="65" t="s">
        <v>151</v>
      </c>
      <c r="G919" s="70" t="s">
        <v>467</v>
      </c>
      <c r="H919" s="70" t="s">
        <v>971</v>
      </c>
      <c r="I919" s="363">
        <v>3</v>
      </c>
      <c r="J919" s="64"/>
      <c r="K919" s="64"/>
      <c r="L919" s="64"/>
    </row>
    <row r="920" spans="1:12" x14ac:dyDescent="0.25">
      <c r="A920" s="71">
        <v>463830</v>
      </c>
      <c r="B920" s="71">
        <v>2007</v>
      </c>
      <c r="C920" s="71" t="s">
        <v>1259</v>
      </c>
      <c r="D920" s="71" t="s">
        <v>476</v>
      </c>
      <c r="E920" s="71" t="s">
        <v>475</v>
      </c>
      <c r="F920" s="66" t="s">
        <v>307</v>
      </c>
      <c r="G920" s="70" t="s">
        <v>467</v>
      </c>
      <c r="H920" s="70" t="s">
        <v>971</v>
      </c>
      <c r="I920" s="363">
        <v>3</v>
      </c>
      <c r="J920" s="64"/>
      <c r="K920" s="64"/>
      <c r="L920" s="64"/>
    </row>
    <row r="921" spans="1:12" x14ac:dyDescent="0.25">
      <c r="A921" s="71">
        <v>463890</v>
      </c>
      <c r="B921" s="71">
        <v>2007</v>
      </c>
      <c r="C921" s="71" t="s">
        <v>1258</v>
      </c>
      <c r="D921" s="71" t="s">
        <v>476</v>
      </c>
      <c r="E921" s="71" t="s">
        <v>475</v>
      </c>
      <c r="F921" s="66" t="s">
        <v>307</v>
      </c>
      <c r="G921" s="70" t="s">
        <v>467</v>
      </c>
      <c r="H921" s="70" t="s">
        <v>971</v>
      </c>
      <c r="I921" s="363">
        <v>3</v>
      </c>
      <c r="J921" s="64"/>
      <c r="K921" s="64"/>
      <c r="L921" s="64"/>
    </row>
    <row r="922" spans="1:12" x14ac:dyDescent="0.25">
      <c r="A922" s="71">
        <v>463900</v>
      </c>
      <c r="B922" s="71">
        <v>2007</v>
      </c>
      <c r="C922" s="71" t="s">
        <v>1256</v>
      </c>
      <c r="D922" s="71" t="s">
        <v>476</v>
      </c>
      <c r="E922" s="71" t="s">
        <v>475</v>
      </c>
      <c r="F922" s="66" t="s">
        <v>307</v>
      </c>
      <c r="G922" s="70" t="s">
        <v>467</v>
      </c>
      <c r="H922" s="70" t="s">
        <v>971</v>
      </c>
      <c r="I922" s="363">
        <v>3</v>
      </c>
      <c r="J922" s="64"/>
      <c r="K922" s="64"/>
      <c r="L922" s="64"/>
    </row>
    <row r="923" spans="1:12" x14ac:dyDescent="0.25">
      <c r="A923" s="71">
        <v>463910</v>
      </c>
      <c r="B923" s="71">
        <v>2007</v>
      </c>
      <c r="C923" s="71" t="s">
        <v>1257</v>
      </c>
      <c r="D923" s="71" t="s">
        <v>476</v>
      </c>
      <c r="E923" s="71" t="s">
        <v>475</v>
      </c>
      <c r="F923" s="66" t="s">
        <v>307</v>
      </c>
      <c r="G923" s="70" t="s">
        <v>467</v>
      </c>
      <c r="H923" s="70" t="s">
        <v>971</v>
      </c>
      <c r="I923" s="363">
        <v>3</v>
      </c>
      <c r="J923" s="64"/>
      <c r="K923" s="64"/>
      <c r="L923" s="64"/>
    </row>
    <row r="924" spans="1:12" x14ac:dyDescent="0.25">
      <c r="A924" s="71">
        <v>463920</v>
      </c>
      <c r="B924" s="71">
        <v>2007</v>
      </c>
      <c r="C924" s="71" t="s">
        <v>1256</v>
      </c>
      <c r="D924" s="71" t="s">
        <v>476</v>
      </c>
      <c r="E924" s="71" t="s">
        <v>475</v>
      </c>
      <c r="F924" s="66" t="s">
        <v>307</v>
      </c>
      <c r="G924" s="70" t="s">
        <v>467</v>
      </c>
      <c r="H924" s="70" t="s">
        <v>971</v>
      </c>
      <c r="I924" s="363">
        <v>3</v>
      </c>
      <c r="J924" s="64"/>
      <c r="K924" s="64"/>
      <c r="L924" s="64"/>
    </row>
    <row r="925" spans="1:12" x14ac:dyDescent="0.25">
      <c r="A925" s="71">
        <v>464000</v>
      </c>
      <c r="B925" s="71">
        <v>2007</v>
      </c>
      <c r="C925" s="71" t="s">
        <v>1255</v>
      </c>
      <c r="D925" s="71" t="s">
        <v>476</v>
      </c>
      <c r="E925" s="71" t="s">
        <v>475</v>
      </c>
      <c r="F925" s="66" t="s">
        <v>307</v>
      </c>
      <c r="G925" s="70" t="s">
        <v>467</v>
      </c>
      <c r="H925" s="70" t="s">
        <v>971</v>
      </c>
      <c r="I925" s="363">
        <v>3</v>
      </c>
      <c r="J925" s="64"/>
      <c r="K925" s="64"/>
      <c r="L925" s="64"/>
    </row>
    <row r="926" spans="1:12" x14ac:dyDescent="0.25">
      <c r="A926" s="71">
        <v>464100</v>
      </c>
      <c r="B926" s="71">
        <v>2007</v>
      </c>
      <c r="C926" s="71" t="s">
        <v>1254</v>
      </c>
      <c r="D926" s="71" t="s">
        <v>476</v>
      </c>
      <c r="E926" s="71" t="s">
        <v>475</v>
      </c>
      <c r="F926" s="66" t="s">
        <v>307</v>
      </c>
      <c r="G926" s="70" t="s">
        <v>467</v>
      </c>
      <c r="H926" s="70" t="s">
        <v>971</v>
      </c>
      <c r="I926" s="363">
        <v>3</v>
      </c>
      <c r="J926" s="64"/>
      <c r="K926" s="64"/>
      <c r="L926" s="64"/>
    </row>
    <row r="927" spans="1:12" x14ac:dyDescent="0.25">
      <c r="A927" s="71">
        <v>464110</v>
      </c>
      <c r="B927" s="71">
        <v>2007</v>
      </c>
      <c r="C927" s="71" t="s">
        <v>1253</v>
      </c>
      <c r="D927" s="71" t="s">
        <v>476</v>
      </c>
      <c r="E927" s="71" t="s">
        <v>475</v>
      </c>
      <c r="F927" s="66" t="s">
        <v>307</v>
      </c>
      <c r="G927" s="70" t="s">
        <v>467</v>
      </c>
      <c r="H927" s="70" t="s">
        <v>971</v>
      </c>
      <c r="I927" s="363">
        <v>3</v>
      </c>
      <c r="J927" s="64"/>
      <c r="K927" s="64"/>
      <c r="L927" s="64"/>
    </row>
    <row r="928" spans="1:12" x14ac:dyDescent="0.25">
      <c r="A928" s="71">
        <v>464120</v>
      </c>
      <c r="B928" s="71">
        <v>2007</v>
      </c>
      <c r="C928" s="71" t="s">
        <v>1252</v>
      </c>
      <c r="D928" s="71" t="s">
        <v>476</v>
      </c>
      <c r="E928" s="71" t="s">
        <v>475</v>
      </c>
      <c r="F928" s="66" t="s">
        <v>307</v>
      </c>
      <c r="G928" s="70" t="s">
        <v>467</v>
      </c>
      <c r="H928" s="70" t="s">
        <v>971</v>
      </c>
      <c r="I928" s="363">
        <v>3</v>
      </c>
      <c r="J928" s="64"/>
      <c r="K928" s="64"/>
      <c r="L928" s="64"/>
    </row>
    <row r="929" spans="1:12" x14ac:dyDescent="0.25">
      <c r="A929" s="71">
        <v>464190</v>
      </c>
      <c r="B929" s="71">
        <v>2007</v>
      </c>
      <c r="C929" s="71" t="s">
        <v>1251</v>
      </c>
      <c r="D929" s="71" t="s">
        <v>476</v>
      </c>
      <c r="E929" s="71" t="s">
        <v>475</v>
      </c>
      <c r="F929" s="66" t="s">
        <v>307</v>
      </c>
      <c r="G929" s="70" t="s">
        <v>467</v>
      </c>
      <c r="H929" s="70" t="s">
        <v>971</v>
      </c>
      <c r="I929" s="363">
        <v>3</v>
      </c>
      <c r="J929" s="64"/>
      <c r="K929" s="64"/>
      <c r="L929" s="64"/>
    </row>
    <row r="930" spans="1:12" x14ac:dyDescent="0.25">
      <c r="A930" s="71">
        <v>464200</v>
      </c>
      <c r="B930" s="71">
        <v>2007</v>
      </c>
      <c r="C930" s="71" t="s">
        <v>1250</v>
      </c>
      <c r="D930" s="71" t="s">
        <v>476</v>
      </c>
      <c r="E930" s="71" t="s">
        <v>475</v>
      </c>
      <c r="F930" s="66" t="s">
        <v>307</v>
      </c>
      <c r="G930" s="70" t="s">
        <v>467</v>
      </c>
      <c r="H930" s="70" t="s">
        <v>971</v>
      </c>
      <c r="I930" s="363">
        <v>3</v>
      </c>
      <c r="J930" s="64"/>
      <c r="K930" s="64"/>
      <c r="L930" s="64"/>
    </row>
    <row r="931" spans="1:12" x14ac:dyDescent="0.25">
      <c r="A931" s="71">
        <v>464210</v>
      </c>
      <c r="B931" s="71">
        <v>2007</v>
      </c>
      <c r="C931" s="71" t="s">
        <v>1249</v>
      </c>
      <c r="D931" s="71" t="s">
        <v>476</v>
      </c>
      <c r="E931" s="71" t="s">
        <v>475</v>
      </c>
      <c r="F931" s="66" t="s">
        <v>307</v>
      </c>
      <c r="G931" s="70" t="s">
        <v>467</v>
      </c>
      <c r="H931" s="70" t="s">
        <v>971</v>
      </c>
      <c r="I931" s="363">
        <v>3</v>
      </c>
      <c r="J931" s="64"/>
      <c r="K931" s="64"/>
      <c r="L931" s="64"/>
    </row>
    <row r="932" spans="1:12" x14ac:dyDescent="0.25">
      <c r="A932" s="71">
        <v>464220</v>
      </c>
      <c r="B932" s="71">
        <v>2007</v>
      </c>
      <c r="C932" s="71" t="s">
        <v>1248</v>
      </c>
      <c r="D932" s="71" t="s">
        <v>476</v>
      </c>
      <c r="E932" s="71" t="s">
        <v>475</v>
      </c>
      <c r="F932" s="66" t="s">
        <v>307</v>
      </c>
      <c r="G932" s="70" t="s">
        <v>467</v>
      </c>
      <c r="H932" s="70" t="s">
        <v>971</v>
      </c>
      <c r="I932" s="363">
        <v>3</v>
      </c>
      <c r="J932" s="64"/>
      <c r="K932" s="64"/>
      <c r="L932" s="64"/>
    </row>
    <row r="933" spans="1:12" x14ac:dyDescent="0.25">
      <c r="A933" s="71">
        <v>464230</v>
      </c>
      <c r="B933" s="71">
        <v>2007</v>
      </c>
      <c r="C933" s="71" t="s">
        <v>1247</v>
      </c>
      <c r="D933" s="71" t="s">
        <v>476</v>
      </c>
      <c r="E933" s="71" t="s">
        <v>475</v>
      </c>
      <c r="F933" s="66" t="s">
        <v>307</v>
      </c>
      <c r="G933" s="70" t="s">
        <v>467</v>
      </c>
      <c r="H933" s="70" t="s">
        <v>971</v>
      </c>
      <c r="I933" s="363">
        <v>3</v>
      </c>
      <c r="J933" s="64"/>
      <c r="K933" s="64"/>
      <c r="L933" s="64"/>
    </row>
    <row r="934" spans="1:12" x14ac:dyDescent="0.25">
      <c r="A934" s="71">
        <v>464240</v>
      </c>
      <c r="B934" s="71">
        <v>2007</v>
      </c>
      <c r="C934" s="71" t="s">
        <v>1246</v>
      </c>
      <c r="D934" s="71" t="s">
        <v>476</v>
      </c>
      <c r="E934" s="71" t="s">
        <v>475</v>
      </c>
      <c r="F934" s="66" t="s">
        <v>307</v>
      </c>
      <c r="G934" s="70" t="s">
        <v>467</v>
      </c>
      <c r="H934" s="70" t="s">
        <v>971</v>
      </c>
      <c r="I934" s="363">
        <v>3</v>
      </c>
      <c r="J934" s="64"/>
      <c r="K934" s="64"/>
      <c r="L934" s="64"/>
    </row>
    <row r="935" spans="1:12" x14ac:dyDescent="0.25">
      <c r="A935" s="71">
        <v>464300</v>
      </c>
      <c r="B935" s="71">
        <v>2007</v>
      </c>
      <c r="C935" s="71" t="s">
        <v>1245</v>
      </c>
      <c r="D935" s="71" t="s">
        <v>476</v>
      </c>
      <c r="E935" s="71" t="s">
        <v>475</v>
      </c>
      <c r="F935" s="66" t="s">
        <v>307</v>
      </c>
      <c r="G935" s="70" t="s">
        <v>467</v>
      </c>
      <c r="H935" s="70" t="s">
        <v>971</v>
      </c>
      <c r="I935" s="363">
        <v>3</v>
      </c>
      <c r="J935" s="64"/>
      <c r="K935" s="64"/>
      <c r="L935" s="64"/>
    </row>
    <row r="936" spans="1:12" x14ac:dyDescent="0.25">
      <c r="A936" s="71">
        <v>464310</v>
      </c>
      <c r="B936" s="71">
        <v>2007</v>
      </c>
      <c r="C936" s="71" t="s">
        <v>1244</v>
      </c>
      <c r="D936" s="71" t="s">
        <v>476</v>
      </c>
      <c r="E936" s="71" t="s">
        <v>475</v>
      </c>
      <c r="F936" s="66" t="s">
        <v>307</v>
      </c>
      <c r="G936" s="70" t="s">
        <v>467</v>
      </c>
      <c r="H936" s="70" t="s">
        <v>971</v>
      </c>
      <c r="I936" s="363">
        <v>3</v>
      </c>
      <c r="J936" s="64"/>
      <c r="K936" s="64"/>
      <c r="L936" s="64"/>
    </row>
    <row r="937" spans="1:12" x14ac:dyDescent="0.25">
      <c r="A937" s="71">
        <v>464320</v>
      </c>
      <c r="B937" s="71">
        <v>2007</v>
      </c>
      <c r="C937" s="71" t="s">
        <v>1243</v>
      </c>
      <c r="D937" s="71" t="s">
        <v>476</v>
      </c>
      <c r="E937" s="71" t="s">
        <v>475</v>
      </c>
      <c r="F937" s="66" t="s">
        <v>307</v>
      </c>
      <c r="G937" s="70" t="s">
        <v>467</v>
      </c>
      <c r="H937" s="70" t="s">
        <v>971</v>
      </c>
      <c r="I937" s="363">
        <v>3</v>
      </c>
      <c r="J937" s="64"/>
      <c r="K937" s="64"/>
      <c r="L937" s="64"/>
    </row>
    <row r="938" spans="1:12" x14ac:dyDescent="0.25">
      <c r="A938" s="71">
        <v>464330</v>
      </c>
      <c r="B938" s="71">
        <v>2007</v>
      </c>
      <c r="C938" s="71" t="s">
        <v>1242</v>
      </c>
      <c r="D938" s="71" t="s">
        <v>476</v>
      </c>
      <c r="E938" s="71" t="s">
        <v>475</v>
      </c>
      <c r="F938" s="66" t="s">
        <v>307</v>
      </c>
      <c r="G938" s="70" t="s">
        <v>467</v>
      </c>
      <c r="H938" s="70" t="s">
        <v>971</v>
      </c>
      <c r="I938" s="363">
        <v>3</v>
      </c>
      <c r="J938" s="64"/>
      <c r="K938" s="64"/>
      <c r="L938" s="64"/>
    </row>
    <row r="939" spans="1:12" x14ac:dyDescent="0.25">
      <c r="A939" s="71">
        <v>464400</v>
      </c>
      <c r="B939" s="71">
        <v>2007</v>
      </c>
      <c r="C939" s="71" t="s">
        <v>1241</v>
      </c>
      <c r="D939" s="71" t="s">
        <v>476</v>
      </c>
      <c r="E939" s="71" t="s">
        <v>475</v>
      </c>
      <c r="F939" s="66" t="s">
        <v>307</v>
      </c>
      <c r="G939" s="70" t="s">
        <v>467</v>
      </c>
      <c r="H939" s="70" t="s">
        <v>971</v>
      </c>
      <c r="I939" s="363">
        <v>3</v>
      </c>
      <c r="J939" s="64"/>
      <c r="K939" s="64"/>
      <c r="L939" s="64"/>
    </row>
    <row r="940" spans="1:12" x14ac:dyDescent="0.25">
      <c r="A940" s="71">
        <v>464410</v>
      </c>
      <c r="B940" s="71">
        <v>2007</v>
      </c>
      <c r="C940" s="71" t="s">
        <v>1240</v>
      </c>
      <c r="D940" s="71" t="s">
        <v>476</v>
      </c>
      <c r="E940" s="71" t="s">
        <v>475</v>
      </c>
      <c r="F940" s="66" t="s">
        <v>307</v>
      </c>
      <c r="G940" s="70" t="s">
        <v>467</v>
      </c>
      <c r="H940" s="70" t="s">
        <v>971</v>
      </c>
      <c r="I940" s="363">
        <v>3</v>
      </c>
      <c r="J940" s="64"/>
      <c r="K940" s="64"/>
      <c r="L940" s="64"/>
    </row>
    <row r="941" spans="1:12" x14ac:dyDescent="0.25">
      <c r="A941" s="71">
        <v>464420</v>
      </c>
      <c r="B941" s="71">
        <v>2007</v>
      </c>
      <c r="C941" s="71" t="s">
        <v>1239</v>
      </c>
      <c r="D941" s="71" t="s">
        <v>476</v>
      </c>
      <c r="E941" s="71" t="s">
        <v>475</v>
      </c>
      <c r="F941" s="66" t="s">
        <v>307</v>
      </c>
      <c r="G941" s="70" t="s">
        <v>467</v>
      </c>
      <c r="H941" s="70" t="s">
        <v>971</v>
      </c>
      <c r="I941" s="363">
        <v>3</v>
      </c>
      <c r="J941" s="64"/>
      <c r="K941" s="64"/>
      <c r="L941" s="64"/>
    </row>
    <row r="942" spans="1:12" x14ac:dyDescent="0.25">
      <c r="A942" s="71">
        <v>464430</v>
      </c>
      <c r="B942" s="71">
        <v>2007</v>
      </c>
      <c r="C942" s="71" t="s">
        <v>1238</v>
      </c>
      <c r="D942" s="71" t="s">
        <v>476</v>
      </c>
      <c r="E942" s="71" t="s">
        <v>475</v>
      </c>
      <c r="F942" s="66" t="s">
        <v>307</v>
      </c>
      <c r="G942" s="70" t="s">
        <v>467</v>
      </c>
      <c r="H942" s="70" t="s">
        <v>971</v>
      </c>
      <c r="I942" s="363">
        <v>3</v>
      </c>
      <c r="J942" s="64"/>
      <c r="K942" s="64"/>
      <c r="L942" s="64"/>
    </row>
    <row r="943" spans="1:12" x14ac:dyDescent="0.25">
      <c r="A943" s="71">
        <v>464440</v>
      </c>
      <c r="B943" s="71">
        <v>2007</v>
      </c>
      <c r="C943" s="71" t="s">
        <v>1237</v>
      </c>
      <c r="D943" s="71" t="s">
        <v>476</v>
      </c>
      <c r="E943" s="71" t="s">
        <v>475</v>
      </c>
      <c r="F943" s="66" t="s">
        <v>307</v>
      </c>
      <c r="G943" s="70" t="s">
        <v>467</v>
      </c>
      <c r="H943" s="70" t="s">
        <v>971</v>
      </c>
      <c r="I943" s="363">
        <v>3</v>
      </c>
      <c r="J943" s="64"/>
      <c r="K943" s="64"/>
      <c r="L943" s="64"/>
    </row>
    <row r="944" spans="1:12" x14ac:dyDescent="0.25">
      <c r="A944" s="71">
        <v>464500</v>
      </c>
      <c r="B944" s="71">
        <v>2007</v>
      </c>
      <c r="C944" s="71" t="s">
        <v>1236</v>
      </c>
      <c r="D944" s="71" t="s">
        <v>476</v>
      </c>
      <c r="E944" s="71" t="s">
        <v>475</v>
      </c>
      <c r="F944" s="66" t="s">
        <v>307</v>
      </c>
      <c r="G944" s="70" t="s">
        <v>467</v>
      </c>
      <c r="H944" s="70" t="s">
        <v>971</v>
      </c>
      <c r="I944" s="363">
        <v>3</v>
      </c>
      <c r="J944" s="64"/>
      <c r="K944" s="64"/>
      <c r="L944" s="64"/>
    </row>
    <row r="945" spans="1:12" x14ac:dyDescent="0.25">
      <c r="A945" s="71">
        <v>464600</v>
      </c>
      <c r="B945" s="71">
        <v>2007</v>
      </c>
      <c r="C945" s="71" t="s">
        <v>1235</v>
      </c>
      <c r="D945" s="71" t="s">
        <v>476</v>
      </c>
      <c r="E945" s="71" t="s">
        <v>475</v>
      </c>
      <c r="F945" s="66" t="s">
        <v>307</v>
      </c>
      <c r="G945" s="70" t="s">
        <v>467</v>
      </c>
      <c r="H945" s="70" t="s">
        <v>971</v>
      </c>
      <c r="I945" s="363">
        <v>3</v>
      </c>
      <c r="J945" s="64"/>
      <c r="K945" s="64"/>
      <c r="L945" s="64"/>
    </row>
    <row r="946" spans="1:12" x14ac:dyDescent="0.25">
      <c r="A946" s="71">
        <v>464610</v>
      </c>
      <c r="B946" s="71">
        <v>2007</v>
      </c>
      <c r="C946" s="71" t="s">
        <v>1234</v>
      </c>
      <c r="D946" s="71" t="s">
        <v>476</v>
      </c>
      <c r="E946" s="71" t="s">
        <v>475</v>
      </c>
      <c r="F946" s="66" t="s">
        <v>307</v>
      </c>
      <c r="G946" s="70" t="s">
        <v>467</v>
      </c>
      <c r="H946" s="70" t="s">
        <v>971</v>
      </c>
      <c r="I946" s="363">
        <v>3</v>
      </c>
      <c r="J946" s="64"/>
      <c r="K946" s="64"/>
      <c r="L946" s="64"/>
    </row>
    <row r="947" spans="1:12" x14ac:dyDescent="0.25">
      <c r="A947" s="71">
        <v>464620</v>
      </c>
      <c r="B947" s="71">
        <v>2007</v>
      </c>
      <c r="C947" s="71" t="s">
        <v>1233</v>
      </c>
      <c r="D947" s="71" t="s">
        <v>476</v>
      </c>
      <c r="E947" s="71" t="s">
        <v>475</v>
      </c>
      <c r="F947" s="66" t="s">
        <v>307</v>
      </c>
      <c r="G947" s="70" t="s">
        <v>467</v>
      </c>
      <c r="H947" s="70" t="s">
        <v>971</v>
      </c>
      <c r="I947" s="363">
        <v>3</v>
      </c>
      <c r="J947" s="64"/>
      <c r="K947" s="64"/>
      <c r="L947" s="64"/>
    </row>
    <row r="948" spans="1:12" x14ac:dyDescent="0.25">
      <c r="A948" s="71">
        <v>464630</v>
      </c>
      <c r="B948" s="71">
        <v>2007</v>
      </c>
      <c r="C948" s="71" t="s">
        <v>1232</v>
      </c>
      <c r="D948" s="71" t="s">
        <v>476</v>
      </c>
      <c r="E948" s="71" t="s">
        <v>475</v>
      </c>
      <c r="F948" s="66" t="s">
        <v>307</v>
      </c>
      <c r="G948" s="70" t="s">
        <v>467</v>
      </c>
      <c r="H948" s="70" t="s">
        <v>971</v>
      </c>
      <c r="I948" s="363">
        <v>3</v>
      </c>
      <c r="J948" s="64"/>
      <c r="K948" s="64"/>
      <c r="L948" s="64"/>
    </row>
    <row r="949" spans="1:12" x14ac:dyDescent="0.25">
      <c r="A949" s="71">
        <v>464700</v>
      </c>
      <c r="B949" s="71">
        <v>2007</v>
      </c>
      <c r="C949" s="71" t="s">
        <v>1231</v>
      </c>
      <c r="D949" s="71" t="s">
        <v>476</v>
      </c>
      <c r="E949" s="71" t="s">
        <v>475</v>
      </c>
      <c r="F949" s="66" t="s">
        <v>307</v>
      </c>
      <c r="G949" s="70" t="s">
        <v>467</v>
      </c>
      <c r="H949" s="70" t="s">
        <v>971</v>
      </c>
      <c r="I949" s="363">
        <v>3</v>
      </c>
      <c r="J949" s="64"/>
      <c r="K949" s="64"/>
      <c r="L949" s="64"/>
    </row>
    <row r="950" spans="1:12" x14ac:dyDescent="0.25">
      <c r="A950" s="71">
        <v>464710</v>
      </c>
      <c r="B950" s="71">
        <v>2007</v>
      </c>
      <c r="C950" s="71" t="s">
        <v>1230</v>
      </c>
      <c r="D950" s="71" t="s">
        <v>476</v>
      </c>
      <c r="E950" s="71" t="s">
        <v>475</v>
      </c>
      <c r="F950" s="66" t="s">
        <v>307</v>
      </c>
      <c r="G950" s="70" t="s">
        <v>467</v>
      </c>
      <c r="H950" s="70" t="s">
        <v>971</v>
      </c>
      <c r="I950" s="363">
        <v>3</v>
      </c>
      <c r="J950" s="64"/>
      <c r="K950" s="64"/>
      <c r="L950" s="64"/>
    </row>
    <row r="951" spans="1:12" x14ac:dyDescent="0.25">
      <c r="A951" s="71">
        <v>464720</v>
      </c>
      <c r="B951" s="71">
        <v>2007</v>
      </c>
      <c r="C951" s="71" t="s">
        <v>1229</v>
      </c>
      <c r="D951" s="71" t="s">
        <v>476</v>
      </c>
      <c r="E951" s="71" t="s">
        <v>475</v>
      </c>
      <c r="F951" s="66" t="s">
        <v>307</v>
      </c>
      <c r="G951" s="70" t="s">
        <v>467</v>
      </c>
      <c r="H951" s="70" t="s">
        <v>971</v>
      </c>
      <c r="I951" s="363">
        <v>3</v>
      </c>
      <c r="J951" s="64"/>
      <c r="K951" s="64"/>
      <c r="L951" s="64"/>
    </row>
    <row r="952" spans="1:12" x14ac:dyDescent="0.25">
      <c r="A952" s="71">
        <v>464730</v>
      </c>
      <c r="B952" s="71">
        <v>2007</v>
      </c>
      <c r="C952" s="71" t="s">
        <v>1228</v>
      </c>
      <c r="D952" s="71" t="s">
        <v>476</v>
      </c>
      <c r="E952" s="71" t="s">
        <v>475</v>
      </c>
      <c r="F952" s="66" t="s">
        <v>307</v>
      </c>
      <c r="G952" s="70" t="s">
        <v>467</v>
      </c>
      <c r="H952" s="70" t="s">
        <v>971</v>
      </c>
      <c r="I952" s="363">
        <v>3</v>
      </c>
      <c r="J952" s="64"/>
      <c r="K952" s="64"/>
      <c r="L952" s="64"/>
    </row>
    <row r="953" spans="1:12" x14ac:dyDescent="0.25">
      <c r="A953" s="71">
        <v>464800</v>
      </c>
      <c r="B953" s="71">
        <v>2007</v>
      </c>
      <c r="C953" s="71" t="s">
        <v>1227</v>
      </c>
      <c r="D953" s="71" t="s">
        <v>476</v>
      </c>
      <c r="E953" s="71" t="s">
        <v>475</v>
      </c>
      <c r="F953" s="66" t="s">
        <v>307</v>
      </c>
      <c r="G953" s="70" t="s">
        <v>467</v>
      </c>
      <c r="H953" s="70" t="s">
        <v>971</v>
      </c>
      <c r="I953" s="363">
        <v>3</v>
      </c>
      <c r="J953" s="64"/>
      <c r="K953" s="64"/>
      <c r="L953" s="64"/>
    </row>
    <row r="954" spans="1:12" x14ac:dyDescent="0.25">
      <c r="A954" s="71">
        <v>464900</v>
      </c>
      <c r="B954" s="71">
        <v>2007</v>
      </c>
      <c r="C954" s="71" t="s">
        <v>1226</v>
      </c>
      <c r="D954" s="71" t="s">
        <v>476</v>
      </c>
      <c r="E954" s="71" t="s">
        <v>475</v>
      </c>
      <c r="F954" s="66" t="s">
        <v>307</v>
      </c>
      <c r="G954" s="70" t="s">
        <v>467</v>
      </c>
      <c r="H954" s="70" t="s">
        <v>971</v>
      </c>
      <c r="I954" s="363">
        <v>3</v>
      </c>
      <c r="J954" s="64"/>
      <c r="K954" s="64"/>
      <c r="L954" s="64"/>
    </row>
    <row r="955" spans="1:12" x14ac:dyDescent="0.25">
      <c r="A955" s="71">
        <v>464910</v>
      </c>
      <c r="B955" s="71">
        <v>2007</v>
      </c>
      <c r="C955" s="71" t="s">
        <v>1225</v>
      </c>
      <c r="D955" s="71" t="s">
        <v>476</v>
      </c>
      <c r="E955" s="71" t="s">
        <v>475</v>
      </c>
      <c r="F955" s="66" t="s">
        <v>307</v>
      </c>
      <c r="G955" s="70" t="s">
        <v>467</v>
      </c>
      <c r="H955" s="70" t="s">
        <v>971</v>
      </c>
      <c r="I955" s="363">
        <v>3</v>
      </c>
      <c r="J955" s="64"/>
      <c r="K955" s="64"/>
      <c r="L955" s="64"/>
    </row>
    <row r="956" spans="1:12" x14ac:dyDescent="0.25">
      <c r="A956" s="71">
        <v>464920</v>
      </c>
      <c r="B956" s="71">
        <v>2007</v>
      </c>
      <c r="C956" s="71" t="s">
        <v>1224</v>
      </c>
      <c r="D956" s="71" t="s">
        <v>476</v>
      </c>
      <c r="E956" s="71" t="s">
        <v>475</v>
      </c>
      <c r="F956" s="66" t="s">
        <v>307</v>
      </c>
      <c r="G956" s="70" t="s">
        <v>467</v>
      </c>
      <c r="H956" s="70" t="s">
        <v>971</v>
      </c>
      <c r="I956" s="363">
        <v>3</v>
      </c>
      <c r="J956" s="64"/>
      <c r="K956" s="64"/>
      <c r="L956" s="64"/>
    </row>
    <row r="957" spans="1:12" x14ac:dyDescent="0.25">
      <c r="A957" s="71">
        <v>464930</v>
      </c>
      <c r="B957" s="71">
        <v>2007</v>
      </c>
      <c r="C957" s="71" t="s">
        <v>1223</v>
      </c>
      <c r="D957" s="71" t="s">
        <v>476</v>
      </c>
      <c r="E957" s="71" t="s">
        <v>475</v>
      </c>
      <c r="F957" s="66" t="s">
        <v>307</v>
      </c>
      <c r="G957" s="70" t="s">
        <v>467</v>
      </c>
      <c r="H957" s="70" t="s">
        <v>971</v>
      </c>
      <c r="I957" s="363">
        <v>3</v>
      </c>
      <c r="J957" s="64"/>
      <c r="K957" s="64"/>
      <c r="L957" s="64"/>
    </row>
    <row r="958" spans="1:12" x14ac:dyDescent="0.25">
      <c r="A958" s="71">
        <v>464940</v>
      </c>
      <c r="B958" s="71">
        <v>2007</v>
      </c>
      <c r="C958" s="71" t="s">
        <v>1222</v>
      </c>
      <c r="D958" s="71" t="s">
        <v>476</v>
      </c>
      <c r="E958" s="71" t="s">
        <v>475</v>
      </c>
      <c r="F958" s="66" t="s">
        <v>307</v>
      </c>
      <c r="G958" s="70" t="s">
        <v>467</v>
      </c>
      <c r="H958" s="70" t="s">
        <v>971</v>
      </c>
      <c r="I958" s="363">
        <v>3</v>
      </c>
      <c r="J958" s="64"/>
      <c r="K958" s="64"/>
      <c r="L958" s="64"/>
    </row>
    <row r="959" spans="1:12" x14ac:dyDescent="0.25">
      <c r="A959" s="71">
        <v>464950</v>
      </c>
      <c r="B959" s="71">
        <v>2007</v>
      </c>
      <c r="C959" s="71" t="s">
        <v>1221</v>
      </c>
      <c r="D959" s="71" t="s">
        <v>476</v>
      </c>
      <c r="E959" s="71" t="s">
        <v>475</v>
      </c>
      <c r="F959" s="66" t="s">
        <v>307</v>
      </c>
      <c r="G959" s="70" t="s">
        <v>467</v>
      </c>
      <c r="H959" s="70" t="s">
        <v>971</v>
      </c>
      <c r="I959" s="363">
        <v>3</v>
      </c>
      <c r="J959" s="64"/>
      <c r="K959" s="64"/>
      <c r="L959" s="64"/>
    </row>
    <row r="960" spans="1:12" x14ac:dyDescent="0.25">
      <c r="A960" s="71">
        <v>464990</v>
      </c>
      <c r="B960" s="71">
        <v>2007</v>
      </c>
      <c r="C960" s="71" t="s">
        <v>1220</v>
      </c>
      <c r="D960" s="71" t="s">
        <v>476</v>
      </c>
      <c r="E960" s="71" t="s">
        <v>475</v>
      </c>
      <c r="F960" s="66" t="s">
        <v>307</v>
      </c>
      <c r="G960" s="70" t="s">
        <v>467</v>
      </c>
      <c r="H960" s="70" t="s">
        <v>971</v>
      </c>
      <c r="I960" s="363">
        <v>3</v>
      </c>
      <c r="J960" s="64"/>
      <c r="K960" s="64"/>
      <c r="L960" s="64"/>
    </row>
    <row r="961" spans="1:12" x14ac:dyDescent="0.25">
      <c r="A961" s="71">
        <v>465000</v>
      </c>
      <c r="B961" s="71">
        <v>2007</v>
      </c>
      <c r="C961" s="71" t="s">
        <v>1219</v>
      </c>
      <c r="D961" s="71" t="s">
        <v>476</v>
      </c>
      <c r="E961" s="71" t="s">
        <v>475</v>
      </c>
      <c r="F961" s="66" t="s">
        <v>307</v>
      </c>
      <c r="G961" s="70" t="s">
        <v>467</v>
      </c>
      <c r="H961" s="70" t="s">
        <v>971</v>
      </c>
      <c r="I961" s="363">
        <v>3</v>
      </c>
      <c r="J961" s="64"/>
      <c r="K961" s="64"/>
      <c r="L961" s="64"/>
    </row>
    <row r="962" spans="1:12" x14ac:dyDescent="0.25">
      <c r="A962" s="71">
        <v>465100</v>
      </c>
      <c r="B962" s="71">
        <v>2007</v>
      </c>
      <c r="C962" s="71" t="s">
        <v>1218</v>
      </c>
      <c r="D962" s="71" t="s">
        <v>476</v>
      </c>
      <c r="E962" s="71" t="s">
        <v>475</v>
      </c>
      <c r="F962" s="66" t="s">
        <v>307</v>
      </c>
      <c r="G962" s="70" t="s">
        <v>467</v>
      </c>
      <c r="H962" s="70" t="s">
        <v>971</v>
      </c>
      <c r="I962" s="363">
        <v>3</v>
      </c>
      <c r="J962" s="64"/>
      <c r="K962" s="64"/>
      <c r="L962" s="64"/>
    </row>
    <row r="963" spans="1:12" x14ac:dyDescent="0.25">
      <c r="A963" s="71">
        <v>465200</v>
      </c>
      <c r="B963" s="71">
        <v>2007</v>
      </c>
      <c r="C963" s="71" t="s">
        <v>1217</v>
      </c>
      <c r="D963" s="71" t="s">
        <v>476</v>
      </c>
      <c r="E963" s="71" t="s">
        <v>475</v>
      </c>
      <c r="F963" s="66" t="s">
        <v>307</v>
      </c>
      <c r="G963" s="70" t="s">
        <v>467</v>
      </c>
      <c r="H963" s="70" t="s">
        <v>971</v>
      </c>
      <c r="I963" s="363">
        <v>3</v>
      </c>
      <c r="J963" s="64"/>
      <c r="K963" s="64"/>
      <c r="L963" s="64"/>
    </row>
    <row r="964" spans="1:12" x14ac:dyDescent="0.25">
      <c r="A964" s="71">
        <v>465201</v>
      </c>
      <c r="B964" s="71">
        <v>2007</v>
      </c>
      <c r="C964" s="71" t="s">
        <v>1216</v>
      </c>
      <c r="D964" s="71" t="s">
        <v>476</v>
      </c>
      <c r="E964" s="71" t="s">
        <v>475</v>
      </c>
      <c r="F964" s="66" t="s">
        <v>307</v>
      </c>
      <c r="G964" s="70" t="s">
        <v>467</v>
      </c>
      <c r="H964" s="70" t="s">
        <v>971</v>
      </c>
      <c r="I964" s="363">
        <v>3</v>
      </c>
      <c r="J964" s="64"/>
      <c r="K964" s="64"/>
      <c r="L964" s="64"/>
    </row>
    <row r="965" spans="1:12" x14ac:dyDescent="0.25">
      <c r="A965" s="71">
        <v>465202</v>
      </c>
      <c r="B965" s="71">
        <v>2007</v>
      </c>
      <c r="C965" s="71" t="s">
        <v>1215</v>
      </c>
      <c r="D965" s="71" t="s">
        <v>476</v>
      </c>
      <c r="E965" s="71" t="s">
        <v>475</v>
      </c>
      <c r="F965" s="66" t="s">
        <v>307</v>
      </c>
      <c r="G965" s="70" t="s">
        <v>467</v>
      </c>
      <c r="H965" s="70" t="s">
        <v>971</v>
      </c>
      <c r="I965" s="363">
        <v>3</v>
      </c>
      <c r="J965" s="64"/>
      <c r="K965" s="64"/>
      <c r="L965" s="64"/>
    </row>
    <row r="966" spans="1:12" x14ac:dyDescent="0.25">
      <c r="A966" s="71">
        <v>465209</v>
      </c>
      <c r="B966" s="71">
        <v>2007</v>
      </c>
      <c r="C966" s="71" t="s">
        <v>1214</v>
      </c>
      <c r="D966" s="71" t="s">
        <v>476</v>
      </c>
      <c r="E966" s="71" t="s">
        <v>475</v>
      </c>
      <c r="F966" s="66" t="s">
        <v>307</v>
      </c>
      <c r="G966" s="70" t="s">
        <v>467</v>
      </c>
      <c r="H966" s="70" t="s">
        <v>971</v>
      </c>
      <c r="I966" s="363">
        <v>3</v>
      </c>
      <c r="J966" s="64"/>
      <c r="K966" s="64"/>
      <c r="L966" s="64"/>
    </row>
    <row r="967" spans="1:12" x14ac:dyDescent="0.25">
      <c r="A967" s="71">
        <v>466000</v>
      </c>
      <c r="B967" s="71">
        <v>2007</v>
      </c>
      <c r="C967" s="71" t="s">
        <v>1213</v>
      </c>
      <c r="D967" s="71" t="s">
        <v>476</v>
      </c>
      <c r="E967" s="71" t="s">
        <v>475</v>
      </c>
      <c r="F967" s="66" t="s">
        <v>307</v>
      </c>
      <c r="G967" s="70" t="s">
        <v>467</v>
      </c>
      <c r="H967" s="70" t="s">
        <v>971</v>
      </c>
      <c r="I967" s="363">
        <v>3</v>
      </c>
      <c r="J967" s="64"/>
      <c r="K967" s="64"/>
      <c r="L967" s="64"/>
    </row>
    <row r="968" spans="1:12" x14ac:dyDescent="0.25">
      <c r="A968" s="71">
        <v>466100</v>
      </c>
      <c r="B968" s="71">
        <v>2007</v>
      </c>
      <c r="C968" s="71" t="s">
        <v>1212</v>
      </c>
      <c r="D968" s="71" t="s">
        <v>476</v>
      </c>
      <c r="E968" s="71" t="s">
        <v>475</v>
      </c>
      <c r="F968" s="66" t="s">
        <v>307</v>
      </c>
      <c r="G968" s="70" t="s">
        <v>467</v>
      </c>
      <c r="H968" s="70" t="s">
        <v>971</v>
      </c>
      <c r="I968" s="363">
        <v>3</v>
      </c>
      <c r="J968" s="64"/>
      <c r="K968" s="64"/>
      <c r="L968" s="64"/>
    </row>
    <row r="969" spans="1:12" x14ac:dyDescent="0.25">
      <c r="A969" s="71">
        <v>466200</v>
      </c>
      <c r="B969" s="71">
        <v>2007</v>
      </c>
      <c r="C969" s="71" t="s">
        <v>1211</v>
      </c>
      <c r="D969" s="71" t="s">
        <v>476</v>
      </c>
      <c r="E969" s="71" t="s">
        <v>475</v>
      </c>
      <c r="F969" s="66" t="s">
        <v>307</v>
      </c>
      <c r="G969" s="70" t="s">
        <v>467</v>
      </c>
      <c r="H969" s="70" t="s">
        <v>971</v>
      </c>
      <c r="I969" s="363">
        <v>3</v>
      </c>
      <c r="J969" s="64"/>
      <c r="K969" s="64"/>
      <c r="L969" s="64"/>
    </row>
    <row r="970" spans="1:12" x14ac:dyDescent="0.25">
      <c r="A970" s="71">
        <v>466300</v>
      </c>
      <c r="B970" s="71">
        <v>2007</v>
      </c>
      <c r="C970" s="71" t="s">
        <v>1210</v>
      </c>
      <c r="D970" s="71" t="s">
        <v>476</v>
      </c>
      <c r="E970" s="71" t="s">
        <v>475</v>
      </c>
      <c r="F970" s="66" t="s">
        <v>307</v>
      </c>
      <c r="G970" s="70" t="s">
        <v>467</v>
      </c>
      <c r="H970" s="70" t="s">
        <v>971</v>
      </c>
      <c r="I970" s="363">
        <v>3</v>
      </c>
      <c r="J970" s="64"/>
      <c r="K970" s="64"/>
      <c r="L970" s="64"/>
    </row>
    <row r="971" spans="1:12" x14ac:dyDescent="0.25">
      <c r="A971" s="71">
        <v>466400</v>
      </c>
      <c r="B971" s="71">
        <v>2007</v>
      </c>
      <c r="C971" s="71" t="s">
        <v>1209</v>
      </c>
      <c r="D971" s="71" t="s">
        <v>476</v>
      </c>
      <c r="E971" s="71" t="s">
        <v>475</v>
      </c>
      <c r="F971" s="66" t="s">
        <v>307</v>
      </c>
      <c r="G971" s="70" t="s">
        <v>467</v>
      </c>
      <c r="H971" s="70" t="s">
        <v>971</v>
      </c>
      <c r="I971" s="363">
        <v>3</v>
      </c>
      <c r="J971" s="64"/>
      <c r="K971" s="64"/>
      <c r="L971" s="64"/>
    </row>
    <row r="972" spans="1:12" x14ac:dyDescent="0.25">
      <c r="A972" s="71">
        <v>466500</v>
      </c>
      <c r="B972" s="71">
        <v>2007</v>
      </c>
      <c r="C972" s="71" t="s">
        <v>1208</v>
      </c>
      <c r="D972" s="71" t="s">
        <v>476</v>
      </c>
      <c r="E972" s="71" t="s">
        <v>475</v>
      </c>
      <c r="F972" s="66" t="s">
        <v>307</v>
      </c>
      <c r="G972" s="70" t="s">
        <v>467</v>
      </c>
      <c r="H972" s="70" t="s">
        <v>971</v>
      </c>
      <c r="I972" s="363">
        <v>3</v>
      </c>
      <c r="J972" s="64"/>
      <c r="K972" s="64"/>
      <c r="L972" s="64"/>
    </row>
    <row r="973" spans="1:12" x14ac:dyDescent="0.25">
      <c r="A973" s="71">
        <v>466600</v>
      </c>
      <c r="B973" s="71">
        <v>2007</v>
      </c>
      <c r="C973" s="71" t="s">
        <v>1207</v>
      </c>
      <c r="D973" s="71" t="s">
        <v>476</v>
      </c>
      <c r="E973" s="71" t="s">
        <v>475</v>
      </c>
      <c r="F973" s="66" t="s">
        <v>307</v>
      </c>
      <c r="G973" s="70" t="s">
        <v>467</v>
      </c>
      <c r="H973" s="70" t="s">
        <v>971</v>
      </c>
      <c r="I973" s="363">
        <v>3</v>
      </c>
      <c r="J973" s="64"/>
      <c r="K973" s="64"/>
      <c r="L973" s="64"/>
    </row>
    <row r="974" spans="1:12" x14ac:dyDescent="0.25">
      <c r="A974" s="71">
        <v>466900</v>
      </c>
      <c r="B974" s="71">
        <v>2007</v>
      </c>
      <c r="C974" s="71" t="s">
        <v>1206</v>
      </c>
      <c r="D974" s="71" t="s">
        <v>476</v>
      </c>
      <c r="E974" s="71" t="s">
        <v>475</v>
      </c>
      <c r="F974" s="66" t="s">
        <v>307</v>
      </c>
      <c r="G974" s="70" t="s">
        <v>467</v>
      </c>
      <c r="H974" s="70" t="s">
        <v>971</v>
      </c>
      <c r="I974" s="363">
        <v>3</v>
      </c>
      <c r="J974" s="64"/>
      <c r="K974" s="64"/>
      <c r="L974" s="64"/>
    </row>
    <row r="975" spans="1:12" x14ac:dyDescent="0.25">
      <c r="A975" s="71">
        <v>466910</v>
      </c>
      <c r="B975" s="71">
        <v>2007</v>
      </c>
      <c r="C975" s="71" t="s">
        <v>1205</v>
      </c>
      <c r="D975" s="71" t="s">
        <v>476</v>
      </c>
      <c r="E975" s="71" t="s">
        <v>475</v>
      </c>
      <c r="F975" s="66" t="s">
        <v>307</v>
      </c>
      <c r="G975" s="70" t="s">
        <v>467</v>
      </c>
      <c r="H975" s="70" t="s">
        <v>971</v>
      </c>
      <c r="I975" s="363">
        <v>3</v>
      </c>
      <c r="J975" s="64"/>
      <c r="K975" s="64"/>
      <c r="L975" s="64"/>
    </row>
    <row r="976" spans="1:12" x14ac:dyDescent="0.25">
      <c r="A976" s="71">
        <v>466911</v>
      </c>
      <c r="B976" s="71">
        <v>2007</v>
      </c>
      <c r="C976" s="71" t="s">
        <v>1204</v>
      </c>
      <c r="D976" s="71" t="s">
        <v>476</v>
      </c>
      <c r="E976" s="71" t="s">
        <v>475</v>
      </c>
      <c r="F976" s="66" t="s">
        <v>307</v>
      </c>
      <c r="G976" s="70" t="s">
        <v>467</v>
      </c>
      <c r="H976" s="70" t="s">
        <v>971</v>
      </c>
      <c r="I976" s="363">
        <v>3</v>
      </c>
      <c r="J976" s="64"/>
      <c r="K976" s="64"/>
      <c r="L976" s="64"/>
    </row>
    <row r="977" spans="1:12" x14ac:dyDescent="0.25">
      <c r="A977" s="71">
        <v>466919</v>
      </c>
      <c r="B977" s="71">
        <v>2007</v>
      </c>
      <c r="C977" s="71" t="s">
        <v>1203</v>
      </c>
      <c r="D977" s="71" t="s">
        <v>476</v>
      </c>
      <c r="E977" s="71" t="s">
        <v>475</v>
      </c>
      <c r="F977" s="66" t="s">
        <v>307</v>
      </c>
      <c r="G977" s="70" t="s">
        <v>467</v>
      </c>
      <c r="H977" s="70" t="s">
        <v>971</v>
      </c>
      <c r="I977" s="363">
        <v>3</v>
      </c>
      <c r="J977" s="64"/>
      <c r="K977" s="64"/>
      <c r="L977" s="64"/>
    </row>
    <row r="978" spans="1:12" x14ac:dyDescent="0.25">
      <c r="A978" s="71">
        <v>466920</v>
      </c>
      <c r="B978" s="71">
        <v>2007</v>
      </c>
      <c r="C978" s="71" t="s">
        <v>1202</v>
      </c>
      <c r="D978" s="71" t="s">
        <v>476</v>
      </c>
      <c r="E978" s="71" t="s">
        <v>475</v>
      </c>
      <c r="F978" s="66" t="s">
        <v>307</v>
      </c>
      <c r="G978" s="70" t="s">
        <v>467</v>
      </c>
      <c r="H978" s="70" t="s">
        <v>971</v>
      </c>
      <c r="I978" s="363">
        <v>3</v>
      </c>
      <c r="J978" s="64"/>
      <c r="K978" s="64"/>
      <c r="L978" s="64"/>
    </row>
    <row r="979" spans="1:12" x14ac:dyDescent="0.25">
      <c r="A979" s="71">
        <v>466930</v>
      </c>
      <c r="B979" s="71">
        <v>2007</v>
      </c>
      <c r="C979" s="71" t="s">
        <v>1201</v>
      </c>
      <c r="D979" s="71" t="s">
        <v>476</v>
      </c>
      <c r="E979" s="71" t="s">
        <v>475</v>
      </c>
      <c r="F979" s="66" t="s">
        <v>307</v>
      </c>
      <c r="G979" s="70" t="s">
        <v>467</v>
      </c>
      <c r="H979" s="70" t="s">
        <v>971</v>
      </c>
      <c r="I979" s="363">
        <v>3</v>
      </c>
      <c r="J979" s="64"/>
      <c r="K979" s="64"/>
      <c r="L979" s="64"/>
    </row>
    <row r="980" spans="1:12" x14ac:dyDescent="0.25">
      <c r="A980" s="71">
        <v>466990</v>
      </c>
      <c r="B980" s="71">
        <v>2007</v>
      </c>
      <c r="C980" s="71" t="s">
        <v>1200</v>
      </c>
      <c r="D980" s="71" t="s">
        <v>476</v>
      </c>
      <c r="E980" s="71" t="s">
        <v>475</v>
      </c>
      <c r="F980" s="66" t="s">
        <v>307</v>
      </c>
      <c r="G980" s="70" t="s">
        <v>467</v>
      </c>
      <c r="H980" s="70" t="s">
        <v>971</v>
      </c>
      <c r="I980" s="363">
        <v>3</v>
      </c>
      <c r="J980" s="64"/>
      <c r="K980" s="64"/>
      <c r="L980" s="64"/>
    </row>
    <row r="981" spans="1:12" x14ac:dyDescent="0.25">
      <c r="A981" s="71">
        <v>466991</v>
      </c>
      <c r="B981" s="71">
        <v>2007</v>
      </c>
      <c r="C981" s="71" t="s">
        <v>1199</v>
      </c>
      <c r="D981" s="71" t="s">
        <v>476</v>
      </c>
      <c r="E981" s="71" t="s">
        <v>475</v>
      </c>
      <c r="F981" s="66" t="s">
        <v>307</v>
      </c>
      <c r="G981" s="70" t="s">
        <v>467</v>
      </c>
      <c r="H981" s="70" t="s">
        <v>971</v>
      </c>
      <c r="I981" s="363">
        <v>3</v>
      </c>
      <c r="J981" s="64"/>
      <c r="K981" s="64"/>
      <c r="L981" s="64"/>
    </row>
    <row r="982" spans="1:12" x14ac:dyDescent="0.25">
      <c r="A982" s="71">
        <v>466992</v>
      </c>
      <c r="B982" s="71">
        <v>2007</v>
      </c>
      <c r="C982" s="71" t="s">
        <v>1198</v>
      </c>
      <c r="D982" s="71" t="s">
        <v>476</v>
      </c>
      <c r="E982" s="71" t="s">
        <v>475</v>
      </c>
      <c r="F982" s="66" t="s">
        <v>307</v>
      </c>
      <c r="G982" s="70" t="s">
        <v>467</v>
      </c>
      <c r="H982" s="70" t="s">
        <v>971</v>
      </c>
      <c r="I982" s="363">
        <v>3</v>
      </c>
      <c r="J982" s="64"/>
      <c r="K982" s="64"/>
      <c r="L982" s="64"/>
    </row>
    <row r="983" spans="1:12" x14ac:dyDescent="0.25">
      <c r="A983" s="71">
        <v>466993</v>
      </c>
      <c r="B983" s="71">
        <v>2007</v>
      </c>
      <c r="C983" s="71" t="s">
        <v>1197</v>
      </c>
      <c r="D983" s="71" t="s">
        <v>476</v>
      </c>
      <c r="E983" s="71" t="s">
        <v>475</v>
      </c>
      <c r="F983" s="66" t="s">
        <v>307</v>
      </c>
      <c r="G983" s="70" t="s">
        <v>467</v>
      </c>
      <c r="H983" s="70" t="s">
        <v>971</v>
      </c>
      <c r="I983" s="363">
        <v>3</v>
      </c>
      <c r="J983" s="64"/>
      <c r="K983" s="64"/>
      <c r="L983" s="64"/>
    </row>
    <row r="984" spans="1:12" x14ac:dyDescent="0.25">
      <c r="A984" s="71">
        <v>466994</v>
      </c>
      <c r="B984" s="71">
        <v>2007</v>
      </c>
      <c r="C984" s="71" t="s">
        <v>1196</v>
      </c>
      <c r="D984" s="71" t="s">
        <v>476</v>
      </c>
      <c r="E984" s="71" t="s">
        <v>475</v>
      </c>
      <c r="F984" s="66" t="s">
        <v>307</v>
      </c>
      <c r="G984" s="70" t="s">
        <v>467</v>
      </c>
      <c r="H984" s="70" t="s">
        <v>971</v>
      </c>
      <c r="I984" s="363">
        <v>3</v>
      </c>
      <c r="J984" s="64"/>
      <c r="K984" s="64"/>
      <c r="L984" s="64"/>
    </row>
    <row r="985" spans="1:12" x14ac:dyDescent="0.25">
      <c r="A985" s="71">
        <v>466999</v>
      </c>
      <c r="B985" s="71">
        <v>2007</v>
      </c>
      <c r="C985" s="71" t="s">
        <v>1195</v>
      </c>
      <c r="D985" s="71" t="s">
        <v>476</v>
      </c>
      <c r="E985" s="71" t="s">
        <v>475</v>
      </c>
      <c r="F985" s="66" t="s">
        <v>307</v>
      </c>
      <c r="G985" s="70" t="s">
        <v>467</v>
      </c>
      <c r="H985" s="70" t="s">
        <v>971</v>
      </c>
      <c r="I985" s="363">
        <v>3</v>
      </c>
      <c r="J985" s="64"/>
      <c r="K985" s="64"/>
      <c r="L985" s="64"/>
    </row>
    <row r="986" spans="1:12" x14ac:dyDescent="0.25">
      <c r="A986" s="71">
        <v>467000</v>
      </c>
      <c r="B986" s="71">
        <v>2007</v>
      </c>
      <c r="C986" s="71" t="s">
        <v>1194</v>
      </c>
      <c r="D986" s="71" t="s">
        <v>476</v>
      </c>
      <c r="E986" s="71" t="s">
        <v>475</v>
      </c>
      <c r="F986" s="66" t="s">
        <v>307</v>
      </c>
      <c r="G986" s="70" t="s">
        <v>467</v>
      </c>
      <c r="H986" s="70" t="s">
        <v>971</v>
      </c>
      <c r="I986" s="363">
        <v>3</v>
      </c>
      <c r="J986" s="64"/>
      <c r="K986" s="64"/>
      <c r="L986" s="64"/>
    </row>
    <row r="987" spans="1:12" x14ac:dyDescent="0.25">
      <c r="A987" s="71">
        <v>467100</v>
      </c>
      <c r="B987" s="71">
        <v>2007</v>
      </c>
      <c r="C987" s="71" t="s">
        <v>1193</v>
      </c>
      <c r="D987" s="71" t="s">
        <v>476</v>
      </c>
      <c r="E987" s="71" t="s">
        <v>475</v>
      </c>
      <c r="F987" s="66" t="s">
        <v>307</v>
      </c>
      <c r="G987" s="70" t="s">
        <v>467</v>
      </c>
      <c r="H987" s="70" t="s">
        <v>971</v>
      </c>
      <c r="I987" s="363">
        <v>3</v>
      </c>
      <c r="J987" s="64"/>
      <c r="K987" s="64"/>
      <c r="L987" s="64"/>
    </row>
    <row r="988" spans="1:12" x14ac:dyDescent="0.25">
      <c r="A988" s="71">
        <v>467200</v>
      </c>
      <c r="B988" s="71">
        <v>2007</v>
      </c>
      <c r="C988" s="71" t="s">
        <v>1192</v>
      </c>
      <c r="D988" s="71" t="s">
        <v>476</v>
      </c>
      <c r="E988" s="71" t="s">
        <v>475</v>
      </c>
      <c r="F988" s="66" t="s">
        <v>307</v>
      </c>
      <c r="G988" s="70" t="s">
        <v>467</v>
      </c>
      <c r="H988" s="70" t="s">
        <v>971</v>
      </c>
      <c r="I988" s="363">
        <v>3</v>
      </c>
      <c r="J988" s="64"/>
      <c r="K988" s="64"/>
      <c r="L988" s="64"/>
    </row>
    <row r="989" spans="1:12" x14ac:dyDescent="0.25">
      <c r="A989" s="71">
        <v>467210</v>
      </c>
      <c r="B989" s="71">
        <v>2007</v>
      </c>
      <c r="C989" s="71" t="s">
        <v>1191</v>
      </c>
      <c r="D989" s="71" t="s">
        <v>476</v>
      </c>
      <c r="E989" s="71" t="s">
        <v>475</v>
      </c>
      <c r="F989" s="66" t="s">
        <v>307</v>
      </c>
      <c r="G989" s="70" t="s">
        <v>467</v>
      </c>
      <c r="H989" s="70" t="s">
        <v>971</v>
      </c>
      <c r="I989" s="363">
        <v>3</v>
      </c>
      <c r="J989" s="64"/>
      <c r="K989" s="64"/>
      <c r="L989" s="64"/>
    </row>
    <row r="990" spans="1:12" x14ac:dyDescent="0.25">
      <c r="A990" s="71">
        <v>467220</v>
      </c>
      <c r="B990" s="71">
        <v>2007</v>
      </c>
      <c r="C990" s="71" t="s">
        <v>1190</v>
      </c>
      <c r="D990" s="71" t="s">
        <v>476</v>
      </c>
      <c r="E990" s="71" t="s">
        <v>475</v>
      </c>
      <c r="F990" s="66" t="s">
        <v>307</v>
      </c>
      <c r="G990" s="70" t="s">
        <v>467</v>
      </c>
      <c r="H990" s="70" t="s">
        <v>971</v>
      </c>
      <c r="I990" s="363">
        <v>3</v>
      </c>
      <c r="J990" s="64"/>
      <c r="K990" s="64"/>
      <c r="L990" s="64"/>
    </row>
    <row r="991" spans="1:12" x14ac:dyDescent="0.25">
      <c r="A991" s="71">
        <v>467300</v>
      </c>
      <c r="B991" s="71">
        <v>2007</v>
      </c>
      <c r="C991" s="71" t="s">
        <v>1189</v>
      </c>
      <c r="D991" s="71" t="s">
        <v>476</v>
      </c>
      <c r="E991" s="71" t="s">
        <v>475</v>
      </c>
      <c r="F991" s="66" t="s">
        <v>307</v>
      </c>
      <c r="G991" s="70" t="s">
        <v>467</v>
      </c>
      <c r="H991" s="70" t="s">
        <v>971</v>
      </c>
      <c r="I991" s="363">
        <v>3</v>
      </c>
      <c r="J991" s="64"/>
      <c r="K991" s="64"/>
      <c r="L991" s="64"/>
    </row>
    <row r="992" spans="1:12" x14ac:dyDescent="0.25">
      <c r="A992" s="71">
        <v>467310</v>
      </c>
      <c r="B992" s="71">
        <v>2007</v>
      </c>
      <c r="C992" s="71" t="s">
        <v>1188</v>
      </c>
      <c r="D992" s="71" t="s">
        <v>476</v>
      </c>
      <c r="E992" s="71" t="s">
        <v>475</v>
      </c>
      <c r="F992" s="66" t="s">
        <v>307</v>
      </c>
      <c r="G992" s="70" t="s">
        <v>467</v>
      </c>
      <c r="H992" s="70" t="s">
        <v>971</v>
      </c>
      <c r="I992" s="363">
        <v>3</v>
      </c>
      <c r="J992" s="64"/>
      <c r="K992" s="64"/>
      <c r="L992" s="64"/>
    </row>
    <row r="993" spans="1:12" x14ac:dyDescent="0.25">
      <c r="A993" s="71">
        <v>467320</v>
      </c>
      <c r="B993" s="71">
        <v>2007</v>
      </c>
      <c r="C993" s="71" t="s">
        <v>1187</v>
      </c>
      <c r="D993" s="71" t="s">
        <v>476</v>
      </c>
      <c r="E993" s="71" t="s">
        <v>475</v>
      </c>
      <c r="F993" s="66" t="s">
        <v>307</v>
      </c>
      <c r="G993" s="70" t="s">
        <v>467</v>
      </c>
      <c r="H993" s="70" t="s">
        <v>971</v>
      </c>
      <c r="I993" s="363">
        <v>3</v>
      </c>
      <c r="J993" s="64"/>
      <c r="K993" s="64"/>
      <c r="L993" s="64"/>
    </row>
    <row r="994" spans="1:12" x14ac:dyDescent="0.25">
      <c r="A994" s="71">
        <v>467321</v>
      </c>
      <c r="B994" s="71">
        <v>2007</v>
      </c>
      <c r="C994" s="71" t="s">
        <v>1186</v>
      </c>
      <c r="D994" s="71" t="s">
        <v>476</v>
      </c>
      <c r="E994" s="71" t="s">
        <v>475</v>
      </c>
      <c r="F994" s="66" t="s">
        <v>307</v>
      </c>
      <c r="G994" s="70" t="s">
        <v>467</v>
      </c>
      <c r="H994" s="70" t="s">
        <v>971</v>
      </c>
      <c r="I994" s="363">
        <v>3</v>
      </c>
      <c r="J994" s="64"/>
      <c r="K994" s="64"/>
      <c r="L994" s="64"/>
    </row>
    <row r="995" spans="1:12" x14ac:dyDescent="0.25">
      <c r="A995" s="71">
        <v>467322</v>
      </c>
      <c r="B995" s="71">
        <v>2007</v>
      </c>
      <c r="C995" s="71" t="s">
        <v>1185</v>
      </c>
      <c r="D995" s="71" t="s">
        <v>476</v>
      </c>
      <c r="E995" s="71" t="s">
        <v>475</v>
      </c>
      <c r="F995" s="66" t="s">
        <v>307</v>
      </c>
      <c r="G995" s="70" t="s">
        <v>467</v>
      </c>
      <c r="H995" s="70" t="s">
        <v>971</v>
      </c>
      <c r="I995" s="363">
        <v>3</v>
      </c>
      <c r="J995" s="64"/>
      <c r="K995" s="64"/>
      <c r="L995" s="64"/>
    </row>
    <row r="996" spans="1:12" x14ac:dyDescent="0.25">
      <c r="A996" s="71">
        <v>467323</v>
      </c>
      <c r="B996" s="71">
        <v>2007</v>
      </c>
      <c r="C996" s="71" t="s">
        <v>1184</v>
      </c>
      <c r="D996" s="71" t="s">
        <v>476</v>
      </c>
      <c r="E996" s="71" t="s">
        <v>475</v>
      </c>
      <c r="F996" s="66" t="s">
        <v>307</v>
      </c>
      <c r="G996" s="70" t="s">
        <v>467</v>
      </c>
      <c r="H996" s="70" t="s">
        <v>971</v>
      </c>
      <c r="I996" s="363">
        <v>3</v>
      </c>
      <c r="J996" s="64"/>
      <c r="K996" s="64"/>
      <c r="L996" s="64"/>
    </row>
    <row r="997" spans="1:12" x14ac:dyDescent="0.25">
      <c r="A997" s="71">
        <v>467329</v>
      </c>
      <c r="B997" s="71">
        <v>2007</v>
      </c>
      <c r="C997" s="71" t="s">
        <v>1183</v>
      </c>
      <c r="D997" s="71" t="s">
        <v>476</v>
      </c>
      <c r="E997" s="71" t="s">
        <v>475</v>
      </c>
      <c r="F997" s="66" t="s">
        <v>307</v>
      </c>
      <c r="G997" s="70" t="s">
        <v>467</v>
      </c>
      <c r="H997" s="70" t="s">
        <v>971</v>
      </c>
      <c r="I997" s="363">
        <v>3</v>
      </c>
      <c r="J997" s="64"/>
      <c r="K997" s="64"/>
      <c r="L997" s="64"/>
    </row>
    <row r="998" spans="1:12" x14ac:dyDescent="0.25">
      <c r="A998" s="71">
        <v>467330</v>
      </c>
      <c r="B998" s="71">
        <v>2007</v>
      </c>
      <c r="C998" s="71" t="s">
        <v>1182</v>
      </c>
      <c r="D998" s="71" t="s">
        <v>476</v>
      </c>
      <c r="E998" s="71" t="s">
        <v>475</v>
      </c>
      <c r="F998" s="66" t="s">
        <v>307</v>
      </c>
      <c r="G998" s="70" t="s">
        <v>467</v>
      </c>
      <c r="H998" s="70" t="s">
        <v>971</v>
      </c>
      <c r="I998" s="363">
        <v>3</v>
      </c>
      <c r="J998" s="64"/>
      <c r="K998" s="64"/>
      <c r="L998" s="64"/>
    </row>
    <row r="999" spans="1:12" x14ac:dyDescent="0.25">
      <c r="A999" s="71">
        <v>467340</v>
      </c>
      <c r="B999" s="71">
        <v>2007</v>
      </c>
      <c r="C999" s="71" t="s">
        <v>1181</v>
      </c>
      <c r="D999" s="71" t="s">
        <v>476</v>
      </c>
      <c r="E999" s="71" t="s">
        <v>475</v>
      </c>
      <c r="F999" s="66" t="s">
        <v>307</v>
      </c>
      <c r="G999" s="70" t="s">
        <v>467</v>
      </c>
      <c r="H999" s="70" t="s">
        <v>971</v>
      </c>
      <c r="I999" s="363">
        <v>3</v>
      </c>
      <c r="J999" s="64"/>
      <c r="K999" s="64"/>
      <c r="L999" s="64"/>
    </row>
    <row r="1000" spans="1:12" x14ac:dyDescent="0.25">
      <c r="A1000" s="71">
        <v>467400</v>
      </c>
      <c r="B1000" s="71">
        <v>2007</v>
      </c>
      <c r="C1000" s="71" t="s">
        <v>1180</v>
      </c>
      <c r="D1000" s="71" t="s">
        <v>476</v>
      </c>
      <c r="E1000" s="71" t="s">
        <v>475</v>
      </c>
      <c r="F1000" s="66" t="s">
        <v>307</v>
      </c>
      <c r="G1000" s="70" t="s">
        <v>467</v>
      </c>
      <c r="H1000" s="70" t="s">
        <v>971</v>
      </c>
      <c r="I1000" s="363">
        <v>3</v>
      </c>
      <c r="J1000" s="64"/>
      <c r="K1000" s="64"/>
      <c r="L1000" s="64"/>
    </row>
    <row r="1001" spans="1:12" x14ac:dyDescent="0.25">
      <c r="A1001" s="71">
        <v>467410</v>
      </c>
      <c r="B1001" s="71">
        <v>2007</v>
      </c>
      <c r="C1001" s="71" t="s">
        <v>1179</v>
      </c>
      <c r="D1001" s="71" t="s">
        <v>476</v>
      </c>
      <c r="E1001" s="71" t="s">
        <v>475</v>
      </c>
      <c r="F1001" s="66" t="s">
        <v>307</v>
      </c>
      <c r="G1001" s="70" t="s">
        <v>467</v>
      </c>
      <c r="H1001" s="70" t="s">
        <v>971</v>
      </c>
      <c r="I1001" s="363">
        <v>3</v>
      </c>
      <c r="J1001" s="64"/>
      <c r="K1001" s="64"/>
      <c r="L1001" s="64"/>
    </row>
    <row r="1002" spans="1:12" x14ac:dyDescent="0.25">
      <c r="A1002" s="71">
        <v>467420</v>
      </c>
      <c r="B1002" s="71">
        <v>2007</v>
      </c>
      <c r="C1002" s="71" t="s">
        <v>1178</v>
      </c>
      <c r="D1002" s="71" t="s">
        <v>476</v>
      </c>
      <c r="E1002" s="71" t="s">
        <v>475</v>
      </c>
      <c r="F1002" s="66" t="s">
        <v>307</v>
      </c>
      <c r="G1002" s="70" t="s">
        <v>467</v>
      </c>
      <c r="H1002" s="70" t="s">
        <v>971</v>
      </c>
      <c r="I1002" s="363">
        <v>3</v>
      </c>
      <c r="J1002" s="64"/>
      <c r="K1002" s="64"/>
      <c r="L1002" s="64"/>
    </row>
    <row r="1003" spans="1:12" x14ac:dyDescent="0.25">
      <c r="A1003" s="71">
        <v>467500</v>
      </c>
      <c r="B1003" s="71">
        <v>2007</v>
      </c>
      <c r="C1003" s="71" t="s">
        <v>1177</v>
      </c>
      <c r="D1003" s="71" t="s">
        <v>476</v>
      </c>
      <c r="E1003" s="71" t="s">
        <v>475</v>
      </c>
      <c r="F1003" s="66" t="s">
        <v>307</v>
      </c>
      <c r="G1003" s="70" t="s">
        <v>467</v>
      </c>
      <c r="H1003" s="70" t="s">
        <v>971</v>
      </c>
      <c r="I1003" s="363">
        <v>3</v>
      </c>
      <c r="J1003" s="64"/>
      <c r="K1003" s="64"/>
      <c r="L1003" s="64"/>
    </row>
    <row r="1004" spans="1:12" x14ac:dyDescent="0.25">
      <c r="A1004" s="71">
        <v>467501</v>
      </c>
      <c r="B1004" s="71">
        <v>2007</v>
      </c>
      <c r="C1004" s="71" t="s">
        <v>1176</v>
      </c>
      <c r="D1004" s="71" t="s">
        <v>476</v>
      </c>
      <c r="E1004" s="71" t="s">
        <v>475</v>
      </c>
      <c r="F1004" s="66" t="s">
        <v>307</v>
      </c>
      <c r="G1004" s="70" t="s">
        <v>467</v>
      </c>
      <c r="H1004" s="70" t="s">
        <v>971</v>
      </c>
      <c r="I1004" s="363">
        <v>3</v>
      </c>
      <c r="J1004" s="64"/>
      <c r="K1004" s="64"/>
      <c r="L1004" s="64"/>
    </row>
    <row r="1005" spans="1:12" x14ac:dyDescent="0.25">
      <c r="A1005" s="71">
        <v>467502</v>
      </c>
      <c r="B1005" s="71">
        <v>2007</v>
      </c>
      <c r="C1005" s="71" t="s">
        <v>1175</v>
      </c>
      <c r="D1005" s="71" t="s">
        <v>476</v>
      </c>
      <c r="E1005" s="71" t="s">
        <v>475</v>
      </c>
      <c r="F1005" s="66" t="s">
        <v>307</v>
      </c>
      <c r="G1005" s="70" t="s">
        <v>467</v>
      </c>
      <c r="H1005" s="70" t="s">
        <v>971</v>
      </c>
      <c r="I1005" s="363">
        <v>3</v>
      </c>
      <c r="J1005" s="64"/>
      <c r="K1005" s="64"/>
      <c r="L1005" s="64"/>
    </row>
    <row r="1006" spans="1:12" x14ac:dyDescent="0.25">
      <c r="A1006" s="71">
        <v>467600</v>
      </c>
      <c r="B1006" s="71">
        <v>2007</v>
      </c>
      <c r="C1006" s="71" t="s">
        <v>1171</v>
      </c>
      <c r="D1006" s="71" t="s">
        <v>476</v>
      </c>
      <c r="E1006" s="71" t="s">
        <v>475</v>
      </c>
      <c r="F1006" s="66" t="s">
        <v>307</v>
      </c>
      <c r="G1006" s="70" t="s">
        <v>467</v>
      </c>
      <c r="H1006" s="70" t="s">
        <v>971</v>
      </c>
      <c r="I1006" s="363">
        <v>3</v>
      </c>
      <c r="J1006" s="64"/>
      <c r="K1006" s="64"/>
      <c r="L1006" s="64"/>
    </row>
    <row r="1007" spans="1:12" x14ac:dyDescent="0.25">
      <c r="A1007" s="71">
        <v>467610</v>
      </c>
      <c r="B1007" s="71">
        <v>2007</v>
      </c>
      <c r="C1007" s="71" t="s">
        <v>1174</v>
      </c>
      <c r="D1007" s="71" t="s">
        <v>476</v>
      </c>
      <c r="E1007" s="71" t="s">
        <v>475</v>
      </c>
      <c r="F1007" s="66" t="s">
        <v>307</v>
      </c>
      <c r="G1007" s="70" t="s">
        <v>467</v>
      </c>
      <c r="H1007" s="70" t="s">
        <v>971</v>
      </c>
      <c r="I1007" s="363">
        <v>3</v>
      </c>
      <c r="J1007" s="64"/>
      <c r="K1007" s="64"/>
      <c r="L1007" s="64"/>
    </row>
    <row r="1008" spans="1:12" x14ac:dyDescent="0.25">
      <c r="A1008" s="71">
        <v>467620</v>
      </c>
      <c r="B1008" s="71">
        <v>2007</v>
      </c>
      <c r="C1008" s="71" t="s">
        <v>1173</v>
      </c>
      <c r="D1008" s="71" t="s">
        <v>476</v>
      </c>
      <c r="E1008" s="71" t="s">
        <v>475</v>
      </c>
      <c r="F1008" s="66" t="s">
        <v>307</v>
      </c>
      <c r="G1008" s="70" t="s">
        <v>467</v>
      </c>
      <c r="H1008" s="70" t="s">
        <v>971</v>
      </c>
      <c r="I1008" s="363">
        <v>3</v>
      </c>
      <c r="J1008" s="64"/>
      <c r="K1008" s="64"/>
      <c r="L1008" s="64"/>
    </row>
    <row r="1009" spans="1:12" x14ac:dyDescent="0.25">
      <c r="A1009" s="71">
        <v>467630</v>
      </c>
      <c r="B1009" s="71">
        <v>2007</v>
      </c>
      <c r="C1009" s="71" t="s">
        <v>1172</v>
      </c>
      <c r="D1009" s="71" t="s">
        <v>476</v>
      </c>
      <c r="E1009" s="71" t="s">
        <v>475</v>
      </c>
      <c r="F1009" s="66" t="s">
        <v>307</v>
      </c>
      <c r="G1009" s="70" t="s">
        <v>467</v>
      </c>
      <c r="H1009" s="70" t="s">
        <v>971</v>
      </c>
      <c r="I1009" s="363">
        <v>3</v>
      </c>
      <c r="J1009" s="64"/>
      <c r="K1009" s="64"/>
      <c r="L1009" s="64"/>
    </row>
    <row r="1010" spans="1:12" x14ac:dyDescent="0.25">
      <c r="A1010" s="71">
        <v>467690</v>
      </c>
      <c r="B1010" s="71">
        <v>2007</v>
      </c>
      <c r="C1010" s="71" t="s">
        <v>1171</v>
      </c>
      <c r="D1010" s="71" t="s">
        <v>476</v>
      </c>
      <c r="E1010" s="71" t="s">
        <v>475</v>
      </c>
      <c r="F1010" s="66" t="s">
        <v>307</v>
      </c>
      <c r="G1010" s="70" t="s">
        <v>467</v>
      </c>
      <c r="H1010" s="70" t="s">
        <v>971</v>
      </c>
      <c r="I1010" s="363">
        <v>3</v>
      </c>
      <c r="J1010" s="64"/>
      <c r="K1010" s="64"/>
      <c r="L1010" s="64"/>
    </row>
    <row r="1011" spans="1:12" x14ac:dyDescent="0.25">
      <c r="A1011" s="71">
        <v>467700</v>
      </c>
      <c r="B1011" s="71">
        <v>2007</v>
      </c>
      <c r="C1011" s="71" t="s">
        <v>1170</v>
      </c>
      <c r="D1011" s="71" t="s">
        <v>476</v>
      </c>
      <c r="E1011" s="71" t="s">
        <v>475</v>
      </c>
      <c r="F1011" s="66" t="s">
        <v>307</v>
      </c>
      <c r="G1011" s="70" t="s">
        <v>467</v>
      </c>
      <c r="H1011" s="70" t="s">
        <v>971</v>
      </c>
      <c r="I1011" s="363">
        <v>3</v>
      </c>
      <c r="J1011" s="64"/>
      <c r="K1011" s="64"/>
      <c r="L1011" s="64"/>
    </row>
    <row r="1012" spans="1:12" x14ac:dyDescent="0.25">
      <c r="A1012" s="71">
        <v>467710</v>
      </c>
      <c r="B1012" s="71">
        <v>2007</v>
      </c>
      <c r="C1012" s="71" t="s">
        <v>1169</v>
      </c>
      <c r="D1012" s="71" t="s">
        <v>476</v>
      </c>
      <c r="E1012" s="71" t="s">
        <v>475</v>
      </c>
      <c r="F1012" s="66" t="s">
        <v>307</v>
      </c>
      <c r="G1012" s="70" t="s">
        <v>467</v>
      </c>
      <c r="H1012" s="70" t="s">
        <v>971</v>
      </c>
      <c r="I1012" s="363">
        <v>3</v>
      </c>
      <c r="J1012" s="64"/>
      <c r="K1012" s="64"/>
      <c r="L1012" s="64"/>
    </row>
    <row r="1013" spans="1:12" x14ac:dyDescent="0.25">
      <c r="A1013" s="71">
        <v>467720</v>
      </c>
      <c r="B1013" s="71">
        <v>2007</v>
      </c>
      <c r="C1013" s="71" t="s">
        <v>1168</v>
      </c>
      <c r="D1013" s="71" t="s">
        <v>476</v>
      </c>
      <c r="E1013" s="71" t="s">
        <v>475</v>
      </c>
      <c r="F1013" s="66" t="s">
        <v>307</v>
      </c>
      <c r="G1013" s="70" t="s">
        <v>467</v>
      </c>
      <c r="H1013" s="70" t="s">
        <v>971</v>
      </c>
      <c r="I1013" s="363">
        <v>3</v>
      </c>
      <c r="J1013" s="64"/>
      <c r="K1013" s="64"/>
      <c r="L1013" s="64"/>
    </row>
    <row r="1014" spans="1:12" x14ac:dyDescent="0.25">
      <c r="A1014" s="71">
        <v>469000</v>
      </c>
      <c r="B1014" s="71">
        <v>2007</v>
      </c>
      <c r="C1014" s="71" t="s">
        <v>1167</v>
      </c>
      <c r="D1014" s="71" t="s">
        <v>476</v>
      </c>
      <c r="E1014" s="71" t="s">
        <v>475</v>
      </c>
      <c r="F1014" s="66" t="s">
        <v>307</v>
      </c>
      <c r="G1014" s="70" t="s">
        <v>467</v>
      </c>
      <c r="H1014" s="70" t="s">
        <v>971</v>
      </c>
      <c r="I1014" s="363">
        <v>3</v>
      </c>
      <c r="J1014" s="64"/>
      <c r="K1014" s="64"/>
      <c r="L1014" s="64"/>
    </row>
    <row r="1015" spans="1:12" x14ac:dyDescent="0.25">
      <c r="A1015" s="71">
        <v>470000</v>
      </c>
      <c r="B1015" s="71">
        <v>2007</v>
      </c>
      <c r="C1015" s="71" t="s">
        <v>1166</v>
      </c>
      <c r="D1015" s="71" t="s">
        <v>476</v>
      </c>
      <c r="E1015" s="71" t="s">
        <v>1044</v>
      </c>
      <c r="F1015" s="66" t="s">
        <v>307</v>
      </c>
      <c r="G1015" s="70" t="s">
        <v>467</v>
      </c>
      <c r="H1015" s="70" t="s">
        <v>971</v>
      </c>
      <c r="I1015" s="363">
        <v>3</v>
      </c>
      <c r="J1015" s="64"/>
      <c r="K1015" s="64"/>
      <c r="L1015" s="64"/>
    </row>
    <row r="1016" spans="1:12" x14ac:dyDescent="0.25">
      <c r="A1016" s="71">
        <v>471000</v>
      </c>
      <c r="B1016" s="71">
        <v>2007</v>
      </c>
      <c r="C1016" s="71" t="s">
        <v>1165</v>
      </c>
      <c r="D1016" s="71" t="s">
        <v>476</v>
      </c>
      <c r="E1016" s="71" t="s">
        <v>475</v>
      </c>
      <c r="F1016" s="66" t="s">
        <v>307</v>
      </c>
      <c r="G1016" s="70" t="s">
        <v>467</v>
      </c>
      <c r="H1016" s="70" t="s">
        <v>971</v>
      </c>
      <c r="I1016" s="363">
        <v>3</v>
      </c>
      <c r="J1016" s="64"/>
      <c r="K1016" s="64"/>
      <c r="L1016" s="64"/>
    </row>
    <row r="1017" spans="1:12" x14ac:dyDescent="0.25">
      <c r="A1017" s="71">
        <v>471100</v>
      </c>
      <c r="B1017" s="71">
        <v>2007</v>
      </c>
      <c r="C1017" s="71" t="s">
        <v>1164</v>
      </c>
      <c r="D1017" s="71" t="s">
        <v>476</v>
      </c>
      <c r="E1017" s="71" t="s">
        <v>475</v>
      </c>
      <c r="F1017" s="66" t="s">
        <v>307</v>
      </c>
      <c r="G1017" s="70" t="s">
        <v>467</v>
      </c>
      <c r="H1017" s="70" t="s">
        <v>971</v>
      </c>
      <c r="I1017" s="363">
        <v>3</v>
      </c>
      <c r="J1017" s="64"/>
      <c r="K1017" s="64"/>
      <c r="L1017" s="64"/>
    </row>
    <row r="1018" spans="1:12" x14ac:dyDescent="0.25">
      <c r="A1018" s="71">
        <v>471110</v>
      </c>
      <c r="B1018" s="71">
        <v>2007</v>
      </c>
      <c r="C1018" s="71" t="s">
        <v>1163</v>
      </c>
      <c r="D1018" s="71" t="s">
        <v>476</v>
      </c>
      <c r="E1018" s="71" t="s">
        <v>475</v>
      </c>
      <c r="F1018" s="66" t="s">
        <v>307</v>
      </c>
      <c r="G1018" s="70" t="s">
        <v>467</v>
      </c>
      <c r="H1018" s="70" t="s">
        <v>971</v>
      </c>
      <c r="I1018" s="363">
        <v>3</v>
      </c>
      <c r="J1018" s="64"/>
      <c r="K1018" s="64"/>
      <c r="L1018" s="64"/>
    </row>
    <row r="1019" spans="1:12" x14ac:dyDescent="0.25">
      <c r="A1019" s="71">
        <v>471120</v>
      </c>
      <c r="B1019" s="71">
        <v>2007</v>
      </c>
      <c r="C1019" s="71" t="s">
        <v>1162</v>
      </c>
      <c r="D1019" s="71" t="s">
        <v>476</v>
      </c>
      <c r="E1019" s="71" t="s">
        <v>475</v>
      </c>
      <c r="F1019" s="66" t="s">
        <v>307</v>
      </c>
      <c r="G1019" s="70" t="s">
        <v>467</v>
      </c>
      <c r="H1019" s="70" t="s">
        <v>971</v>
      </c>
      <c r="I1019" s="363">
        <v>3</v>
      </c>
      <c r="J1019" s="64"/>
      <c r="K1019" s="64"/>
      <c r="L1019" s="64"/>
    </row>
    <row r="1020" spans="1:12" x14ac:dyDescent="0.25">
      <c r="A1020" s="71">
        <v>471130</v>
      </c>
      <c r="B1020" s="71">
        <v>2007</v>
      </c>
      <c r="C1020" s="71" t="s">
        <v>1161</v>
      </c>
      <c r="D1020" s="71" t="s">
        <v>476</v>
      </c>
      <c r="E1020" s="71" t="s">
        <v>475</v>
      </c>
      <c r="F1020" s="66" t="s">
        <v>307</v>
      </c>
      <c r="G1020" s="70" t="s">
        <v>467</v>
      </c>
      <c r="H1020" s="70" t="s">
        <v>971</v>
      </c>
      <c r="I1020" s="363">
        <v>3</v>
      </c>
      <c r="J1020" s="64"/>
      <c r="K1020" s="64"/>
      <c r="L1020" s="64"/>
    </row>
    <row r="1021" spans="1:12" x14ac:dyDescent="0.25">
      <c r="A1021" s="71">
        <v>471140</v>
      </c>
      <c r="B1021" s="71">
        <v>2007</v>
      </c>
      <c r="C1021" s="71" t="s">
        <v>1160</v>
      </c>
      <c r="D1021" s="71" t="s">
        <v>476</v>
      </c>
      <c r="E1021" s="71" t="s">
        <v>475</v>
      </c>
      <c r="F1021" s="66" t="s">
        <v>307</v>
      </c>
      <c r="G1021" s="70" t="s">
        <v>467</v>
      </c>
      <c r="H1021" s="70" t="s">
        <v>971</v>
      </c>
      <c r="I1021" s="363">
        <v>3</v>
      </c>
      <c r="J1021" s="64"/>
      <c r="K1021" s="64"/>
      <c r="L1021" s="64"/>
    </row>
    <row r="1022" spans="1:12" x14ac:dyDescent="0.25">
      <c r="A1022" s="71">
        <v>471150</v>
      </c>
      <c r="B1022" s="71">
        <v>2007</v>
      </c>
      <c r="C1022" s="71" t="s">
        <v>1159</v>
      </c>
      <c r="D1022" s="71" t="s">
        <v>476</v>
      </c>
      <c r="E1022" s="71" t="s">
        <v>475</v>
      </c>
      <c r="F1022" s="66" t="s">
        <v>307</v>
      </c>
      <c r="G1022" s="70" t="s">
        <v>467</v>
      </c>
      <c r="H1022" s="70" t="s">
        <v>971</v>
      </c>
      <c r="I1022" s="363">
        <v>3</v>
      </c>
      <c r="J1022" s="64"/>
      <c r="K1022" s="64"/>
      <c r="L1022" s="64"/>
    </row>
    <row r="1023" spans="1:12" x14ac:dyDescent="0.25">
      <c r="A1023" s="71">
        <v>471900</v>
      </c>
      <c r="B1023" s="71">
        <v>2007</v>
      </c>
      <c r="C1023" s="71" t="s">
        <v>1158</v>
      </c>
      <c r="D1023" s="71" t="s">
        <v>476</v>
      </c>
      <c r="E1023" s="71" t="s">
        <v>475</v>
      </c>
      <c r="F1023" s="66" t="s">
        <v>307</v>
      </c>
      <c r="G1023" s="70" t="s">
        <v>467</v>
      </c>
      <c r="H1023" s="70" t="s">
        <v>971</v>
      </c>
      <c r="I1023" s="363">
        <v>3</v>
      </c>
      <c r="J1023" s="64"/>
      <c r="K1023" s="64"/>
      <c r="L1023" s="64"/>
    </row>
    <row r="1024" spans="1:12" x14ac:dyDescent="0.25">
      <c r="A1024" s="71">
        <v>471910</v>
      </c>
      <c r="B1024" s="71">
        <v>2007</v>
      </c>
      <c r="C1024" s="71" t="s">
        <v>1157</v>
      </c>
      <c r="D1024" s="71" t="s">
        <v>476</v>
      </c>
      <c r="E1024" s="71" t="s">
        <v>475</v>
      </c>
      <c r="F1024" s="66" t="s">
        <v>307</v>
      </c>
      <c r="G1024" s="70" t="s">
        <v>467</v>
      </c>
      <c r="H1024" s="70" t="s">
        <v>971</v>
      </c>
      <c r="I1024" s="363">
        <v>3</v>
      </c>
      <c r="J1024" s="64"/>
      <c r="K1024" s="64"/>
      <c r="L1024" s="64"/>
    </row>
    <row r="1025" spans="1:12" x14ac:dyDescent="0.25">
      <c r="A1025" s="71">
        <v>471920</v>
      </c>
      <c r="B1025" s="71">
        <v>2007</v>
      </c>
      <c r="C1025" s="71" t="s">
        <v>1156</v>
      </c>
      <c r="D1025" s="71" t="s">
        <v>476</v>
      </c>
      <c r="E1025" s="71" t="s">
        <v>475</v>
      </c>
      <c r="F1025" s="66" t="s">
        <v>307</v>
      </c>
      <c r="G1025" s="70" t="s">
        <v>467</v>
      </c>
      <c r="H1025" s="70" t="s">
        <v>971</v>
      </c>
      <c r="I1025" s="363">
        <v>3</v>
      </c>
      <c r="J1025" s="64"/>
      <c r="K1025" s="64"/>
      <c r="L1025" s="64"/>
    </row>
    <row r="1026" spans="1:12" x14ac:dyDescent="0.25">
      <c r="A1026" s="71">
        <v>471990</v>
      </c>
      <c r="B1026" s="71">
        <v>2007</v>
      </c>
      <c r="C1026" s="71" t="s">
        <v>1155</v>
      </c>
      <c r="D1026" s="71" t="s">
        <v>476</v>
      </c>
      <c r="E1026" s="71" t="s">
        <v>475</v>
      </c>
      <c r="F1026" s="66" t="s">
        <v>307</v>
      </c>
      <c r="G1026" s="70" t="s">
        <v>467</v>
      </c>
      <c r="H1026" s="70" t="s">
        <v>971</v>
      </c>
      <c r="I1026" s="363">
        <v>3</v>
      </c>
      <c r="J1026" s="64"/>
      <c r="K1026" s="64"/>
      <c r="L1026" s="64"/>
    </row>
    <row r="1027" spans="1:12" x14ac:dyDescent="0.25">
      <c r="A1027" s="71">
        <v>472000</v>
      </c>
      <c r="B1027" s="71">
        <v>2007</v>
      </c>
      <c r="C1027" s="71" t="s">
        <v>1154</v>
      </c>
      <c r="D1027" s="71" t="s">
        <v>476</v>
      </c>
      <c r="E1027" s="71" t="s">
        <v>1044</v>
      </c>
      <c r="F1027" s="66" t="s">
        <v>307</v>
      </c>
      <c r="G1027" s="70" t="s">
        <v>467</v>
      </c>
      <c r="H1027" s="70" t="s">
        <v>971</v>
      </c>
      <c r="I1027" s="363">
        <v>3</v>
      </c>
      <c r="J1027" s="64"/>
      <c r="K1027" s="64"/>
      <c r="L1027" s="64"/>
    </row>
    <row r="1028" spans="1:12" x14ac:dyDescent="0.25">
      <c r="A1028" s="71">
        <v>472100</v>
      </c>
      <c r="B1028" s="71">
        <v>2007</v>
      </c>
      <c r="C1028" s="71" t="s">
        <v>1153</v>
      </c>
      <c r="D1028" s="71" t="s">
        <v>476</v>
      </c>
      <c r="E1028" s="71" t="s">
        <v>468</v>
      </c>
      <c r="F1028" s="66" t="s">
        <v>307</v>
      </c>
      <c r="G1028" s="70" t="s">
        <v>467</v>
      </c>
      <c r="H1028" s="70" t="s">
        <v>971</v>
      </c>
      <c r="I1028" s="363">
        <v>3</v>
      </c>
      <c r="J1028" s="64"/>
      <c r="K1028" s="64"/>
      <c r="L1028" s="64"/>
    </row>
    <row r="1029" spans="1:12" x14ac:dyDescent="0.25">
      <c r="A1029" s="71">
        <v>472101</v>
      </c>
      <c r="B1029" s="71">
        <v>2007</v>
      </c>
      <c r="C1029" s="71" t="s">
        <v>1152</v>
      </c>
      <c r="D1029" s="71" t="s">
        <v>476</v>
      </c>
      <c r="E1029" s="71" t="s">
        <v>468</v>
      </c>
      <c r="F1029" s="66" t="s">
        <v>307</v>
      </c>
      <c r="G1029" s="70" t="s">
        <v>467</v>
      </c>
      <c r="H1029" s="70" t="s">
        <v>971</v>
      </c>
      <c r="I1029" s="363">
        <v>3</v>
      </c>
      <c r="J1029" s="64"/>
      <c r="K1029" s="64"/>
      <c r="L1029" s="64"/>
    </row>
    <row r="1030" spans="1:12" x14ac:dyDescent="0.25">
      <c r="A1030" s="71">
        <v>472102</v>
      </c>
      <c r="B1030" s="71">
        <v>2007</v>
      </c>
      <c r="C1030" s="71" t="s">
        <v>1151</v>
      </c>
      <c r="D1030" s="71" t="s">
        <v>476</v>
      </c>
      <c r="E1030" s="71" t="s">
        <v>468</v>
      </c>
      <c r="F1030" s="66" t="s">
        <v>307</v>
      </c>
      <c r="G1030" s="70" t="s">
        <v>467</v>
      </c>
      <c r="H1030" s="70" t="s">
        <v>971</v>
      </c>
      <c r="I1030" s="363">
        <v>3</v>
      </c>
      <c r="J1030" s="64"/>
      <c r="K1030" s="64"/>
      <c r="L1030" s="64"/>
    </row>
    <row r="1031" spans="1:12" x14ac:dyDescent="0.25">
      <c r="A1031" s="71">
        <v>472200</v>
      </c>
      <c r="B1031" s="71">
        <v>2007</v>
      </c>
      <c r="C1031" s="71" t="s">
        <v>1150</v>
      </c>
      <c r="D1031" s="71" t="s">
        <v>476</v>
      </c>
      <c r="E1031" s="71" t="s">
        <v>468</v>
      </c>
      <c r="F1031" s="66" t="s">
        <v>307</v>
      </c>
      <c r="G1031" s="70" t="s">
        <v>467</v>
      </c>
      <c r="H1031" s="70" t="s">
        <v>971</v>
      </c>
      <c r="I1031" s="363">
        <v>3</v>
      </c>
      <c r="J1031" s="64"/>
      <c r="K1031" s="64"/>
      <c r="L1031" s="64"/>
    </row>
    <row r="1032" spans="1:12" x14ac:dyDescent="0.25">
      <c r="A1032" s="71">
        <v>472300</v>
      </c>
      <c r="B1032" s="71">
        <v>2007</v>
      </c>
      <c r="C1032" s="71" t="s">
        <v>1149</v>
      </c>
      <c r="D1032" s="71" t="s">
        <v>476</v>
      </c>
      <c r="E1032" s="71" t="s">
        <v>468</v>
      </c>
      <c r="F1032" s="65" t="s">
        <v>151</v>
      </c>
      <c r="G1032" s="70" t="s">
        <v>467</v>
      </c>
      <c r="H1032" s="70" t="s">
        <v>971</v>
      </c>
      <c r="I1032" s="363">
        <v>3</v>
      </c>
      <c r="J1032" s="64"/>
      <c r="K1032" s="64"/>
      <c r="L1032" s="64"/>
    </row>
    <row r="1033" spans="1:12" x14ac:dyDescent="0.25">
      <c r="A1033" s="71">
        <v>472400</v>
      </c>
      <c r="B1033" s="71">
        <v>2007</v>
      </c>
      <c r="C1033" s="71" t="s">
        <v>1148</v>
      </c>
      <c r="D1033" s="71" t="s">
        <v>476</v>
      </c>
      <c r="E1033" s="71" t="s">
        <v>475</v>
      </c>
      <c r="F1033" s="66" t="s">
        <v>307</v>
      </c>
      <c r="G1033" s="70" t="s">
        <v>467</v>
      </c>
      <c r="H1033" s="70" t="s">
        <v>971</v>
      </c>
      <c r="I1033" s="363">
        <v>3</v>
      </c>
      <c r="J1033" s="64"/>
      <c r="K1033" s="64"/>
      <c r="L1033" s="64"/>
    </row>
    <row r="1034" spans="1:12" x14ac:dyDescent="0.25">
      <c r="A1034" s="71">
        <v>472410</v>
      </c>
      <c r="B1034" s="71">
        <v>2007</v>
      </c>
      <c r="C1034" s="71" t="s">
        <v>1147</v>
      </c>
      <c r="D1034" s="71" t="s">
        <v>476</v>
      </c>
      <c r="E1034" s="71" t="s">
        <v>475</v>
      </c>
      <c r="F1034" s="66" t="s">
        <v>307</v>
      </c>
      <c r="G1034" s="70" t="s">
        <v>467</v>
      </c>
      <c r="H1034" s="70" t="s">
        <v>971</v>
      </c>
      <c r="I1034" s="363">
        <v>3</v>
      </c>
      <c r="J1034" s="64"/>
      <c r="K1034" s="64"/>
      <c r="L1034" s="64"/>
    </row>
    <row r="1035" spans="1:12" x14ac:dyDescent="0.25">
      <c r="A1035" s="71">
        <v>472420</v>
      </c>
      <c r="B1035" s="71">
        <v>2007</v>
      </c>
      <c r="C1035" s="71" t="s">
        <v>1146</v>
      </c>
      <c r="D1035" s="71" t="s">
        <v>476</v>
      </c>
      <c r="E1035" s="71" t="s">
        <v>475</v>
      </c>
      <c r="F1035" s="66" t="s">
        <v>307</v>
      </c>
      <c r="G1035" s="70" t="s">
        <v>467</v>
      </c>
      <c r="H1035" s="70" t="s">
        <v>971</v>
      </c>
      <c r="I1035" s="363">
        <v>3</v>
      </c>
      <c r="J1035" s="64"/>
      <c r="K1035" s="64"/>
      <c r="L1035" s="64"/>
    </row>
    <row r="1036" spans="1:12" x14ac:dyDescent="0.25">
      <c r="A1036" s="71">
        <v>472500</v>
      </c>
      <c r="B1036" s="71">
        <v>2007</v>
      </c>
      <c r="C1036" s="71" t="s">
        <v>1145</v>
      </c>
      <c r="D1036" s="71" t="s">
        <v>476</v>
      </c>
      <c r="E1036" s="71" t="s">
        <v>1044</v>
      </c>
      <c r="F1036" s="66" t="s">
        <v>307</v>
      </c>
      <c r="G1036" s="70" t="s">
        <v>467</v>
      </c>
      <c r="H1036" s="70" t="s">
        <v>971</v>
      </c>
      <c r="I1036" s="363">
        <v>3</v>
      </c>
      <c r="J1036" s="64"/>
      <c r="K1036" s="64"/>
      <c r="L1036" s="64"/>
    </row>
    <row r="1037" spans="1:12" x14ac:dyDescent="0.25">
      <c r="A1037" s="71">
        <v>472600</v>
      </c>
      <c r="B1037" s="71">
        <v>2007</v>
      </c>
      <c r="C1037" s="71" t="s">
        <v>1144</v>
      </c>
      <c r="D1037" s="71" t="s">
        <v>476</v>
      </c>
      <c r="E1037" s="71" t="s">
        <v>475</v>
      </c>
      <c r="F1037" s="66" t="s">
        <v>307</v>
      </c>
      <c r="G1037" s="70" t="s">
        <v>467</v>
      </c>
      <c r="H1037" s="70" t="s">
        <v>971</v>
      </c>
      <c r="I1037" s="363">
        <v>3</v>
      </c>
      <c r="J1037" s="64"/>
      <c r="K1037" s="64"/>
      <c r="L1037" s="64"/>
    </row>
    <row r="1038" spans="1:12" x14ac:dyDescent="0.25">
      <c r="A1038" s="71">
        <v>472900</v>
      </c>
      <c r="B1038" s="71">
        <v>2007</v>
      </c>
      <c r="C1038" s="71" t="s">
        <v>1143</v>
      </c>
      <c r="D1038" s="71" t="s">
        <v>476</v>
      </c>
      <c r="E1038" s="71" t="s">
        <v>1044</v>
      </c>
      <c r="F1038" s="66" t="s">
        <v>307</v>
      </c>
      <c r="G1038" s="70" t="s">
        <v>467</v>
      </c>
      <c r="H1038" s="70" t="s">
        <v>971</v>
      </c>
      <c r="I1038" s="363">
        <v>3</v>
      </c>
      <c r="J1038" s="64"/>
      <c r="K1038" s="64"/>
      <c r="L1038" s="64"/>
    </row>
    <row r="1039" spans="1:12" x14ac:dyDescent="0.25">
      <c r="A1039" s="71">
        <v>472910</v>
      </c>
      <c r="B1039" s="71">
        <v>2007</v>
      </c>
      <c r="C1039" s="71" t="s">
        <v>1142</v>
      </c>
      <c r="D1039" s="71" t="s">
        <v>476</v>
      </c>
      <c r="E1039" s="71" t="s">
        <v>468</v>
      </c>
      <c r="F1039" s="66" t="s">
        <v>307</v>
      </c>
      <c r="G1039" s="70" t="s">
        <v>467</v>
      </c>
      <c r="H1039" s="70" t="s">
        <v>971</v>
      </c>
      <c r="I1039" s="363">
        <v>3</v>
      </c>
      <c r="J1039" s="64"/>
      <c r="K1039" s="64"/>
      <c r="L1039" s="64"/>
    </row>
    <row r="1040" spans="1:12" x14ac:dyDescent="0.25">
      <c r="A1040" s="71">
        <v>472920</v>
      </c>
      <c r="B1040" s="71">
        <v>2007</v>
      </c>
      <c r="C1040" s="71" t="s">
        <v>1141</v>
      </c>
      <c r="D1040" s="71" t="s">
        <v>476</v>
      </c>
      <c r="E1040" s="71" t="s">
        <v>468</v>
      </c>
      <c r="F1040" s="66" t="s">
        <v>307</v>
      </c>
      <c r="G1040" s="70" t="s">
        <v>467</v>
      </c>
      <c r="H1040" s="70" t="s">
        <v>971</v>
      </c>
      <c r="I1040" s="363">
        <v>3</v>
      </c>
      <c r="J1040" s="64"/>
      <c r="K1040" s="64"/>
      <c r="L1040" s="64"/>
    </row>
    <row r="1041" spans="1:12" x14ac:dyDescent="0.25">
      <c r="A1041" s="71">
        <v>472930</v>
      </c>
      <c r="B1041" s="71">
        <v>2007</v>
      </c>
      <c r="C1041" s="71" t="s">
        <v>1140</v>
      </c>
      <c r="D1041" s="71" t="s">
        <v>476</v>
      </c>
      <c r="E1041" s="71" t="s">
        <v>475</v>
      </c>
      <c r="F1041" s="66" t="s">
        <v>307</v>
      </c>
      <c r="G1041" s="70" t="s">
        <v>467</v>
      </c>
      <c r="H1041" s="70" t="s">
        <v>971</v>
      </c>
      <c r="I1041" s="363">
        <v>3</v>
      </c>
      <c r="J1041" s="64"/>
      <c r="K1041" s="64"/>
      <c r="L1041" s="64"/>
    </row>
    <row r="1042" spans="1:12" x14ac:dyDescent="0.25">
      <c r="A1042" s="71">
        <v>472990</v>
      </c>
      <c r="B1042" s="71">
        <v>2007</v>
      </c>
      <c r="C1042" s="71" t="s">
        <v>1139</v>
      </c>
      <c r="D1042" s="71" t="s">
        <v>476</v>
      </c>
      <c r="E1042" s="71" t="s">
        <v>475</v>
      </c>
      <c r="F1042" s="66" t="s">
        <v>307</v>
      </c>
      <c r="G1042" s="70" t="s">
        <v>467</v>
      </c>
      <c r="H1042" s="70" t="s">
        <v>971</v>
      </c>
      <c r="I1042" s="363">
        <v>3</v>
      </c>
      <c r="J1042" s="64"/>
      <c r="K1042" s="64"/>
      <c r="L1042" s="64"/>
    </row>
    <row r="1043" spans="1:12" x14ac:dyDescent="0.25">
      <c r="A1043" s="71">
        <v>473000</v>
      </c>
      <c r="B1043" s="71">
        <v>2007</v>
      </c>
      <c r="C1043" s="71" t="s">
        <v>1138</v>
      </c>
      <c r="D1043" s="71" t="s">
        <v>476</v>
      </c>
      <c r="E1043" s="71" t="s">
        <v>475</v>
      </c>
      <c r="F1043" s="66" t="s">
        <v>307</v>
      </c>
      <c r="G1043" s="70" t="s">
        <v>467</v>
      </c>
      <c r="H1043" s="70" t="s">
        <v>971</v>
      </c>
      <c r="I1043" s="363">
        <v>3</v>
      </c>
      <c r="J1043" s="64"/>
      <c r="K1043" s="64"/>
      <c r="L1043" s="64"/>
    </row>
    <row r="1044" spans="1:12" x14ac:dyDescent="0.25">
      <c r="A1044" s="71">
        <v>474000</v>
      </c>
      <c r="B1044" s="71">
        <v>2007</v>
      </c>
      <c r="C1044" s="71" t="s">
        <v>1137</v>
      </c>
      <c r="D1044" s="71" t="s">
        <v>476</v>
      </c>
      <c r="E1044" s="71" t="s">
        <v>475</v>
      </c>
      <c r="F1044" s="66" t="s">
        <v>307</v>
      </c>
      <c r="G1044" s="70" t="s">
        <v>467</v>
      </c>
      <c r="H1044" s="70" t="s">
        <v>971</v>
      </c>
      <c r="I1044" s="363">
        <v>3</v>
      </c>
      <c r="J1044" s="64"/>
      <c r="K1044" s="64"/>
      <c r="L1044" s="64"/>
    </row>
    <row r="1045" spans="1:12" x14ac:dyDescent="0.25">
      <c r="A1045" s="71">
        <v>474100</v>
      </c>
      <c r="B1045" s="71">
        <v>2007</v>
      </c>
      <c r="C1045" s="71" t="s">
        <v>1136</v>
      </c>
      <c r="D1045" s="71" t="s">
        <v>476</v>
      </c>
      <c r="E1045" s="71" t="s">
        <v>475</v>
      </c>
      <c r="F1045" s="66" t="s">
        <v>307</v>
      </c>
      <c r="G1045" s="70" t="s">
        <v>467</v>
      </c>
      <c r="H1045" s="70" t="s">
        <v>971</v>
      </c>
      <c r="I1045" s="363">
        <v>3</v>
      </c>
      <c r="J1045" s="64"/>
      <c r="K1045" s="64"/>
      <c r="L1045" s="64"/>
    </row>
    <row r="1046" spans="1:12" x14ac:dyDescent="0.25">
      <c r="A1046" s="71">
        <v>474200</v>
      </c>
      <c r="B1046" s="71">
        <v>2007</v>
      </c>
      <c r="C1046" s="71" t="s">
        <v>1135</v>
      </c>
      <c r="D1046" s="71" t="s">
        <v>476</v>
      </c>
      <c r="E1046" s="71" t="s">
        <v>475</v>
      </c>
      <c r="F1046" s="66" t="s">
        <v>307</v>
      </c>
      <c r="G1046" s="70" t="s">
        <v>467</v>
      </c>
      <c r="H1046" s="70" t="s">
        <v>971</v>
      </c>
      <c r="I1046" s="363">
        <v>3</v>
      </c>
      <c r="J1046" s="64"/>
      <c r="K1046" s="64"/>
      <c r="L1046" s="64"/>
    </row>
    <row r="1047" spans="1:12" x14ac:dyDescent="0.25">
      <c r="A1047" s="71">
        <v>474300</v>
      </c>
      <c r="B1047" s="71">
        <v>2007</v>
      </c>
      <c r="C1047" s="71" t="s">
        <v>1134</v>
      </c>
      <c r="D1047" s="71" t="s">
        <v>476</v>
      </c>
      <c r="E1047" s="71" t="s">
        <v>475</v>
      </c>
      <c r="F1047" s="66" t="s">
        <v>307</v>
      </c>
      <c r="G1047" s="70" t="s">
        <v>467</v>
      </c>
      <c r="H1047" s="70" t="s">
        <v>971</v>
      </c>
      <c r="I1047" s="363">
        <v>3</v>
      </c>
      <c r="J1047" s="64"/>
      <c r="K1047" s="64"/>
      <c r="L1047" s="64"/>
    </row>
    <row r="1048" spans="1:12" x14ac:dyDescent="0.25">
      <c r="A1048" s="71">
        <v>475000</v>
      </c>
      <c r="B1048" s="71">
        <v>2007</v>
      </c>
      <c r="C1048" s="71" t="s">
        <v>1133</v>
      </c>
      <c r="D1048" s="71" t="s">
        <v>476</v>
      </c>
      <c r="E1048" s="71" t="s">
        <v>475</v>
      </c>
      <c r="F1048" s="66" t="s">
        <v>307</v>
      </c>
      <c r="G1048" s="70" t="s">
        <v>467</v>
      </c>
      <c r="H1048" s="70" t="s">
        <v>971</v>
      </c>
      <c r="I1048" s="363">
        <v>3</v>
      </c>
      <c r="J1048" s="64"/>
      <c r="K1048" s="64"/>
      <c r="L1048" s="64"/>
    </row>
    <row r="1049" spans="1:12" x14ac:dyDescent="0.25">
      <c r="A1049" s="71">
        <v>475100</v>
      </c>
      <c r="B1049" s="71">
        <v>2007</v>
      </c>
      <c r="C1049" s="71" t="s">
        <v>1132</v>
      </c>
      <c r="D1049" s="71" t="s">
        <v>476</v>
      </c>
      <c r="E1049" s="71" t="s">
        <v>475</v>
      </c>
      <c r="F1049" s="66" t="s">
        <v>307</v>
      </c>
      <c r="G1049" s="70" t="s">
        <v>467</v>
      </c>
      <c r="H1049" s="70" t="s">
        <v>971</v>
      </c>
      <c r="I1049" s="363">
        <v>3</v>
      </c>
      <c r="J1049" s="64"/>
      <c r="K1049" s="64"/>
      <c r="L1049" s="64"/>
    </row>
    <row r="1050" spans="1:12" x14ac:dyDescent="0.25">
      <c r="A1050" s="71">
        <v>475110</v>
      </c>
      <c r="B1050" s="71">
        <v>2007</v>
      </c>
      <c r="C1050" s="71" t="s">
        <v>1131</v>
      </c>
      <c r="D1050" s="71" t="s">
        <v>476</v>
      </c>
      <c r="E1050" s="71" t="s">
        <v>475</v>
      </c>
      <c r="F1050" s="66" t="s">
        <v>307</v>
      </c>
      <c r="G1050" s="70" t="s">
        <v>467</v>
      </c>
      <c r="H1050" s="70" t="s">
        <v>971</v>
      </c>
      <c r="I1050" s="363">
        <v>3</v>
      </c>
      <c r="J1050" s="64"/>
      <c r="K1050" s="64"/>
      <c r="L1050" s="64"/>
    </row>
    <row r="1051" spans="1:12" x14ac:dyDescent="0.25">
      <c r="A1051" s="71">
        <v>475120</v>
      </c>
      <c r="B1051" s="71">
        <v>2007</v>
      </c>
      <c r="C1051" s="71" t="s">
        <v>1130</v>
      </c>
      <c r="D1051" s="71" t="s">
        <v>476</v>
      </c>
      <c r="E1051" s="71" t="s">
        <v>475</v>
      </c>
      <c r="F1051" s="66" t="s">
        <v>307</v>
      </c>
      <c r="G1051" s="70" t="s">
        <v>467</v>
      </c>
      <c r="H1051" s="70" t="s">
        <v>971</v>
      </c>
      <c r="I1051" s="363">
        <v>3</v>
      </c>
      <c r="J1051" s="64"/>
      <c r="K1051" s="64"/>
      <c r="L1051" s="64"/>
    </row>
    <row r="1052" spans="1:12" x14ac:dyDescent="0.25">
      <c r="A1052" s="71">
        <v>475200</v>
      </c>
      <c r="B1052" s="71">
        <v>2007</v>
      </c>
      <c r="C1052" s="71" t="s">
        <v>1129</v>
      </c>
      <c r="D1052" s="71" t="s">
        <v>476</v>
      </c>
      <c r="E1052" s="71" t="s">
        <v>475</v>
      </c>
      <c r="F1052" s="66" t="s">
        <v>307</v>
      </c>
      <c r="G1052" s="70" t="s">
        <v>467</v>
      </c>
      <c r="H1052" s="70" t="s">
        <v>971</v>
      </c>
      <c r="I1052" s="363">
        <v>3</v>
      </c>
      <c r="J1052" s="64"/>
      <c r="K1052" s="64"/>
      <c r="L1052" s="64"/>
    </row>
    <row r="1053" spans="1:12" x14ac:dyDescent="0.25">
      <c r="A1053" s="71">
        <v>475210</v>
      </c>
      <c r="B1053" s="71">
        <v>2007</v>
      </c>
      <c r="C1053" s="71" t="s">
        <v>1128</v>
      </c>
      <c r="D1053" s="71" t="s">
        <v>476</v>
      </c>
      <c r="E1053" s="71" t="s">
        <v>475</v>
      </c>
      <c r="F1053" s="66" t="s">
        <v>307</v>
      </c>
      <c r="G1053" s="70" t="s">
        <v>467</v>
      </c>
      <c r="H1053" s="70" t="s">
        <v>971</v>
      </c>
      <c r="I1053" s="363">
        <v>3</v>
      </c>
      <c r="J1053" s="64"/>
      <c r="K1053" s="64"/>
      <c r="L1053" s="64"/>
    </row>
    <row r="1054" spans="1:12" x14ac:dyDescent="0.25">
      <c r="A1054" s="71">
        <v>475220</v>
      </c>
      <c r="B1054" s="71">
        <v>2007</v>
      </c>
      <c r="C1054" s="71" t="s">
        <v>1127</v>
      </c>
      <c r="D1054" s="71" t="s">
        <v>476</v>
      </c>
      <c r="E1054" s="71" t="s">
        <v>475</v>
      </c>
      <c r="F1054" s="66" t="s">
        <v>307</v>
      </c>
      <c r="G1054" s="70" t="s">
        <v>467</v>
      </c>
      <c r="H1054" s="70" t="s">
        <v>971</v>
      </c>
      <c r="I1054" s="363">
        <v>3</v>
      </c>
      <c r="J1054" s="64"/>
      <c r="K1054" s="64"/>
      <c r="L1054" s="64"/>
    </row>
    <row r="1055" spans="1:12" x14ac:dyDescent="0.25">
      <c r="A1055" s="71">
        <v>475230</v>
      </c>
      <c r="B1055" s="71">
        <v>2007</v>
      </c>
      <c r="C1055" s="71" t="s">
        <v>1126</v>
      </c>
      <c r="D1055" s="71" t="s">
        <v>476</v>
      </c>
      <c r="E1055" s="71" t="s">
        <v>475</v>
      </c>
      <c r="F1055" s="66" t="s">
        <v>307</v>
      </c>
      <c r="G1055" s="70" t="s">
        <v>467</v>
      </c>
      <c r="H1055" s="70" t="s">
        <v>971</v>
      </c>
      <c r="I1055" s="363">
        <v>3</v>
      </c>
      <c r="J1055" s="64"/>
      <c r="K1055" s="64"/>
      <c r="L1055" s="64"/>
    </row>
    <row r="1056" spans="1:12" x14ac:dyDescent="0.25">
      <c r="A1056" s="71">
        <v>475240</v>
      </c>
      <c r="B1056" s="71">
        <v>2007</v>
      </c>
      <c r="C1056" s="71" t="s">
        <v>1125</v>
      </c>
      <c r="D1056" s="71" t="s">
        <v>476</v>
      </c>
      <c r="E1056" s="71" t="s">
        <v>475</v>
      </c>
      <c r="F1056" s="66" t="s">
        <v>307</v>
      </c>
      <c r="G1056" s="70" t="s">
        <v>467</v>
      </c>
      <c r="H1056" s="70" t="s">
        <v>971</v>
      </c>
      <c r="I1056" s="363">
        <v>3</v>
      </c>
      <c r="J1056" s="64"/>
      <c r="K1056" s="64"/>
      <c r="L1056" s="64"/>
    </row>
    <row r="1057" spans="1:12" x14ac:dyDescent="0.25">
      <c r="A1057" s="71">
        <v>475300</v>
      </c>
      <c r="B1057" s="71">
        <v>2007</v>
      </c>
      <c r="C1057" s="71" t="s">
        <v>1124</v>
      </c>
      <c r="D1057" s="71" t="s">
        <v>476</v>
      </c>
      <c r="E1057" s="71" t="s">
        <v>475</v>
      </c>
      <c r="F1057" s="66" t="s">
        <v>307</v>
      </c>
      <c r="G1057" s="70" t="s">
        <v>467</v>
      </c>
      <c r="H1057" s="70" t="s">
        <v>971</v>
      </c>
      <c r="I1057" s="363">
        <v>3</v>
      </c>
      <c r="J1057" s="64"/>
      <c r="K1057" s="64"/>
      <c r="L1057" s="64"/>
    </row>
    <row r="1058" spans="1:12" x14ac:dyDescent="0.25">
      <c r="A1058" s="71">
        <v>475310</v>
      </c>
      <c r="B1058" s="71">
        <v>2007</v>
      </c>
      <c r="C1058" s="71" t="s">
        <v>1122</v>
      </c>
      <c r="D1058" s="71" t="s">
        <v>476</v>
      </c>
      <c r="E1058" s="71" t="s">
        <v>475</v>
      </c>
      <c r="F1058" s="66" t="s">
        <v>307</v>
      </c>
      <c r="G1058" s="70" t="s">
        <v>467</v>
      </c>
      <c r="H1058" s="70" t="s">
        <v>971</v>
      </c>
      <c r="I1058" s="363">
        <v>3</v>
      </c>
      <c r="J1058" s="64"/>
      <c r="K1058" s="64"/>
      <c r="L1058" s="64"/>
    </row>
    <row r="1059" spans="1:12" x14ac:dyDescent="0.25">
      <c r="A1059" s="71">
        <v>475311</v>
      </c>
      <c r="B1059" s="71">
        <v>2007</v>
      </c>
      <c r="C1059" s="71" t="s">
        <v>1123</v>
      </c>
      <c r="D1059" s="71" t="s">
        <v>476</v>
      </c>
      <c r="E1059" s="71" t="s">
        <v>475</v>
      </c>
      <c r="F1059" s="66" t="s">
        <v>307</v>
      </c>
      <c r="G1059" s="70" t="s">
        <v>467</v>
      </c>
      <c r="H1059" s="70" t="s">
        <v>971</v>
      </c>
      <c r="I1059" s="363">
        <v>3</v>
      </c>
      <c r="J1059" s="64"/>
      <c r="K1059" s="64"/>
      <c r="L1059" s="64"/>
    </row>
    <row r="1060" spans="1:12" x14ac:dyDescent="0.25">
      <c r="A1060" s="71">
        <v>475312</v>
      </c>
      <c r="B1060" s="71">
        <v>2007</v>
      </c>
      <c r="C1060" s="71" t="s">
        <v>1122</v>
      </c>
      <c r="D1060" s="71" t="s">
        <v>476</v>
      </c>
      <c r="E1060" s="71" t="s">
        <v>475</v>
      </c>
      <c r="F1060" s="66" t="s">
        <v>307</v>
      </c>
      <c r="G1060" s="70" t="s">
        <v>467</v>
      </c>
      <c r="H1060" s="70" t="s">
        <v>971</v>
      </c>
      <c r="I1060" s="363">
        <v>3</v>
      </c>
      <c r="J1060" s="64"/>
      <c r="K1060" s="64"/>
      <c r="L1060" s="64"/>
    </row>
    <row r="1061" spans="1:12" x14ac:dyDescent="0.25">
      <c r="A1061" s="71">
        <v>475320</v>
      </c>
      <c r="B1061" s="71">
        <v>2007</v>
      </c>
      <c r="C1061" s="71" t="s">
        <v>1121</v>
      </c>
      <c r="D1061" s="71" t="s">
        <v>476</v>
      </c>
      <c r="E1061" s="71" t="s">
        <v>475</v>
      </c>
      <c r="F1061" s="66" t="s">
        <v>307</v>
      </c>
      <c r="G1061" s="70" t="s">
        <v>467</v>
      </c>
      <c r="H1061" s="70" t="s">
        <v>971</v>
      </c>
      <c r="I1061" s="363">
        <v>3</v>
      </c>
      <c r="J1061" s="64"/>
      <c r="K1061" s="64"/>
      <c r="L1061" s="64"/>
    </row>
    <row r="1062" spans="1:12" x14ac:dyDescent="0.25">
      <c r="A1062" s="71">
        <v>475400</v>
      </c>
      <c r="B1062" s="71">
        <v>2007</v>
      </c>
      <c r="C1062" s="71" t="s">
        <v>1120</v>
      </c>
      <c r="D1062" s="71" t="s">
        <v>476</v>
      </c>
      <c r="E1062" s="71" t="s">
        <v>475</v>
      </c>
      <c r="F1062" s="66" t="s">
        <v>307</v>
      </c>
      <c r="G1062" s="70" t="s">
        <v>467</v>
      </c>
      <c r="H1062" s="70" t="s">
        <v>971</v>
      </c>
      <c r="I1062" s="363">
        <v>3</v>
      </c>
      <c r="J1062" s="64"/>
      <c r="K1062" s="64"/>
      <c r="L1062" s="64"/>
    </row>
    <row r="1063" spans="1:12" x14ac:dyDescent="0.25">
      <c r="A1063" s="71">
        <v>475900</v>
      </c>
      <c r="B1063" s="71">
        <v>2007</v>
      </c>
      <c r="C1063" s="71" t="s">
        <v>1119</v>
      </c>
      <c r="D1063" s="71" t="s">
        <v>476</v>
      </c>
      <c r="E1063" s="71" t="s">
        <v>475</v>
      </c>
      <c r="F1063" s="66" t="s">
        <v>307</v>
      </c>
      <c r="G1063" s="70" t="s">
        <v>467</v>
      </c>
      <c r="H1063" s="70" t="s">
        <v>971</v>
      </c>
      <c r="I1063" s="363">
        <v>3</v>
      </c>
      <c r="J1063" s="64"/>
      <c r="K1063" s="64"/>
      <c r="L1063" s="64"/>
    </row>
    <row r="1064" spans="1:12" x14ac:dyDescent="0.25">
      <c r="A1064" s="71">
        <v>475910</v>
      </c>
      <c r="B1064" s="71">
        <v>2007</v>
      </c>
      <c r="C1064" s="71" t="s">
        <v>1118</v>
      </c>
      <c r="D1064" s="71" t="s">
        <v>476</v>
      </c>
      <c r="E1064" s="71" t="s">
        <v>475</v>
      </c>
      <c r="F1064" s="66" t="s">
        <v>307</v>
      </c>
      <c r="G1064" s="70" t="s">
        <v>467</v>
      </c>
      <c r="H1064" s="70" t="s">
        <v>971</v>
      </c>
      <c r="I1064" s="363">
        <v>3</v>
      </c>
      <c r="J1064" s="64"/>
      <c r="K1064" s="64"/>
      <c r="L1064" s="64"/>
    </row>
    <row r="1065" spans="1:12" x14ac:dyDescent="0.25">
      <c r="A1065" s="71">
        <v>475920</v>
      </c>
      <c r="B1065" s="71">
        <v>2007</v>
      </c>
      <c r="C1065" s="71" t="s">
        <v>1117</v>
      </c>
      <c r="D1065" s="71" t="s">
        <v>476</v>
      </c>
      <c r="E1065" s="71" t="s">
        <v>475</v>
      </c>
      <c r="F1065" s="66" t="s">
        <v>307</v>
      </c>
      <c r="G1065" s="70" t="s">
        <v>467</v>
      </c>
      <c r="H1065" s="70" t="s">
        <v>971</v>
      </c>
      <c r="I1065" s="363">
        <v>3</v>
      </c>
      <c r="J1065" s="64"/>
      <c r="K1065" s="64"/>
      <c r="L1065" s="64"/>
    </row>
    <row r="1066" spans="1:12" x14ac:dyDescent="0.25">
      <c r="A1066" s="71">
        <v>475930</v>
      </c>
      <c r="B1066" s="71">
        <v>2007</v>
      </c>
      <c r="C1066" s="71" t="s">
        <v>1116</v>
      </c>
      <c r="D1066" s="71" t="s">
        <v>476</v>
      </c>
      <c r="E1066" s="71" t="s">
        <v>475</v>
      </c>
      <c r="F1066" s="66" t="s">
        <v>307</v>
      </c>
      <c r="G1066" s="70" t="s">
        <v>467</v>
      </c>
      <c r="H1066" s="70" t="s">
        <v>971</v>
      </c>
      <c r="I1066" s="363">
        <v>3</v>
      </c>
      <c r="J1066" s="64"/>
      <c r="K1066" s="64"/>
      <c r="L1066" s="64"/>
    </row>
    <row r="1067" spans="1:12" x14ac:dyDescent="0.25">
      <c r="A1067" s="71">
        <v>475940</v>
      </c>
      <c r="B1067" s="71">
        <v>2007</v>
      </c>
      <c r="C1067" s="71" t="s">
        <v>1115</v>
      </c>
      <c r="D1067" s="71" t="s">
        <v>476</v>
      </c>
      <c r="E1067" s="71" t="s">
        <v>475</v>
      </c>
      <c r="F1067" s="66" t="s">
        <v>307</v>
      </c>
      <c r="G1067" s="70" t="s">
        <v>467</v>
      </c>
      <c r="H1067" s="70" t="s">
        <v>971</v>
      </c>
      <c r="I1067" s="363">
        <v>3</v>
      </c>
      <c r="J1067" s="64"/>
      <c r="K1067" s="64"/>
      <c r="L1067" s="64"/>
    </row>
    <row r="1068" spans="1:12" x14ac:dyDescent="0.25">
      <c r="A1068" s="71">
        <v>475950</v>
      </c>
      <c r="B1068" s="71">
        <v>2007</v>
      </c>
      <c r="C1068" s="71" t="s">
        <v>1114</v>
      </c>
      <c r="D1068" s="71" t="s">
        <v>476</v>
      </c>
      <c r="E1068" s="71" t="s">
        <v>475</v>
      </c>
      <c r="F1068" s="66" t="s">
        <v>307</v>
      </c>
      <c r="G1068" s="70" t="s">
        <v>467</v>
      </c>
      <c r="H1068" s="70" t="s">
        <v>971</v>
      </c>
      <c r="I1068" s="363">
        <v>3</v>
      </c>
      <c r="J1068" s="64"/>
      <c r="K1068" s="64"/>
      <c r="L1068" s="64"/>
    </row>
    <row r="1069" spans="1:12" x14ac:dyDescent="0.25">
      <c r="A1069" s="71">
        <v>475960</v>
      </c>
      <c r="B1069" s="71">
        <v>2007</v>
      </c>
      <c r="C1069" s="71" t="s">
        <v>1113</v>
      </c>
      <c r="D1069" s="71" t="s">
        <v>476</v>
      </c>
      <c r="E1069" s="71" t="s">
        <v>475</v>
      </c>
      <c r="F1069" s="66" t="s">
        <v>307</v>
      </c>
      <c r="G1069" s="70" t="s">
        <v>467</v>
      </c>
      <c r="H1069" s="70" t="s">
        <v>971</v>
      </c>
      <c r="I1069" s="363">
        <v>3</v>
      </c>
      <c r="J1069" s="64"/>
      <c r="K1069" s="64"/>
      <c r="L1069" s="64"/>
    </row>
    <row r="1070" spans="1:12" x14ac:dyDescent="0.25">
      <c r="A1070" s="71">
        <v>475990</v>
      </c>
      <c r="B1070" s="71">
        <v>2007</v>
      </c>
      <c r="C1070" s="71" t="s">
        <v>1112</v>
      </c>
      <c r="D1070" s="71" t="s">
        <v>476</v>
      </c>
      <c r="E1070" s="71" t="s">
        <v>475</v>
      </c>
      <c r="F1070" s="66" t="s">
        <v>307</v>
      </c>
      <c r="G1070" s="70" t="s">
        <v>467</v>
      </c>
      <c r="H1070" s="70" t="s">
        <v>971</v>
      </c>
      <c r="I1070" s="363">
        <v>3</v>
      </c>
      <c r="J1070" s="64"/>
      <c r="K1070" s="64"/>
      <c r="L1070" s="64"/>
    </row>
    <row r="1071" spans="1:12" x14ac:dyDescent="0.25">
      <c r="A1071" s="71">
        <v>475991</v>
      </c>
      <c r="B1071" s="71">
        <v>2007</v>
      </c>
      <c r="C1071" s="71" t="s">
        <v>1111</v>
      </c>
      <c r="D1071" s="71" t="s">
        <v>476</v>
      </c>
      <c r="E1071" s="71" t="s">
        <v>475</v>
      </c>
      <c r="F1071" s="66" t="s">
        <v>307</v>
      </c>
      <c r="G1071" s="70" t="s">
        <v>467</v>
      </c>
      <c r="H1071" s="70" t="s">
        <v>971</v>
      </c>
      <c r="I1071" s="363">
        <v>3</v>
      </c>
      <c r="J1071" s="64"/>
      <c r="K1071" s="64"/>
      <c r="L1071" s="64"/>
    </row>
    <row r="1072" spans="1:12" x14ac:dyDescent="0.25">
      <c r="A1072" s="71">
        <v>475999</v>
      </c>
      <c r="B1072" s="71">
        <v>2007</v>
      </c>
      <c r="C1072" s="71" t="s">
        <v>1110</v>
      </c>
      <c r="D1072" s="71" t="s">
        <v>476</v>
      </c>
      <c r="E1072" s="71" t="s">
        <v>475</v>
      </c>
      <c r="F1072" s="66" t="s">
        <v>307</v>
      </c>
      <c r="G1072" s="70" t="s">
        <v>467</v>
      </c>
      <c r="H1072" s="70" t="s">
        <v>971</v>
      </c>
      <c r="I1072" s="363">
        <v>3</v>
      </c>
      <c r="J1072" s="64"/>
      <c r="K1072" s="64"/>
      <c r="L1072" s="64"/>
    </row>
    <row r="1073" spans="1:12" x14ac:dyDescent="0.25">
      <c r="A1073" s="71">
        <v>476000</v>
      </c>
      <c r="B1073" s="71">
        <v>2007</v>
      </c>
      <c r="C1073" s="71" t="s">
        <v>1109</v>
      </c>
      <c r="D1073" s="71" t="s">
        <v>476</v>
      </c>
      <c r="E1073" s="71" t="s">
        <v>475</v>
      </c>
      <c r="F1073" s="66" t="s">
        <v>307</v>
      </c>
      <c r="G1073" s="70" t="s">
        <v>467</v>
      </c>
      <c r="H1073" s="70" t="s">
        <v>971</v>
      </c>
      <c r="I1073" s="363">
        <v>3</v>
      </c>
      <c r="J1073" s="64"/>
      <c r="K1073" s="64"/>
      <c r="L1073" s="64"/>
    </row>
    <row r="1074" spans="1:12" x14ac:dyDescent="0.25">
      <c r="A1074" s="71">
        <v>476100</v>
      </c>
      <c r="B1074" s="71">
        <v>2007</v>
      </c>
      <c r="C1074" s="71" t="s">
        <v>1108</v>
      </c>
      <c r="D1074" s="71" t="s">
        <v>476</v>
      </c>
      <c r="E1074" s="71" t="s">
        <v>475</v>
      </c>
      <c r="F1074" s="66" t="s">
        <v>307</v>
      </c>
      <c r="G1074" s="70" t="s">
        <v>467</v>
      </c>
      <c r="H1074" s="70" t="s">
        <v>971</v>
      </c>
      <c r="I1074" s="363">
        <v>3</v>
      </c>
      <c r="J1074" s="64"/>
      <c r="K1074" s="64"/>
      <c r="L1074" s="64"/>
    </row>
    <row r="1075" spans="1:12" x14ac:dyDescent="0.25">
      <c r="A1075" s="71">
        <v>476200</v>
      </c>
      <c r="B1075" s="71">
        <v>2007</v>
      </c>
      <c r="C1075" s="71" t="s">
        <v>1107</v>
      </c>
      <c r="D1075" s="71" t="s">
        <v>476</v>
      </c>
      <c r="E1075" s="71" t="s">
        <v>475</v>
      </c>
      <c r="F1075" s="66" t="s">
        <v>307</v>
      </c>
      <c r="G1075" s="70" t="s">
        <v>467</v>
      </c>
      <c r="H1075" s="70" t="s">
        <v>971</v>
      </c>
      <c r="I1075" s="363">
        <v>3</v>
      </c>
      <c r="J1075" s="64"/>
      <c r="K1075" s="64"/>
      <c r="L1075" s="64"/>
    </row>
    <row r="1076" spans="1:12" x14ac:dyDescent="0.25">
      <c r="A1076" s="71">
        <v>476210</v>
      </c>
      <c r="B1076" s="71">
        <v>2007</v>
      </c>
      <c r="C1076" s="71" t="s">
        <v>1106</v>
      </c>
      <c r="D1076" s="71" t="s">
        <v>476</v>
      </c>
      <c r="E1076" s="71" t="s">
        <v>475</v>
      </c>
      <c r="F1076" s="66" t="s">
        <v>307</v>
      </c>
      <c r="G1076" s="70" t="s">
        <v>467</v>
      </c>
      <c r="H1076" s="70" t="s">
        <v>971</v>
      </c>
      <c r="I1076" s="363">
        <v>3</v>
      </c>
      <c r="J1076" s="64"/>
      <c r="K1076" s="64"/>
      <c r="L1076" s="64"/>
    </row>
    <row r="1077" spans="1:12" x14ac:dyDescent="0.25">
      <c r="A1077" s="71">
        <v>476220</v>
      </c>
      <c r="B1077" s="71">
        <v>2007</v>
      </c>
      <c r="C1077" s="71" t="s">
        <v>1105</v>
      </c>
      <c r="D1077" s="71" t="s">
        <v>476</v>
      </c>
      <c r="E1077" s="71" t="s">
        <v>475</v>
      </c>
      <c r="F1077" s="66" t="s">
        <v>307</v>
      </c>
      <c r="G1077" s="70" t="s">
        <v>467</v>
      </c>
      <c r="H1077" s="70" t="s">
        <v>971</v>
      </c>
      <c r="I1077" s="363">
        <v>3</v>
      </c>
      <c r="J1077" s="64"/>
      <c r="K1077" s="64"/>
      <c r="L1077" s="64"/>
    </row>
    <row r="1078" spans="1:12" x14ac:dyDescent="0.25">
      <c r="A1078" s="71">
        <v>476300</v>
      </c>
      <c r="B1078" s="71">
        <v>2007</v>
      </c>
      <c r="C1078" s="71" t="s">
        <v>1104</v>
      </c>
      <c r="D1078" s="71" t="s">
        <v>476</v>
      </c>
      <c r="E1078" s="71" t="s">
        <v>475</v>
      </c>
      <c r="F1078" s="66" t="s">
        <v>307</v>
      </c>
      <c r="G1078" s="70" t="s">
        <v>467</v>
      </c>
      <c r="H1078" s="70" t="s">
        <v>971</v>
      </c>
      <c r="I1078" s="363">
        <v>3</v>
      </c>
      <c r="J1078" s="64"/>
      <c r="K1078" s="64"/>
      <c r="L1078" s="64"/>
    </row>
    <row r="1079" spans="1:12" x14ac:dyDescent="0.25">
      <c r="A1079" s="71">
        <v>476400</v>
      </c>
      <c r="B1079" s="71">
        <v>2007</v>
      </c>
      <c r="C1079" s="71" t="s">
        <v>1103</v>
      </c>
      <c r="D1079" s="71" t="s">
        <v>476</v>
      </c>
      <c r="E1079" s="71" t="s">
        <v>475</v>
      </c>
      <c r="F1079" s="66" t="s">
        <v>307</v>
      </c>
      <c r="G1079" s="70" t="s">
        <v>467</v>
      </c>
      <c r="H1079" s="70" t="s">
        <v>971</v>
      </c>
      <c r="I1079" s="363">
        <v>3</v>
      </c>
      <c r="J1079" s="64"/>
      <c r="K1079" s="64"/>
      <c r="L1079" s="64"/>
    </row>
    <row r="1080" spans="1:12" x14ac:dyDescent="0.25">
      <c r="A1080" s="71">
        <v>476410</v>
      </c>
      <c r="B1080" s="71">
        <v>2007</v>
      </c>
      <c r="C1080" s="71" t="s">
        <v>1102</v>
      </c>
      <c r="D1080" s="71" t="s">
        <v>476</v>
      </c>
      <c r="E1080" s="71" t="s">
        <v>475</v>
      </c>
      <c r="F1080" s="66" t="s">
        <v>307</v>
      </c>
      <c r="G1080" s="70" t="s">
        <v>467</v>
      </c>
      <c r="H1080" s="70" t="s">
        <v>971</v>
      </c>
      <c r="I1080" s="363">
        <v>3</v>
      </c>
      <c r="J1080" s="64"/>
      <c r="K1080" s="64"/>
      <c r="L1080" s="64"/>
    </row>
    <row r="1081" spans="1:12" x14ac:dyDescent="0.25">
      <c r="A1081" s="71">
        <v>476420</v>
      </c>
      <c r="B1081" s="71">
        <v>2007</v>
      </c>
      <c r="C1081" s="71" t="s">
        <v>1101</v>
      </c>
      <c r="D1081" s="71" t="s">
        <v>476</v>
      </c>
      <c r="E1081" s="71" t="s">
        <v>475</v>
      </c>
      <c r="F1081" s="66" t="s">
        <v>307</v>
      </c>
      <c r="G1081" s="70" t="s">
        <v>467</v>
      </c>
      <c r="H1081" s="70" t="s">
        <v>971</v>
      </c>
      <c r="I1081" s="363">
        <v>3</v>
      </c>
      <c r="J1081" s="64"/>
      <c r="K1081" s="64"/>
      <c r="L1081" s="64"/>
    </row>
    <row r="1082" spans="1:12" x14ac:dyDescent="0.25">
      <c r="A1082" s="71">
        <v>476500</v>
      </c>
      <c r="B1082" s="71">
        <v>2007</v>
      </c>
      <c r="C1082" s="71" t="s">
        <v>1100</v>
      </c>
      <c r="D1082" s="71" t="s">
        <v>476</v>
      </c>
      <c r="E1082" s="71" t="s">
        <v>475</v>
      </c>
      <c r="F1082" s="66" t="s">
        <v>307</v>
      </c>
      <c r="G1082" s="70" t="s">
        <v>467</v>
      </c>
      <c r="H1082" s="70" t="s">
        <v>971</v>
      </c>
      <c r="I1082" s="363">
        <v>3</v>
      </c>
      <c r="J1082" s="64"/>
      <c r="K1082" s="64"/>
      <c r="L1082" s="64"/>
    </row>
    <row r="1083" spans="1:12" x14ac:dyDescent="0.25">
      <c r="A1083" s="71">
        <v>477000</v>
      </c>
      <c r="B1083" s="71">
        <v>2007</v>
      </c>
      <c r="C1083" s="71" t="s">
        <v>1099</v>
      </c>
      <c r="D1083" s="71" t="s">
        <v>476</v>
      </c>
      <c r="E1083" s="71" t="s">
        <v>1044</v>
      </c>
      <c r="F1083" s="66" t="s">
        <v>307</v>
      </c>
      <c r="G1083" s="70" t="s">
        <v>467</v>
      </c>
      <c r="H1083" s="70" t="s">
        <v>971</v>
      </c>
      <c r="I1083" s="363">
        <v>3</v>
      </c>
      <c r="J1083" s="64"/>
      <c r="K1083" s="64"/>
      <c r="L1083" s="64"/>
    </row>
    <row r="1084" spans="1:12" x14ac:dyDescent="0.25">
      <c r="A1084" s="71">
        <v>477100</v>
      </c>
      <c r="B1084" s="71">
        <v>2007</v>
      </c>
      <c r="C1084" s="71" t="s">
        <v>1098</v>
      </c>
      <c r="D1084" s="71" t="s">
        <v>476</v>
      </c>
      <c r="E1084" s="71" t="s">
        <v>475</v>
      </c>
      <c r="F1084" s="66" t="s">
        <v>307</v>
      </c>
      <c r="G1084" s="70" t="s">
        <v>467</v>
      </c>
      <c r="H1084" s="70" t="s">
        <v>971</v>
      </c>
      <c r="I1084" s="363">
        <v>3</v>
      </c>
      <c r="J1084" s="64"/>
      <c r="K1084" s="64"/>
      <c r="L1084" s="64"/>
    </row>
    <row r="1085" spans="1:12" x14ac:dyDescent="0.25">
      <c r="A1085" s="71">
        <v>477110</v>
      </c>
      <c r="B1085" s="71">
        <v>2007</v>
      </c>
      <c r="C1085" s="71" t="s">
        <v>1097</v>
      </c>
      <c r="D1085" s="71" t="s">
        <v>476</v>
      </c>
      <c r="E1085" s="71" t="s">
        <v>475</v>
      </c>
      <c r="F1085" s="66" t="s">
        <v>307</v>
      </c>
      <c r="G1085" s="70" t="s">
        <v>467</v>
      </c>
      <c r="H1085" s="70" t="s">
        <v>971</v>
      </c>
      <c r="I1085" s="363">
        <v>3</v>
      </c>
      <c r="J1085" s="64"/>
      <c r="K1085" s="64"/>
      <c r="L1085" s="64"/>
    </row>
    <row r="1086" spans="1:12" x14ac:dyDescent="0.25">
      <c r="A1086" s="71">
        <v>477120</v>
      </c>
      <c r="B1086" s="71">
        <v>2007</v>
      </c>
      <c r="C1086" s="71" t="s">
        <v>1096</v>
      </c>
      <c r="D1086" s="71" t="s">
        <v>476</v>
      </c>
      <c r="E1086" s="71" t="s">
        <v>475</v>
      </c>
      <c r="F1086" s="66" t="s">
        <v>307</v>
      </c>
      <c r="G1086" s="70" t="s">
        <v>467</v>
      </c>
      <c r="H1086" s="70" t="s">
        <v>971</v>
      </c>
      <c r="I1086" s="363">
        <v>3</v>
      </c>
      <c r="J1086" s="64"/>
      <c r="K1086" s="64"/>
      <c r="L1086" s="64"/>
    </row>
    <row r="1087" spans="1:12" x14ac:dyDescent="0.25">
      <c r="A1087" s="71">
        <v>477130</v>
      </c>
      <c r="B1087" s="71">
        <v>2007</v>
      </c>
      <c r="C1087" s="71" t="s">
        <v>1095</v>
      </c>
      <c r="D1087" s="71" t="s">
        <v>476</v>
      </c>
      <c r="E1087" s="71" t="s">
        <v>475</v>
      </c>
      <c r="F1087" s="66" t="s">
        <v>307</v>
      </c>
      <c r="G1087" s="70" t="s">
        <v>467</v>
      </c>
      <c r="H1087" s="70" t="s">
        <v>971</v>
      </c>
      <c r="I1087" s="363">
        <v>3</v>
      </c>
      <c r="J1087" s="64"/>
      <c r="K1087" s="64"/>
      <c r="L1087" s="64"/>
    </row>
    <row r="1088" spans="1:12" x14ac:dyDescent="0.25">
      <c r="A1088" s="71">
        <v>477140</v>
      </c>
      <c r="B1088" s="71">
        <v>2007</v>
      </c>
      <c r="C1088" s="71" t="s">
        <v>1094</v>
      </c>
      <c r="D1088" s="71" t="s">
        <v>476</v>
      </c>
      <c r="E1088" s="71" t="s">
        <v>475</v>
      </c>
      <c r="F1088" s="66" t="s">
        <v>307</v>
      </c>
      <c r="G1088" s="70" t="s">
        <v>467</v>
      </c>
      <c r="H1088" s="70" t="s">
        <v>971</v>
      </c>
      <c r="I1088" s="363">
        <v>3</v>
      </c>
      <c r="J1088" s="64"/>
      <c r="K1088" s="64"/>
      <c r="L1088" s="64"/>
    </row>
    <row r="1089" spans="1:12" x14ac:dyDescent="0.25">
      <c r="A1089" s="71">
        <v>477150</v>
      </c>
      <c r="B1089" s="71">
        <v>2007</v>
      </c>
      <c r="C1089" s="71" t="s">
        <v>1093</v>
      </c>
      <c r="D1089" s="71" t="s">
        <v>476</v>
      </c>
      <c r="E1089" s="71" t="s">
        <v>475</v>
      </c>
      <c r="F1089" s="66" t="s">
        <v>307</v>
      </c>
      <c r="G1089" s="70" t="s">
        <v>467</v>
      </c>
      <c r="H1089" s="70" t="s">
        <v>971</v>
      </c>
      <c r="I1089" s="363">
        <v>3</v>
      </c>
      <c r="J1089" s="64"/>
      <c r="K1089" s="64"/>
      <c r="L1089" s="64"/>
    </row>
    <row r="1090" spans="1:12" x14ac:dyDescent="0.25">
      <c r="A1090" s="71">
        <v>477200</v>
      </c>
      <c r="B1090" s="71">
        <v>2007</v>
      </c>
      <c r="C1090" s="71" t="s">
        <v>1092</v>
      </c>
      <c r="D1090" s="71" t="s">
        <v>476</v>
      </c>
      <c r="E1090" s="71" t="s">
        <v>475</v>
      </c>
      <c r="F1090" s="66" t="s">
        <v>307</v>
      </c>
      <c r="G1090" s="70" t="s">
        <v>467</v>
      </c>
      <c r="H1090" s="70" t="s">
        <v>971</v>
      </c>
      <c r="I1090" s="363">
        <v>3</v>
      </c>
      <c r="J1090" s="64"/>
      <c r="K1090" s="64"/>
      <c r="L1090" s="64"/>
    </row>
    <row r="1091" spans="1:12" x14ac:dyDescent="0.25">
      <c r="A1091" s="71">
        <v>477210</v>
      </c>
      <c r="B1091" s="71">
        <v>2007</v>
      </c>
      <c r="C1091" s="71" t="s">
        <v>1091</v>
      </c>
      <c r="D1091" s="71" t="s">
        <v>476</v>
      </c>
      <c r="E1091" s="71" t="s">
        <v>475</v>
      </c>
      <c r="F1091" s="66" t="s">
        <v>307</v>
      </c>
      <c r="G1091" s="70" t="s">
        <v>467</v>
      </c>
      <c r="H1091" s="70" t="s">
        <v>971</v>
      </c>
      <c r="I1091" s="363">
        <v>3</v>
      </c>
      <c r="J1091" s="64"/>
      <c r="K1091" s="64"/>
      <c r="L1091" s="64"/>
    </row>
    <row r="1092" spans="1:12" x14ac:dyDescent="0.25">
      <c r="A1092" s="71">
        <v>477220</v>
      </c>
      <c r="B1092" s="71">
        <v>2007</v>
      </c>
      <c r="C1092" s="71" t="s">
        <v>1090</v>
      </c>
      <c r="D1092" s="71" t="s">
        <v>476</v>
      </c>
      <c r="E1092" s="71" t="s">
        <v>475</v>
      </c>
      <c r="F1092" s="66" t="s">
        <v>307</v>
      </c>
      <c r="G1092" s="70" t="s">
        <v>467</v>
      </c>
      <c r="H1092" s="70" t="s">
        <v>971</v>
      </c>
      <c r="I1092" s="363">
        <v>3</v>
      </c>
      <c r="J1092" s="64"/>
      <c r="K1092" s="64"/>
      <c r="L1092" s="64"/>
    </row>
    <row r="1093" spans="1:12" x14ac:dyDescent="0.25">
      <c r="A1093" s="71">
        <v>477300</v>
      </c>
      <c r="B1093" s="71">
        <v>2007</v>
      </c>
      <c r="C1093" s="71" t="s">
        <v>1089</v>
      </c>
      <c r="D1093" s="71" t="s">
        <v>476</v>
      </c>
      <c r="E1093" s="71" t="s">
        <v>475</v>
      </c>
      <c r="F1093" s="66" t="s">
        <v>307</v>
      </c>
      <c r="G1093" s="70" t="s">
        <v>467</v>
      </c>
      <c r="H1093" s="70" t="s">
        <v>971</v>
      </c>
      <c r="I1093" s="363">
        <v>3</v>
      </c>
      <c r="J1093" s="64"/>
      <c r="K1093" s="64"/>
      <c r="L1093" s="64"/>
    </row>
    <row r="1094" spans="1:12" x14ac:dyDescent="0.25">
      <c r="A1094" s="71">
        <v>477310</v>
      </c>
      <c r="B1094" s="71">
        <v>2007</v>
      </c>
      <c r="C1094" s="71" t="s">
        <v>1088</v>
      </c>
      <c r="D1094" s="71" t="s">
        <v>476</v>
      </c>
      <c r="E1094" s="71" t="s">
        <v>475</v>
      </c>
      <c r="F1094" s="66" t="s">
        <v>307</v>
      </c>
      <c r="G1094" s="70" t="s">
        <v>467</v>
      </c>
      <c r="H1094" s="70" t="s">
        <v>971</v>
      </c>
      <c r="I1094" s="363">
        <v>3</v>
      </c>
      <c r="J1094" s="64"/>
      <c r="K1094" s="64"/>
      <c r="L1094" s="64"/>
    </row>
    <row r="1095" spans="1:12" x14ac:dyDescent="0.25">
      <c r="A1095" s="71">
        <v>477320</v>
      </c>
      <c r="B1095" s="71">
        <v>2007</v>
      </c>
      <c r="C1095" s="71" t="s">
        <v>1087</v>
      </c>
      <c r="D1095" s="71" t="s">
        <v>476</v>
      </c>
      <c r="E1095" s="71" t="s">
        <v>475</v>
      </c>
      <c r="F1095" s="66" t="s">
        <v>307</v>
      </c>
      <c r="G1095" s="70" t="s">
        <v>467</v>
      </c>
      <c r="H1095" s="70" t="s">
        <v>971</v>
      </c>
      <c r="I1095" s="363">
        <v>3</v>
      </c>
      <c r="J1095" s="64"/>
      <c r="K1095" s="64"/>
      <c r="L1095" s="64"/>
    </row>
    <row r="1096" spans="1:12" x14ac:dyDescent="0.25">
      <c r="A1096" s="71">
        <v>477400</v>
      </c>
      <c r="B1096" s="71">
        <v>2007</v>
      </c>
      <c r="C1096" s="71" t="s">
        <v>1086</v>
      </c>
      <c r="D1096" s="71" t="s">
        <v>476</v>
      </c>
      <c r="E1096" s="71" t="s">
        <v>475</v>
      </c>
      <c r="F1096" s="66" t="s">
        <v>307</v>
      </c>
      <c r="G1096" s="70" t="s">
        <v>467</v>
      </c>
      <c r="H1096" s="70" t="s">
        <v>971</v>
      </c>
      <c r="I1096" s="363">
        <v>3</v>
      </c>
      <c r="J1096" s="64"/>
      <c r="K1096" s="64"/>
      <c r="L1096" s="64"/>
    </row>
    <row r="1097" spans="1:12" x14ac:dyDescent="0.25">
      <c r="A1097" s="71">
        <v>477500</v>
      </c>
      <c r="B1097" s="71">
        <v>2007</v>
      </c>
      <c r="C1097" s="71" t="s">
        <v>1085</v>
      </c>
      <c r="D1097" s="71" t="s">
        <v>476</v>
      </c>
      <c r="E1097" s="71" t="s">
        <v>475</v>
      </c>
      <c r="F1097" s="66" t="s">
        <v>307</v>
      </c>
      <c r="G1097" s="70" t="s">
        <v>467</v>
      </c>
      <c r="H1097" s="70" t="s">
        <v>971</v>
      </c>
      <c r="I1097" s="363">
        <v>3</v>
      </c>
      <c r="J1097" s="64"/>
      <c r="K1097" s="64"/>
      <c r="L1097" s="64"/>
    </row>
    <row r="1098" spans="1:12" x14ac:dyDescent="0.25">
      <c r="A1098" s="71">
        <v>477510</v>
      </c>
      <c r="B1098" s="71">
        <v>2007</v>
      </c>
      <c r="C1098" s="71" t="s">
        <v>1084</v>
      </c>
      <c r="D1098" s="71" t="s">
        <v>476</v>
      </c>
      <c r="E1098" s="71" t="s">
        <v>475</v>
      </c>
      <c r="F1098" s="66" t="s">
        <v>307</v>
      </c>
      <c r="G1098" s="70" t="s">
        <v>467</v>
      </c>
      <c r="H1098" s="70" t="s">
        <v>971</v>
      </c>
      <c r="I1098" s="363">
        <v>3</v>
      </c>
      <c r="J1098" s="64"/>
      <c r="K1098" s="64"/>
      <c r="L1098" s="64"/>
    </row>
    <row r="1099" spans="1:12" x14ac:dyDescent="0.25">
      <c r="A1099" s="71">
        <v>477520</v>
      </c>
      <c r="B1099" s="71">
        <v>2007</v>
      </c>
      <c r="C1099" s="71" t="s">
        <v>1083</v>
      </c>
      <c r="D1099" s="71" t="s">
        <v>476</v>
      </c>
      <c r="E1099" s="71" t="s">
        <v>475</v>
      </c>
      <c r="F1099" s="66" t="s">
        <v>307</v>
      </c>
      <c r="G1099" s="70" t="s">
        <v>467</v>
      </c>
      <c r="H1099" s="70" t="s">
        <v>971</v>
      </c>
      <c r="I1099" s="363">
        <v>3</v>
      </c>
      <c r="J1099" s="64"/>
      <c r="K1099" s="64"/>
      <c r="L1099" s="64"/>
    </row>
    <row r="1100" spans="1:12" x14ac:dyDescent="0.25">
      <c r="A1100" s="71">
        <v>477600</v>
      </c>
      <c r="B1100" s="71">
        <v>2007</v>
      </c>
      <c r="C1100" s="71" t="s">
        <v>1082</v>
      </c>
      <c r="D1100" s="71" t="s">
        <v>476</v>
      </c>
      <c r="E1100" s="71" t="s">
        <v>468</v>
      </c>
      <c r="F1100" s="66" t="s">
        <v>307</v>
      </c>
      <c r="G1100" s="70" t="s">
        <v>467</v>
      </c>
      <c r="H1100" s="70" t="s">
        <v>971</v>
      </c>
      <c r="I1100" s="363">
        <v>3</v>
      </c>
      <c r="J1100" s="64"/>
      <c r="K1100" s="64"/>
      <c r="L1100" s="64"/>
    </row>
    <row r="1101" spans="1:12" x14ac:dyDescent="0.25">
      <c r="A1101" s="71">
        <v>477610</v>
      </c>
      <c r="B1101" s="71">
        <v>2007</v>
      </c>
      <c r="C1101" s="71" t="s">
        <v>1081</v>
      </c>
      <c r="D1101" s="71" t="s">
        <v>476</v>
      </c>
      <c r="E1101" s="71" t="s">
        <v>468</v>
      </c>
      <c r="F1101" s="66" t="s">
        <v>307</v>
      </c>
      <c r="G1101" s="70" t="s">
        <v>467</v>
      </c>
      <c r="H1101" s="70" t="s">
        <v>971</v>
      </c>
      <c r="I1101" s="363">
        <v>3</v>
      </c>
      <c r="J1101" s="64"/>
      <c r="K1101" s="64"/>
      <c r="L1101" s="64"/>
    </row>
    <row r="1102" spans="1:12" x14ac:dyDescent="0.25">
      <c r="A1102" s="71">
        <v>477620</v>
      </c>
      <c r="B1102" s="71">
        <v>2007</v>
      </c>
      <c r="C1102" s="71" t="s">
        <v>1080</v>
      </c>
      <c r="D1102" s="71" t="s">
        <v>476</v>
      </c>
      <c r="E1102" s="71" t="s">
        <v>468</v>
      </c>
      <c r="F1102" s="66" t="s">
        <v>307</v>
      </c>
      <c r="G1102" s="70" t="s">
        <v>467</v>
      </c>
      <c r="H1102" s="70" t="s">
        <v>971</v>
      </c>
      <c r="I1102" s="363">
        <v>3</v>
      </c>
      <c r="J1102" s="64"/>
      <c r="K1102" s="64"/>
      <c r="L1102" s="64"/>
    </row>
    <row r="1103" spans="1:12" x14ac:dyDescent="0.25">
      <c r="A1103" s="71">
        <v>477700</v>
      </c>
      <c r="B1103" s="71">
        <v>2007</v>
      </c>
      <c r="C1103" s="71" t="s">
        <v>1079</v>
      </c>
      <c r="D1103" s="71" t="s">
        <v>476</v>
      </c>
      <c r="E1103" s="71" t="s">
        <v>475</v>
      </c>
      <c r="F1103" s="66" t="s">
        <v>307</v>
      </c>
      <c r="G1103" s="70" t="s">
        <v>467</v>
      </c>
      <c r="H1103" s="70" t="s">
        <v>971</v>
      </c>
      <c r="I1103" s="363">
        <v>3</v>
      </c>
      <c r="J1103" s="64"/>
      <c r="K1103" s="64"/>
      <c r="L1103" s="64"/>
    </row>
    <row r="1104" spans="1:12" x14ac:dyDescent="0.25">
      <c r="A1104" s="71">
        <v>477800</v>
      </c>
      <c r="B1104" s="71">
        <v>2007</v>
      </c>
      <c r="C1104" s="71" t="s">
        <v>1078</v>
      </c>
      <c r="D1104" s="71" t="s">
        <v>476</v>
      </c>
      <c r="E1104" s="71" t="s">
        <v>475</v>
      </c>
      <c r="F1104" s="66" t="s">
        <v>307</v>
      </c>
      <c r="G1104" s="70" t="s">
        <v>467</v>
      </c>
      <c r="H1104" s="70" t="s">
        <v>971</v>
      </c>
      <c r="I1104" s="363">
        <v>3</v>
      </c>
      <c r="J1104" s="64"/>
      <c r="K1104" s="64"/>
      <c r="L1104" s="64"/>
    </row>
    <row r="1105" spans="1:12" x14ac:dyDescent="0.25">
      <c r="A1105" s="71">
        <v>477810</v>
      </c>
      <c r="B1105" s="71">
        <v>2007</v>
      </c>
      <c r="C1105" s="71" t="s">
        <v>1077</v>
      </c>
      <c r="D1105" s="71" t="s">
        <v>476</v>
      </c>
      <c r="E1105" s="71" t="s">
        <v>475</v>
      </c>
      <c r="F1105" s="66" t="s">
        <v>307</v>
      </c>
      <c r="G1105" s="70" t="s">
        <v>467</v>
      </c>
      <c r="H1105" s="70" t="s">
        <v>971</v>
      </c>
      <c r="I1105" s="363">
        <v>3</v>
      </c>
      <c r="J1105" s="64"/>
      <c r="K1105" s="64"/>
      <c r="L1105" s="64"/>
    </row>
    <row r="1106" spans="1:12" x14ac:dyDescent="0.25">
      <c r="A1106" s="71">
        <v>477820</v>
      </c>
      <c r="B1106" s="71">
        <v>2007</v>
      </c>
      <c r="C1106" s="71" t="s">
        <v>1076</v>
      </c>
      <c r="D1106" s="71" t="s">
        <v>476</v>
      </c>
      <c r="E1106" s="71" t="s">
        <v>475</v>
      </c>
      <c r="F1106" s="66" t="s">
        <v>307</v>
      </c>
      <c r="G1106" s="70" t="s">
        <v>467</v>
      </c>
      <c r="H1106" s="70" t="s">
        <v>971</v>
      </c>
      <c r="I1106" s="363">
        <v>3</v>
      </c>
      <c r="J1106" s="64"/>
      <c r="K1106" s="64"/>
      <c r="L1106" s="64"/>
    </row>
    <row r="1107" spans="1:12" x14ac:dyDescent="0.25">
      <c r="A1107" s="71">
        <v>477830</v>
      </c>
      <c r="B1107" s="71">
        <v>2007</v>
      </c>
      <c r="C1107" s="71" t="s">
        <v>1075</v>
      </c>
      <c r="D1107" s="71" t="s">
        <v>476</v>
      </c>
      <c r="E1107" s="71" t="s">
        <v>475</v>
      </c>
      <c r="F1107" s="66" t="s">
        <v>307</v>
      </c>
      <c r="G1107" s="70" t="s">
        <v>467</v>
      </c>
      <c r="H1107" s="70" t="s">
        <v>971</v>
      </c>
      <c r="I1107" s="363">
        <v>3</v>
      </c>
      <c r="J1107" s="64"/>
      <c r="K1107" s="64"/>
      <c r="L1107" s="64"/>
    </row>
    <row r="1108" spans="1:12" x14ac:dyDescent="0.25">
      <c r="A1108" s="71">
        <v>477831</v>
      </c>
      <c r="B1108" s="71">
        <v>2007</v>
      </c>
      <c r="C1108" s="71" t="s">
        <v>1074</v>
      </c>
      <c r="D1108" s="71" t="s">
        <v>476</v>
      </c>
      <c r="E1108" s="71" t="s">
        <v>475</v>
      </c>
      <c r="F1108" s="66" t="s">
        <v>307</v>
      </c>
      <c r="G1108" s="70" t="s">
        <v>467</v>
      </c>
      <c r="H1108" s="70" t="s">
        <v>971</v>
      </c>
      <c r="I1108" s="363">
        <v>3</v>
      </c>
      <c r="J1108" s="64"/>
      <c r="K1108" s="64"/>
      <c r="L1108" s="64"/>
    </row>
    <row r="1109" spans="1:12" x14ac:dyDescent="0.25">
      <c r="A1109" s="71">
        <v>477832</v>
      </c>
      <c r="B1109" s="71">
        <v>2007</v>
      </c>
      <c r="C1109" s="71" t="s">
        <v>1073</v>
      </c>
      <c r="D1109" s="71" t="s">
        <v>476</v>
      </c>
      <c r="E1109" s="71" t="s">
        <v>475</v>
      </c>
      <c r="F1109" s="66" t="s">
        <v>307</v>
      </c>
      <c r="G1109" s="70" t="s">
        <v>467</v>
      </c>
      <c r="H1109" s="70" t="s">
        <v>971</v>
      </c>
      <c r="I1109" s="363">
        <v>3</v>
      </c>
      <c r="J1109" s="64"/>
      <c r="K1109" s="64"/>
      <c r="L1109" s="64"/>
    </row>
    <row r="1110" spans="1:12" x14ac:dyDescent="0.25">
      <c r="A1110" s="71">
        <v>477833</v>
      </c>
      <c r="B1110" s="71">
        <v>2007</v>
      </c>
      <c r="C1110" s="71" t="s">
        <v>1072</v>
      </c>
      <c r="D1110" s="71" t="s">
        <v>476</v>
      </c>
      <c r="E1110" s="71" t="s">
        <v>475</v>
      </c>
      <c r="F1110" s="66" t="s">
        <v>307</v>
      </c>
      <c r="G1110" s="70" t="s">
        <v>467</v>
      </c>
      <c r="H1110" s="70" t="s">
        <v>971</v>
      </c>
      <c r="I1110" s="363">
        <v>3</v>
      </c>
      <c r="J1110" s="64"/>
      <c r="K1110" s="64"/>
      <c r="L1110" s="64"/>
    </row>
    <row r="1111" spans="1:12" x14ac:dyDescent="0.25">
      <c r="A1111" s="71">
        <v>477834</v>
      </c>
      <c r="B1111" s="71">
        <v>2007</v>
      </c>
      <c r="C1111" s="71" t="s">
        <v>1071</v>
      </c>
      <c r="D1111" s="71" t="s">
        <v>476</v>
      </c>
      <c r="E1111" s="71" t="s">
        <v>475</v>
      </c>
      <c r="F1111" s="66" t="s">
        <v>307</v>
      </c>
      <c r="G1111" s="70" t="s">
        <v>467</v>
      </c>
      <c r="H1111" s="70" t="s">
        <v>971</v>
      </c>
      <c r="I1111" s="363">
        <v>3</v>
      </c>
      <c r="J1111" s="64"/>
      <c r="K1111" s="64"/>
      <c r="L1111" s="64"/>
    </row>
    <row r="1112" spans="1:12" x14ac:dyDescent="0.25">
      <c r="A1112" s="71">
        <v>477835</v>
      </c>
      <c r="B1112" s="71">
        <v>2007</v>
      </c>
      <c r="C1112" s="71" t="s">
        <v>1070</v>
      </c>
      <c r="D1112" s="71" t="s">
        <v>476</v>
      </c>
      <c r="E1112" s="71" t="s">
        <v>475</v>
      </c>
      <c r="F1112" s="66" t="s">
        <v>307</v>
      </c>
      <c r="G1112" s="70" t="s">
        <v>467</v>
      </c>
      <c r="H1112" s="70" t="s">
        <v>971</v>
      </c>
      <c r="I1112" s="363">
        <v>3</v>
      </c>
      <c r="J1112" s="64"/>
      <c r="K1112" s="64"/>
      <c r="L1112" s="64"/>
    </row>
    <row r="1113" spans="1:12" x14ac:dyDescent="0.25">
      <c r="A1113" s="71">
        <v>477836</v>
      </c>
      <c r="B1113" s="71">
        <v>2007</v>
      </c>
      <c r="C1113" s="71" t="s">
        <v>1069</v>
      </c>
      <c r="D1113" s="71" t="s">
        <v>476</v>
      </c>
      <c r="E1113" s="71" t="s">
        <v>475</v>
      </c>
      <c r="F1113" s="66" t="s">
        <v>307</v>
      </c>
      <c r="G1113" s="70" t="s">
        <v>467</v>
      </c>
      <c r="H1113" s="70" t="s">
        <v>971</v>
      </c>
      <c r="I1113" s="363">
        <v>3</v>
      </c>
      <c r="J1113" s="64"/>
      <c r="K1113" s="64"/>
      <c r="L1113" s="64"/>
    </row>
    <row r="1114" spans="1:12" x14ac:dyDescent="0.25">
      <c r="A1114" s="71">
        <v>477837</v>
      </c>
      <c r="B1114" s="71">
        <v>2007</v>
      </c>
      <c r="C1114" s="71" t="s">
        <v>1068</v>
      </c>
      <c r="D1114" s="71" t="s">
        <v>476</v>
      </c>
      <c r="E1114" s="71" t="s">
        <v>475</v>
      </c>
      <c r="F1114" s="66" t="s">
        <v>307</v>
      </c>
      <c r="G1114" s="70" t="s">
        <v>467</v>
      </c>
      <c r="H1114" s="70" t="s">
        <v>971</v>
      </c>
      <c r="I1114" s="363">
        <v>3</v>
      </c>
      <c r="J1114" s="64"/>
      <c r="K1114" s="64"/>
      <c r="L1114" s="64"/>
    </row>
    <row r="1115" spans="1:12" x14ac:dyDescent="0.25">
      <c r="A1115" s="71">
        <v>477840</v>
      </c>
      <c r="B1115" s="71">
        <v>2007</v>
      </c>
      <c r="C1115" s="71" t="s">
        <v>1067</v>
      </c>
      <c r="D1115" s="71" t="s">
        <v>476</v>
      </c>
      <c r="E1115" s="71" t="s">
        <v>475</v>
      </c>
      <c r="F1115" s="66" t="s">
        <v>307</v>
      </c>
      <c r="G1115" s="70" t="s">
        <v>467</v>
      </c>
      <c r="H1115" s="70" t="s">
        <v>971</v>
      </c>
      <c r="I1115" s="363">
        <v>3</v>
      </c>
      <c r="J1115" s="64"/>
      <c r="K1115" s="64"/>
      <c r="L1115" s="64"/>
    </row>
    <row r="1116" spans="1:12" x14ac:dyDescent="0.25">
      <c r="A1116" s="71">
        <v>477850</v>
      </c>
      <c r="B1116" s="71">
        <v>2007</v>
      </c>
      <c r="C1116" s="71" t="s">
        <v>1066</v>
      </c>
      <c r="D1116" s="71" t="s">
        <v>476</v>
      </c>
      <c r="E1116" s="71" t="s">
        <v>475</v>
      </c>
      <c r="F1116" s="66" t="s">
        <v>307</v>
      </c>
      <c r="G1116" s="70" t="s">
        <v>467</v>
      </c>
      <c r="H1116" s="70" t="s">
        <v>971</v>
      </c>
      <c r="I1116" s="363">
        <v>3</v>
      </c>
      <c r="J1116" s="64"/>
      <c r="K1116" s="64"/>
      <c r="L1116" s="64"/>
    </row>
    <row r="1117" spans="1:12" x14ac:dyDescent="0.25">
      <c r="A1117" s="71">
        <v>477860</v>
      </c>
      <c r="B1117" s="71">
        <v>2007</v>
      </c>
      <c r="C1117" s="71" t="s">
        <v>1065</v>
      </c>
      <c r="D1117" s="71" t="s">
        <v>476</v>
      </c>
      <c r="E1117" s="71" t="s">
        <v>475</v>
      </c>
      <c r="F1117" s="66" t="s">
        <v>307</v>
      </c>
      <c r="G1117" s="70" t="s">
        <v>467</v>
      </c>
      <c r="H1117" s="70" t="s">
        <v>971</v>
      </c>
      <c r="I1117" s="363">
        <v>3</v>
      </c>
      <c r="J1117" s="64"/>
      <c r="K1117" s="64"/>
      <c r="L1117" s="64"/>
    </row>
    <row r="1118" spans="1:12" x14ac:dyDescent="0.25">
      <c r="A1118" s="71">
        <v>477890</v>
      </c>
      <c r="B1118" s="71">
        <v>2007</v>
      </c>
      <c r="C1118" s="71" t="s">
        <v>1060</v>
      </c>
      <c r="D1118" s="71" t="s">
        <v>476</v>
      </c>
      <c r="E1118" s="71" t="s">
        <v>475</v>
      </c>
      <c r="F1118" s="66" t="s">
        <v>307</v>
      </c>
      <c r="G1118" s="70" t="s">
        <v>467</v>
      </c>
      <c r="H1118" s="70" t="s">
        <v>971</v>
      </c>
      <c r="I1118" s="363">
        <v>3</v>
      </c>
      <c r="J1118" s="64"/>
      <c r="K1118" s="64"/>
      <c r="L1118" s="64"/>
    </row>
    <row r="1119" spans="1:12" x14ac:dyDescent="0.25">
      <c r="A1119" s="71">
        <v>477891</v>
      </c>
      <c r="B1119" s="71">
        <v>2007</v>
      </c>
      <c r="C1119" s="71" t="s">
        <v>1064</v>
      </c>
      <c r="D1119" s="71" t="s">
        <v>476</v>
      </c>
      <c r="E1119" s="71" t="s">
        <v>475</v>
      </c>
      <c r="F1119" s="66" t="s">
        <v>307</v>
      </c>
      <c r="G1119" s="70" t="s">
        <v>467</v>
      </c>
      <c r="H1119" s="70" t="s">
        <v>971</v>
      </c>
      <c r="I1119" s="363">
        <v>3</v>
      </c>
      <c r="J1119" s="64"/>
      <c r="K1119" s="64"/>
      <c r="L1119" s="64"/>
    </row>
    <row r="1120" spans="1:12" x14ac:dyDescent="0.25">
      <c r="A1120" s="71">
        <v>477892</v>
      </c>
      <c r="B1120" s="71">
        <v>2007</v>
      </c>
      <c r="C1120" s="71" t="s">
        <v>1063</v>
      </c>
      <c r="D1120" s="71" t="s">
        <v>476</v>
      </c>
      <c r="E1120" s="71" t="s">
        <v>475</v>
      </c>
      <c r="F1120" s="66" t="s">
        <v>307</v>
      </c>
      <c r="G1120" s="70" t="s">
        <v>467</v>
      </c>
      <c r="H1120" s="70" t="s">
        <v>971</v>
      </c>
      <c r="I1120" s="363">
        <v>3</v>
      </c>
      <c r="J1120" s="64"/>
      <c r="K1120" s="64"/>
      <c r="L1120" s="64"/>
    </row>
    <row r="1121" spans="1:12" x14ac:dyDescent="0.25">
      <c r="A1121" s="71">
        <v>477893</v>
      </c>
      <c r="B1121" s="71">
        <v>2007</v>
      </c>
      <c r="C1121" s="71" t="s">
        <v>1062</v>
      </c>
      <c r="D1121" s="71" t="s">
        <v>476</v>
      </c>
      <c r="E1121" s="71" t="s">
        <v>475</v>
      </c>
      <c r="F1121" s="66" t="s">
        <v>307</v>
      </c>
      <c r="G1121" s="70" t="s">
        <v>467</v>
      </c>
      <c r="H1121" s="70" t="s">
        <v>971</v>
      </c>
      <c r="I1121" s="363">
        <v>3</v>
      </c>
      <c r="J1121" s="64"/>
      <c r="K1121" s="64"/>
      <c r="L1121" s="64"/>
    </row>
    <row r="1122" spans="1:12" x14ac:dyDescent="0.25">
      <c r="A1122" s="71">
        <v>477894</v>
      </c>
      <c r="B1122" s="71">
        <v>2007</v>
      </c>
      <c r="C1122" s="71" t="s">
        <v>1061</v>
      </c>
      <c r="D1122" s="71" t="s">
        <v>476</v>
      </c>
      <c r="E1122" s="71" t="s">
        <v>475</v>
      </c>
      <c r="F1122" s="66" t="s">
        <v>307</v>
      </c>
      <c r="G1122" s="70" t="s">
        <v>467</v>
      </c>
      <c r="H1122" s="70" t="s">
        <v>971</v>
      </c>
      <c r="I1122" s="363">
        <v>3</v>
      </c>
      <c r="J1122" s="64"/>
      <c r="K1122" s="64"/>
      <c r="L1122" s="64"/>
    </row>
    <row r="1123" spans="1:12" x14ac:dyDescent="0.25">
      <c r="A1123" s="71">
        <v>477899</v>
      </c>
      <c r="B1123" s="71">
        <v>2007</v>
      </c>
      <c r="C1123" s="71" t="s">
        <v>1060</v>
      </c>
      <c r="D1123" s="71" t="s">
        <v>476</v>
      </c>
      <c r="E1123" s="71" t="s">
        <v>475</v>
      </c>
      <c r="F1123" s="66" t="s">
        <v>307</v>
      </c>
      <c r="G1123" s="70" t="s">
        <v>467</v>
      </c>
      <c r="H1123" s="70" t="s">
        <v>971</v>
      </c>
      <c r="I1123" s="363">
        <v>3</v>
      </c>
      <c r="J1123" s="64"/>
      <c r="K1123" s="64"/>
      <c r="L1123" s="64"/>
    </row>
    <row r="1124" spans="1:12" x14ac:dyDescent="0.25">
      <c r="A1124" s="71">
        <v>477900</v>
      </c>
      <c r="B1124" s="71">
        <v>2007</v>
      </c>
      <c r="C1124" s="71" t="s">
        <v>1059</v>
      </c>
      <c r="D1124" s="71" t="s">
        <v>476</v>
      </c>
      <c r="E1124" s="71" t="s">
        <v>475</v>
      </c>
      <c r="F1124" s="66" t="s">
        <v>307</v>
      </c>
      <c r="G1124" s="70" t="s">
        <v>467</v>
      </c>
      <c r="H1124" s="70" t="s">
        <v>971</v>
      </c>
      <c r="I1124" s="363">
        <v>3</v>
      </c>
      <c r="J1124" s="64"/>
      <c r="K1124" s="64"/>
      <c r="L1124" s="64"/>
    </row>
    <row r="1125" spans="1:12" x14ac:dyDescent="0.25">
      <c r="A1125" s="71">
        <v>477910</v>
      </c>
      <c r="B1125" s="71">
        <v>2007</v>
      </c>
      <c r="C1125" s="71" t="s">
        <v>1058</v>
      </c>
      <c r="D1125" s="71" t="s">
        <v>476</v>
      </c>
      <c r="E1125" s="71" t="s">
        <v>475</v>
      </c>
      <c r="F1125" s="66" t="s">
        <v>307</v>
      </c>
      <c r="G1125" s="70" t="s">
        <v>467</v>
      </c>
      <c r="H1125" s="70" t="s">
        <v>971</v>
      </c>
      <c r="I1125" s="363">
        <v>3</v>
      </c>
      <c r="J1125" s="64"/>
      <c r="K1125" s="64"/>
      <c r="L1125" s="64"/>
    </row>
    <row r="1126" spans="1:12" x14ac:dyDescent="0.25">
      <c r="A1126" s="71">
        <v>477920</v>
      </c>
      <c r="B1126" s="71">
        <v>2007</v>
      </c>
      <c r="C1126" s="71" t="s">
        <v>1057</v>
      </c>
      <c r="D1126" s="71" t="s">
        <v>476</v>
      </c>
      <c r="E1126" s="71" t="s">
        <v>475</v>
      </c>
      <c r="F1126" s="66" t="s">
        <v>307</v>
      </c>
      <c r="G1126" s="70" t="s">
        <v>467</v>
      </c>
      <c r="H1126" s="70" t="s">
        <v>971</v>
      </c>
      <c r="I1126" s="363">
        <v>3</v>
      </c>
      <c r="J1126" s="64"/>
      <c r="K1126" s="64"/>
      <c r="L1126" s="64"/>
    </row>
    <row r="1127" spans="1:12" x14ac:dyDescent="0.25">
      <c r="A1127" s="71">
        <v>477930</v>
      </c>
      <c r="B1127" s="71">
        <v>2007</v>
      </c>
      <c r="C1127" s="71" t="s">
        <v>1056</v>
      </c>
      <c r="D1127" s="71" t="s">
        <v>476</v>
      </c>
      <c r="E1127" s="71" t="s">
        <v>475</v>
      </c>
      <c r="F1127" s="66" t="s">
        <v>307</v>
      </c>
      <c r="G1127" s="70" t="s">
        <v>467</v>
      </c>
      <c r="H1127" s="70" t="s">
        <v>971</v>
      </c>
      <c r="I1127" s="363">
        <v>3</v>
      </c>
      <c r="J1127" s="64"/>
      <c r="K1127" s="64"/>
      <c r="L1127" s="64"/>
    </row>
    <row r="1128" spans="1:12" x14ac:dyDescent="0.25">
      <c r="A1128" s="71">
        <v>477940</v>
      </c>
      <c r="B1128" s="71">
        <v>2007</v>
      </c>
      <c r="C1128" s="71" t="s">
        <v>1055</v>
      </c>
      <c r="D1128" s="71" t="s">
        <v>476</v>
      </c>
      <c r="E1128" s="71" t="s">
        <v>475</v>
      </c>
      <c r="F1128" s="66" t="s">
        <v>307</v>
      </c>
      <c r="G1128" s="70" t="s">
        <v>467</v>
      </c>
      <c r="H1128" s="70" t="s">
        <v>971</v>
      </c>
      <c r="I1128" s="363">
        <v>3</v>
      </c>
      <c r="J1128" s="64"/>
      <c r="K1128" s="64"/>
      <c r="L1128" s="64"/>
    </row>
    <row r="1129" spans="1:12" x14ac:dyDescent="0.25">
      <c r="A1129" s="71">
        <v>478000</v>
      </c>
      <c r="B1129" s="71">
        <v>2007</v>
      </c>
      <c r="C1129" s="71" t="s">
        <v>1054</v>
      </c>
      <c r="D1129" s="71" t="s">
        <v>476</v>
      </c>
      <c r="E1129" s="71" t="s">
        <v>1044</v>
      </c>
      <c r="F1129" s="66" t="s">
        <v>307</v>
      </c>
      <c r="G1129" s="70" t="s">
        <v>467</v>
      </c>
      <c r="H1129" s="70" t="s">
        <v>971</v>
      </c>
      <c r="I1129" s="363">
        <v>3</v>
      </c>
      <c r="J1129" s="64"/>
      <c r="K1129" s="64"/>
      <c r="L1129" s="64"/>
    </row>
    <row r="1130" spans="1:12" x14ac:dyDescent="0.25">
      <c r="A1130" s="71">
        <v>478100</v>
      </c>
      <c r="B1130" s="71">
        <v>2007</v>
      </c>
      <c r="C1130" s="71" t="s">
        <v>1053</v>
      </c>
      <c r="D1130" s="71" t="s">
        <v>476</v>
      </c>
      <c r="E1130" s="71" t="s">
        <v>1044</v>
      </c>
      <c r="F1130" s="66" t="s">
        <v>307</v>
      </c>
      <c r="G1130" s="70" t="s">
        <v>467</v>
      </c>
      <c r="H1130" s="70" t="s">
        <v>971</v>
      </c>
      <c r="I1130" s="363">
        <v>3</v>
      </c>
      <c r="J1130" s="64"/>
      <c r="K1130" s="64"/>
      <c r="L1130" s="64"/>
    </row>
    <row r="1131" spans="1:12" x14ac:dyDescent="0.25">
      <c r="A1131" s="71">
        <v>478101</v>
      </c>
      <c r="B1131" s="71">
        <v>2007</v>
      </c>
      <c r="C1131" s="71" t="s">
        <v>1052</v>
      </c>
      <c r="D1131" s="71" t="s">
        <v>476</v>
      </c>
      <c r="E1131" s="71" t="s">
        <v>468</v>
      </c>
      <c r="F1131" s="66" t="s">
        <v>307</v>
      </c>
      <c r="G1131" s="70" t="s">
        <v>467</v>
      </c>
      <c r="H1131" s="70" t="s">
        <v>971</v>
      </c>
      <c r="I1131" s="363">
        <v>3</v>
      </c>
      <c r="J1131" s="64"/>
      <c r="K1131" s="64"/>
      <c r="L1131" s="64"/>
    </row>
    <row r="1132" spans="1:12" x14ac:dyDescent="0.25">
      <c r="A1132" s="71">
        <v>478102</v>
      </c>
      <c r="B1132" s="71">
        <v>2007</v>
      </c>
      <c r="C1132" s="71" t="s">
        <v>1051</v>
      </c>
      <c r="D1132" s="71" t="s">
        <v>476</v>
      </c>
      <c r="E1132" s="71" t="s">
        <v>468</v>
      </c>
      <c r="F1132" s="65" t="s">
        <v>151</v>
      </c>
      <c r="G1132" s="70" t="s">
        <v>467</v>
      </c>
      <c r="H1132" s="70" t="s">
        <v>971</v>
      </c>
      <c r="I1132" s="363">
        <v>3</v>
      </c>
      <c r="J1132" s="64"/>
      <c r="K1132" s="64"/>
      <c r="L1132" s="64"/>
    </row>
    <row r="1133" spans="1:12" x14ac:dyDescent="0.25">
      <c r="A1133" s="71">
        <v>478103</v>
      </c>
      <c r="B1133" s="71">
        <v>2007</v>
      </c>
      <c r="C1133" s="71" t="s">
        <v>1050</v>
      </c>
      <c r="D1133" s="71" t="s">
        <v>476</v>
      </c>
      <c r="E1133" s="71" t="s">
        <v>468</v>
      </c>
      <c r="F1133" s="66" t="s">
        <v>307</v>
      </c>
      <c r="G1133" s="70" t="s">
        <v>467</v>
      </c>
      <c r="H1133" s="70" t="s">
        <v>971</v>
      </c>
      <c r="I1133" s="363">
        <v>3</v>
      </c>
      <c r="J1133" s="64"/>
      <c r="K1133" s="64"/>
      <c r="L1133" s="64"/>
    </row>
    <row r="1134" spans="1:12" x14ac:dyDescent="0.25">
      <c r="A1134" s="71">
        <v>478109</v>
      </c>
      <c r="B1134" s="71">
        <v>2007</v>
      </c>
      <c r="C1134" s="71" t="s">
        <v>1049</v>
      </c>
      <c r="D1134" s="71" t="s">
        <v>476</v>
      </c>
      <c r="E1134" s="71" t="s">
        <v>475</v>
      </c>
      <c r="F1134" s="66" t="s">
        <v>307</v>
      </c>
      <c r="G1134" s="70" t="s">
        <v>467</v>
      </c>
      <c r="H1134" s="70" t="s">
        <v>971</v>
      </c>
      <c r="I1134" s="363">
        <v>3</v>
      </c>
      <c r="J1134" s="64"/>
      <c r="K1134" s="64"/>
      <c r="L1134" s="64"/>
    </row>
    <row r="1135" spans="1:12" x14ac:dyDescent="0.25">
      <c r="A1135" s="71">
        <v>478200</v>
      </c>
      <c r="B1135" s="71">
        <v>2007</v>
      </c>
      <c r="C1135" s="71" t="s">
        <v>1048</v>
      </c>
      <c r="D1135" s="71" t="s">
        <v>476</v>
      </c>
      <c r="E1135" s="71" t="s">
        <v>475</v>
      </c>
      <c r="F1135" s="66" t="s">
        <v>307</v>
      </c>
      <c r="G1135" s="70" t="s">
        <v>467</v>
      </c>
      <c r="H1135" s="70" t="s">
        <v>971</v>
      </c>
      <c r="I1135" s="363">
        <v>3</v>
      </c>
      <c r="J1135" s="64"/>
      <c r="K1135" s="64"/>
      <c r="L1135" s="64"/>
    </row>
    <row r="1136" spans="1:12" x14ac:dyDescent="0.25">
      <c r="A1136" s="71">
        <v>478201</v>
      </c>
      <c r="B1136" s="71">
        <v>2007</v>
      </c>
      <c r="C1136" s="71" t="s">
        <v>1047</v>
      </c>
      <c r="D1136" s="71" t="s">
        <v>476</v>
      </c>
      <c r="E1136" s="71" t="s">
        <v>475</v>
      </c>
      <c r="F1136" s="66" t="s">
        <v>307</v>
      </c>
      <c r="G1136" s="70" t="s">
        <v>467</v>
      </c>
      <c r="H1136" s="70" t="s">
        <v>971</v>
      </c>
      <c r="I1136" s="363">
        <v>3</v>
      </c>
      <c r="J1136" s="64"/>
      <c r="K1136" s="64"/>
      <c r="L1136" s="64"/>
    </row>
    <row r="1137" spans="1:12" x14ac:dyDescent="0.25">
      <c r="A1137" s="71">
        <v>478202</v>
      </c>
      <c r="B1137" s="71">
        <v>2007</v>
      </c>
      <c r="C1137" s="71" t="s">
        <v>1046</v>
      </c>
      <c r="D1137" s="71" t="s">
        <v>476</v>
      </c>
      <c r="E1137" s="71" t="s">
        <v>475</v>
      </c>
      <c r="F1137" s="66" t="s">
        <v>307</v>
      </c>
      <c r="G1137" s="70" t="s">
        <v>467</v>
      </c>
      <c r="H1137" s="70" t="s">
        <v>971</v>
      </c>
      <c r="I1137" s="363">
        <v>3</v>
      </c>
      <c r="J1137" s="64"/>
      <c r="K1137" s="64"/>
      <c r="L1137" s="64"/>
    </row>
    <row r="1138" spans="1:12" x14ac:dyDescent="0.25">
      <c r="A1138" s="71">
        <v>478900</v>
      </c>
      <c r="B1138" s="71">
        <v>2007</v>
      </c>
      <c r="C1138" s="71" t="s">
        <v>1045</v>
      </c>
      <c r="D1138" s="71" t="s">
        <v>476</v>
      </c>
      <c r="E1138" s="71" t="s">
        <v>1044</v>
      </c>
      <c r="F1138" s="66" t="s">
        <v>307</v>
      </c>
      <c r="G1138" s="70" t="s">
        <v>467</v>
      </c>
      <c r="H1138" s="70" t="s">
        <v>971</v>
      </c>
      <c r="I1138" s="363">
        <v>3</v>
      </c>
      <c r="J1138" s="64"/>
      <c r="K1138" s="64"/>
      <c r="L1138" s="64"/>
    </row>
    <row r="1139" spans="1:12" x14ac:dyDescent="0.25">
      <c r="A1139" s="71">
        <v>478901</v>
      </c>
      <c r="B1139" s="71">
        <v>2007</v>
      </c>
      <c r="C1139" s="71" t="s">
        <v>1043</v>
      </c>
      <c r="D1139" s="71" t="s">
        <v>476</v>
      </c>
      <c r="E1139" s="71" t="s">
        <v>468</v>
      </c>
      <c r="F1139" s="66" t="s">
        <v>307</v>
      </c>
      <c r="G1139" s="70" t="s">
        <v>467</v>
      </c>
      <c r="H1139" s="70" t="s">
        <v>971</v>
      </c>
      <c r="I1139" s="363">
        <v>3</v>
      </c>
      <c r="J1139" s="64"/>
      <c r="K1139" s="64"/>
      <c r="L1139" s="64"/>
    </row>
    <row r="1140" spans="1:12" x14ac:dyDescent="0.25">
      <c r="A1140" s="71">
        <v>478902</v>
      </c>
      <c r="B1140" s="71">
        <v>2007</v>
      </c>
      <c r="C1140" s="71" t="s">
        <v>1042</v>
      </c>
      <c r="D1140" s="71" t="s">
        <v>476</v>
      </c>
      <c r="E1140" s="71" t="s">
        <v>475</v>
      </c>
      <c r="F1140" s="66" t="s">
        <v>307</v>
      </c>
      <c r="G1140" s="70" t="s">
        <v>467</v>
      </c>
      <c r="H1140" s="70" t="s">
        <v>971</v>
      </c>
      <c r="I1140" s="363">
        <v>3</v>
      </c>
      <c r="J1140" s="64"/>
      <c r="K1140" s="64"/>
      <c r="L1140" s="64"/>
    </row>
    <row r="1141" spans="1:12" x14ac:dyDescent="0.25">
      <c r="A1141" s="71">
        <v>478903</v>
      </c>
      <c r="B1141" s="71">
        <v>2007</v>
      </c>
      <c r="C1141" s="71" t="s">
        <v>1041</v>
      </c>
      <c r="D1141" s="71" t="s">
        <v>476</v>
      </c>
      <c r="E1141" s="71" t="s">
        <v>475</v>
      </c>
      <c r="F1141" s="66" t="s">
        <v>307</v>
      </c>
      <c r="G1141" s="70" t="s">
        <v>467</v>
      </c>
      <c r="H1141" s="70" t="s">
        <v>971</v>
      </c>
      <c r="I1141" s="363">
        <v>3</v>
      </c>
      <c r="J1141" s="64"/>
      <c r="K1141" s="64"/>
      <c r="L1141" s="64"/>
    </row>
    <row r="1142" spans="1:12" x14ac:dyDescent="0.25">
      <c r="A1142" s="71">
        <v>478904</v>
      </c>
      <c r="B1142" s="71">
        <v>2007</v>
      </c>
      <c r="C1142" s="71" t="s">
        <v>1040</v>
      </c>
      <c r="D1142" s="71" t="s">
        <v>476</v>
      </c>
      <c r="E1142" s="71" t="s">
        <v>475</v>
      </c>
      <c r="F1142" s="66" t="s">
        <v>307</v>
      </c>
      <c r="G1142" s="70" t="s">
        <v>467</v>
      </c>
      <c r="H1142" s="70" t="s">
        <v>971</v>
      </c>
      <c r="I1142" s="363">
        <v>3</v>
      </c>
      <c r="J1142" s="64"/>
      <c r="K1142" s="64"/>
      <c r="L1142" s="64"/>
    </row>
    <row r="1143" spans="1:12" x14ac:dyDescent="0.25">
      <c r="A1143" s="71">
        <v>478905</v>
      </c>
      <c r="B1143" s="71">
        <v>2007</v>
      </c>
      <c r="C1143" s="71" t="s">
        <v>1039</v>
      </c>
      <c r="D1143" s="71" t="s">
        <v>476</v>
      </c>
      <c r="E1143" s="71" t="s">
        <v>475</v>
      </c>
      <c r="F1143" s="66" t="s">
        <v>307</v>
      </c>
      <c r="G1143" s="70" t="s">
        <v>467</v>
      </c>
      <c r="H1143" s="70" t="s">
        <v>971</v>
      </c>
      <c r="I1143" s="363">
        <v>3</v>
      </c>
      <c r="J1143" s="64"/>
      <c r="K1143" s="64"/>
      <c r="L1143" s="64"/>
    </row>
    <row r="1144" spans="1:12" x14ac:dyDescent="0.25">
      <c r="A1144" s="71">
        <v>478909</v>
      </c>
      <c r="B1144" s="71">
        <v>2007</v>
      </c>
      <c r="C1144" s="71" t="s">
        <v>1038</v>
      </c>
      <c r="D1144" s="71" t="s">
        <v>476</v>
      </c>
      <c r="E1144" s="71" t="s">
        <v>475</v>
      </c>
      <c r="F1144" s="66" t="s">
        <v>307</v>
      </c>
      <c r="G1144" s="70" t="s">
        <v>467</v>
      </c>
      <c r="H1144" s="70" t="s">
        <v>971</v>
      </c>
      <c r="I1144" s="363">
        <v>3</v>
      </c>
      <c r="J1144" s="64"/>
      <c r="K1144" s="64"/>
      <c r="L1144" s="64"/>
    </row>
    <row r="1145" spans="1:12" x14ac:dyDescent="0.25">
      <c r="A1145" s="71">
        <v>479000</v>
      </c>
      <c r="B1145" s="71">
        <v>2007</v>
      </c>
      <c r="C1145" s="71" t="s">
        <v>1037</v>
      </c>
      <c r="D1145" s="71" t="s">
        <v>476</v>
      </c>
      <c r="E1145" s="71" t="s">
        <v>475</v>
      </c>
      <c r="F1145" s="66" t="s">
        <v>307</v>
      </c>
      <c r="G1145" s="70" t="s">
        <v>467</v>
      </c>
      <c r="H1145" s="70" t="s">
        <v>971</v>
      </c>
      <c r="I1145" s="363">
        <v>3</v>
      </c>
      <c r="J1145" s="64"/>
      <c r="K1145" s="64"/>
      <c r="L1145" s="64"/>
    </row>
    <row r="1146" spans="1:12" x14ac:dyDescent="0.25">
      <c r="A1146" s="71">
        <v>479100</v>
      </c>
      <c r="B1146" s="71">
        <v>2007</v>
      </c>
      <c r="C1146" s="71" t="s">
        <v>1036</v>
      </c>
      <c r="D1146" s="71" t="s">
        <v>476</v>
      </c>
      <c r="E1146" s="71" t="s">
        <v>475</v>
      </c>
      <c r="F1146" s="66" t="s">
        <v>307</v>
      </c>
      <c r="G1146" s="70" t="s">
        <v>467</v>
      </c>
      <c r="H1146" s="70" t="s">
        <v>971</v>
      </c>
      <c r="I1146" s="363">
        <v>3</v>
      </c>
      <c r="J1146" s="64"/>
      <c r="K1146" s="64"/>
      <c r="L1146" s="64"/>
    </row>
    <row r="1147" spans="1:12" x14ac:dyDescent="0.25">
      <c r="A1147" s="71">
        <v>479110</v>
      </c>
      <c r="B1147" s="71">
        <v>2007</v>
      </c>
      <c r="C1147" s="71" t="s">
        <v>1035</v>
      </c>
      <c r="D1147" s="71" t="s">
        <v>476</v>
      </c>
      <c r="E1147" s="71" t="s">
        <v>475</v>
      </c>
      <c r="F1147" s="66" t="s">
        <v>307</v>
      </c>
      <c r="G1147" s="70" t="s">
        <v>467</v>
      </c>
      <c r="H1147" s="70" t="s">
        <v>971</v>
      </c>
      <c r="I1147" s="363">
        <v>3</v>
      </c>
      <c r="J1147" s="64"/>
      <c r="K1147" s="64"/>
      <c r="L1147" s="64"/>
    </row>
    <row r="1148" spans="1:12" x14ac:dyDescent="0.25">
      <c r="A1148" s="71">
        <v>479120</v>
      </c>
      <c r="B1148" s="71">
        <v>2007</v>
      </c>
      <c r="C1148" s="71" t="s">
        <v>1034</v>
      </c>
      <c r="D1148" s="71" t="s">
        <v>476</v>
      </c>
      <c r="E1148" s="71" t="s">
        <v>475</v>
      </c>
      <c r="F1148" s="66" t="s">
        <v>307</v>
      </c>
      <c r="G1148" s="70" t="s">
        <v>467</v>
      </c>
      <c r="H1148" s="70" t="s">
        <v>971</v>
      </c>
      <c r="I1148" s="363">
        <v>3</v>
      </c>
      <c r="J1148" s="64"/>
      <c r="K1148" s="64"/>
      <c r="L1148" s="64"/>
    </row>
    <row r="1149" spans="1:12" x14ac:dyDescent="0.25">
      <c r="A1149" s="71">
        <v>479130</v>
      </c>
      <c r="B1149" s="71">
        <v>2007</v>
      </c>
      <c r="C1149" s="71" t="s">
        <v>1033</v>
      </c>
      <c r="D1149" s="71" t="s">
        <v>476</v>
      </c>
      <c r="E1149" s="71" t="s">
        <v>475</v>
      </c>
      <c r="F1149" s="66" t="s">
        <v>307</v>
      </c>
      <c r="G1149" s="70" t="s">
        <v>467</v>
      </c>
      <c r="H1149" s="70" t="s">
        <v>971</v>
      </c>
      <c r="I1149" s="363">
        <v>3</v>
      </c>
      <c r="J1149" s="64"/>
      <c r="K1149" s="64"/>
      <c r="L1149" s="64"/>
    </row>
    <row r="1150" spans="1:12" x14ac:dyDescent="0.25">
      <c r="A1150" s="71">
        <v>479900</v>
      </c>
      <c r="B1150" s="71">
        <v>2007</v>
      </c>
      <c r="C1150" s="71" t="s">
        <v>1032</v>
      </c>
      <c r="D1150" s="71" t="s">
        <v>476</v>
      </c>
      <c r="E1150" s="71" t="s">
        <v>475</v>
      </c>
      <c r="F1150" s="66" t="s">
        <v>307</v>
      </c>
      <c r="G1150" s="70" t="s">
        <v>467</v>
      </c>
      <c r="H1150" s="70" t="s">
        <v>971</v>
      </c>
      <c r="I1150" s="363">
        <v>3</v>
      </c>
      <c r="J1150" s="64"/>
      <c r="K1150" s="64"/>
      <c r="L1150" s="64"/>
    </row>
    <row r="1151" spans="1:12" x14ac:dyDescent="0.25">
      <c r="A1151" s="71">
        <v>479910</v>
      </c>
      <c r="B1151" s="71">
        <v>2007</v>
      </c>
      <c r="C1151" s="71" t="s">
        <v>1031</v>
      </c>
      <c r="D1151" s="71" t="s">
        <v>476</v>
      </c>
      <c r="E1151" s="71" t="s">
        <v>475</v>
      </c>
      <c r="F1151" s="66" t="s">
        <v>307</v>
      </c>
      <c r="G1151" s="70" t="s">
        <v>467</v>
      </c>
      <c r="H1151" s="70" t="s">
        <v>971</v>
      </c>
      <c r="I1151" s="363">
        <v>3</v>
      </c>
      <c r="J1151" s="64"/>
      <c r="K1151" s="64"/>
      <c r="L1151" s="64"/>
    </row>
    <row r="1152" spans="1:12" x14ac:dyDescent="0.25">
      <c r="A1152" s="71">
        <v>479920</v>
      </c>
      <c r="B1152" s="71">
        <v>2007</v>
      </c>
      <c r="C1152" s="71" t="s">
        <v>1030</v>
      </c>
      <c r="D1152" s="71" t="s">
        <v>476</v>
      </c>
      <c r="E1152" s="71" t="s">
        <v>475</v>
      </c>
      <c r="F1152" s="66" t="s">
        <v>307</v>
      </c>
      <c r="G1152" s="70" t="s">
        <v>467</v>
      </c>
      <c r="H1152" s="70" t="s">
        <v>971</v>
      </c>
      <c r="I1152" s="363">
        <v>3</v>
      </c>
      <c r="J1152" s="64"/>
      <c r="K1152" s="64"/>
      <c r="L1152" s="64"/>
    </row>
    <row r="1153" spans="1:12" x14ac:dyDescent="0.25">
      <c r="A1153" s="71">
        <v>490000</v>
      </c>
      <c r="B1153" s="71">
        <v>2007</v>
      </c>
      <c r="C1153" s="71" t="s">
        <v>1029</v>
      </c>
      <c r="D1153" s="71" t="s">
        <v>476</v>
      </c>
      <c r="E1153" s="71" t="s">
        <v>475</v>
      </c>
      <c r="F1153" s="66" t="s">
        <v>307</v>
      </c>
      <c r="G1153" s="70" t="s">
        <v>467</v>
      </c>
      <c r="H1153" s="70" t="s">
        <v>971</v>
      </c>
      <c r="I1153" s="363">
        <v>3</v>
      </c>
      <c r="J1153" s="64"/>
      <c r="K1153" s="64"/>
      <c r="L1153" s="64"/>
    </row>
    <row r="1154" spans="1:12" x14ac:dyDescent="0.25">
      <c r="A1154" s="71">
        <v>491000</v>
      </c>
      <c r="B1154" s="71">
        <v>2007</v>
      </c>
      <c r="C1154" s="71" t="s">
        <v>1028</v>
      </c>
      <c r="D1154" s="71" t="s">
        <v>476</v>
      </c>
      <c r="E1154" s="71" t="s">
        <v>475</v>
      </c>
      <c r="F1154" s="66" t="s">
        <v>307</v>
      </c>
      <c r="G1154" s="70" t="s">
        <v>467</v>
      </c>
      <c r="H1154" s="70" t="s">
        <v>971</v>
      </c>
      <c r="I1154" s="363">
        <v>3</v>
      </c>
      <c r="J1154" s="64"/>
      <c r="K1154" s="64"/>
      <c r="L1154" s="64"/>
    </row>
    <row r="1155" spans="1:12" x14ac:dyDescent="0.25">
      <c r="A1155" s="71">
        <v>492000</v>
      </c>
      <c r="B1155" s="71">
        <v>2007</v>
      </c>
      <c r="C1155" s="71" t="s">
        <v>1027</v>
      </c>
      <c r="D1155" s="71" t="s">
        <v>476</v>
      </c>
      <c r="E1155" s="71" t="s">
        <v>475</v>
      </c>
      <c r="F1155" s="66" t="s">
        <v>307</v>
      </c>
      <c r="G1155" s="70" t="s">
        <v>467</v>
      </c>
      <c r="H1155" s="70" t="s">
        <v>971</v>
      </c>
      <c r="I1155" s="363">
        <v>3</v>
      </c>
      <c r="J1155" s="64"/>
      <c r="K1155" s="64"/>
      <c r="L1155" s="64"/>
    </row>
    <row r="1156" spans="1:12" x14ac:dyDescent="0.25">
      <c r="A1156" s="71">
        <v>493000</v>
      </c>
      <c r="B1156" s="71">
        <v>2007</v>
      </c>
      <c r="C1156" s="71" t="s">
        <v>1026</v>
      </c>
      <c r="D1156" s="71" t="s">
        <v>476</v>
      </c>
      <c r="E1156" s="71" t="s">
        <v>475</v>
      </c>
      <c r="F1156" s="66" t="s">
        <v>307</v>
      </c>
      <c r="G1156" s="70" t="s">
        <v>467</v>
      </c>
      <c r="H1156" s="70" t="s">
        <v>971</v>
      </c>
      <c r="I1156" s="363">
        <v>3</v>
      </c>
      <c r="J1156" s="64"/>
      <c r="K1156" s="64"/>
      <c r="L1156" s="64"/>
    </row>
    <row r="1157" spans="1:12" x14ac:dyDescent="0.25">
      <c r="A1157" s="71">
        <v>493100</v>
      </c>
      <c r="B1157" s="71">
        <v>2007</v>
      </c>
      <c r="C1157" s="71" t="s">
        <v>1025</v>
      </c>
      <c r="D1157" s="71" t="s">
        <v>476</v>
      </c>
      <c r="E1157" s="71" t="s">
        <v>475</v>
      </c>
      <c r="F1157" s="66" t="s">
        <v>307</v>
      </c>
      <c r="G1157" s="70" t="s">
        <v>467</v>
      </c>
      <c r="H1157" s="70" t="s">
        <v>971</v>
      </c>
      <c r="I1157" s="363">
        <v>3</v>
      </c>
      <c r="J1157" s="64"/>
      <c r="K1157" s="64"/>
      <c r="L1157" s="64"/>
    </row>
    <row r="1158" spans="1:12" x14ac:dyDescent="0.25">
      <c r="A1158" s="71">
        <v>493200</v>
      </c>
      <c r="B1158" s="71">
        <v>2007</v>
      </c>
      <c r="C1158" s="71" t="s">
        <v>1024</v>
      </c>
      <c r="D1158" s="71" t="s">
        <v>476</v>
      </c>
      <c r="E1158" s="71" t="s">
        <v>475</v>
      </c>
      <c r="F1158" s="66" t="s">
        <v>307</v>
      </c>
      <c r="G1158" s="70" t="s">
        <v>467</v>
      </c>
      <c r="H1158" s="70" t="s">
        <v>971</v>
      </c>
      <c r="I1158" s="363">
        <v>3</v>
      </c>
      <c r="J1158" s="64"/>
      <c r="K1158" s="64"/>
      <c r="L1158" s="64"/>
    </row>
    <row r="1159" spans="1:12" x14ac:dyDescent="0.25">
      <c r="A1159" s="71">
        <v>493210</v>
      </c>
      <c r="B1159" s="71">
        <v>2007</v>
      </c>
      <c r="C1159" s="71" t="s">
        <v>1023</v>
      </c>
      <c r="D1159" s="71" t="s">
        <v>476</v>
      </c>
      <c r="E1159" s="71" t="s">
        <v>475</v>
      </c>
      <c r="F1159" s="66" t="s">
        <v>307</v>
      </c>
      <c r="G1159" s="70" t="s">
        <v>467</v>
      </c>
      <c r="H1159" s="70" t="s">
        <v>971</v>
      </c>
      <c r="I1159" s="363">
        <v>3</v>
      </c>
      <c r="J1159" s="64"/>
      <c r="K1159" s="64"/>
      <c r="L1159" s="64"/>
    </row>
    <row r="1160" spans="1:12" x14ac:dyDescent="0.25">
      <c r="A1160" s="71">
        <v>493220</v>
      </c>
      <c r="B1160" s="71">
        <v>2007</v>
      </c>
      <c r="C1160" s="71" t="s">
        <v>1022</v>
      </c>
      <c r="D1160" s="71" t="s">
        <v>476</v>
      </c>
      <c r="E1160" s="71" t="s">
        <v>475</v>
      </c>
      <c r="F1160" s="66" t="s">
        <v>307</v>
      </c>
      <c r="G1160" s="70" t="s">
        <v>467</v>
      </c>
      <c r="H1160" s="70" t="s">
        <v>971</v>
      </c>
      <c r="I1160" s="363">
        <v>3</v>
      </c>
      <c r="J1160" s="64"/>
      <c r="K1160" s="64"/>
      <c r="L1160" s="64"/>
    </row>
    <row r="1161" spans="1:12" x14ac:dyDescent="0.25">
      <c r="A1161" s="71">
        <v>493900</v>
      </c>
      <c r="B1161" s="71">
        <v>2007</v>
      </c>
      <c r="C1161" s="71" t="s">
        <v>1021</v>
      </c>
      <c r="D1161" s="71" t="s">
        <v>476</v>
      </c>
      <c r="E1161" s="71" t="s">
        <v>475</v>
      </c>
      <c r="F1161" s="66" t="s">
        <v>307</v>
      </c>
      <c r="G1161" s="70" t="s">
        <v>467</v>
      </c>
      <c r="H1161" s="70" t="s">
        <v>971</v>
      </c>
      <c r="I1161" s="363">
        <v>3</v>
      </c>
      <c r="J1161" s="64"/>
      <c r="K1161" s="64"/>
      <c r="L1161" s="64"/>
    </row>
    <row r="1162" spans="1:12" x14ac:dyDescent="0.25">
      <c r="A1162" s="71">
        <v>493901</v>
      </c>
      <c r="B1162" s="71">
        <v>2007</v>
      </c>
      <c r="C1162" s="71" t="s">
        <v>1020</v>
      </c>
      <c r="D1162" s="71" t="s">
        <v>476</v>
      </c>
      <c r="E1162" s="71" t="s">
        <v>475</v>
      </c>
      <c r="F1162" s="66" t="s">
        <v>307</v>
      </c>
      <c r="G1162" s="70" t="s">
        <v>467</v>
      </c>
      <c r="H1162" s="70" t="s">
        <v>971</v>
      </c>
      <c r="I1162" s="363">
        <v>3</v>
      </c>
      <c r="J1162" s="64"/>
      <c r="K1162" s="64"/>
      <c r="L1162" s="64"/>
    </row>
    <row r="1163" spans="1:12" x14ac:dyDescent="0.25">
      <c r="A1163" s="71">
        <v>493909</v>
      </c>
      <c r="B1163" s="71">
        <v>2007</v>
      </c>
      <c r="C1163" s="71" t="s">
        <v>1019</v>
      </c>
      <c r="D1163" s="71" t="s">
        <v>476</v>
      </c>
      <c r="E1163" s="71" t="s">
        <v>475</v>
      </c>
      <c r="F1163" s="66" t="s">
        <v>307</v>
      </c>
      <c r="G1163" s="70" t="s">
        <v>467</v>
      </c>
      <c r="H1163" s="70" t="s">
        <v>971</v>
      </c>
      <c r="I1163" s="363">
        <v>3</v>
      </c>
      <c r="J1163" s="64"/>
      <c r="K1163" s="64"/>
      <c r="L1163" s="64"/>
    </row>
    <row r="1164" spans="1:12" x14ac:dyDescent="0.25">
      <c r="A1164" s="71">
        <v>494000</v>
      </c>
      <c r="B1164" s="71">
        <v>2007</v>
      </c>
      <c r="C1164" s="71" t="s">
        <v>1018</v>
      </c>
      <c r="D1164" s="71" t="s">
        <v>476</v>
      </c>
      <c r="E1164" s="71" t="s">
        <v>475</v>
      </c>
      <c r="F1164" s="65" t="s">
        <v>161</v>
      </c>
      <c r="G1164" s="70" t="s">
        <v>222</v>
      </c>
      <c r="H1164" s="70" t="s">
        <v>222</v>
      </c>
      <c r="I1164" s="363">
        <v>2</v>
      </c>
      <c r="J1164" s="64"/>
      <c r="K1164" s="64"/>
      <c r="L1164" s="64"/>
    </row>
    <row r="1165" spans="1:12" x14ac:dyDescent="0.25">
      <c r="A1165" s="71">
        <v>494100</v>
      </c>
      <c r="B1165" s="71">
        <v>2007</v>
      </c>
      <c r="C1165" s="71" t="s">
        <v>1017</v>
      </c>
      <c r="D1165" s="71" t="s">
        <v>476</v>
      </c>
      <c r="E1165" s="71" t="s">
        <v>475</v>
      </c>
      <c r="F1165" s="65" t="s">
        <v>161</v>
      </c>
      <c r="G1165" s="70" t="s">
        <v>222</v>
      </c>
      <c r="H1165" s="70" t="s">
        <v>222</v>
      </c>
      <c r="I1165" s="363">
        <v>2</v>
      </c>
      <c r="J1165" s="64"/>
      <c r="K1165" s="64"/>
      <c r="L1165" s="64"/>
    </row>
    <row r="1166" spans="1:12" x14ac:dyDescent="0.25">
      <c r="A1166" s="71">
        <v>494200</v>
      </c>
      <c r="B1166" s="71">
        <v>2007</v>
      </c>
      <c r="C1166" s="71" t="s">
        <v>1016</v>
      </c>
      <c r="D1166" s="71" t="s">
        <v>476</v>
      </c>
      <c r="E1166" s="71" t="s">
        <v>475</v>
      </c>
      <c r="F1166" s="65" t="s">
        <v>161</v>
      </c>
      <c r="G1166" s="70" t="s">
        <v>222</v>
      </c>
      <c r="H1166" s="70" t="s">
        <v>222</v>
      </c>
      <c r="I1166" s="363">
        <v>2</v>
      </c>
      <c r="J1166" s="64"/>
      <c r="K1166" s="64"/>
      <c r="L1166" s="64"/>
    </row>
    <row r="1167" spans="1:12" x14ac:dyDescent="0.25">
      <c r="A1167" s="71">
        <v>495000</v>
      </c>
      <c r="B1167" s="71">
        <v>2007</v>
      </c>
      <c r="C1167" s="71" t="s">
        <v>1015</v>
      </c>
      <c r="D1167" s="71" t="s">
        <v>476</v>
      </c>
      <c r="E1167" s="71" t="s">
        <v>475</v>
      </c>
      <c r="F1167" s="66" t="s">
        <v>307</v>
      </c>
      <c r="G1167" s="70" t="s">
        <v>467</v>
      </c>
      <c r="H1167" s="70" t="s">
        <v>971</v>
      </c>
      <c r="I1167" s="363">
        <v>3</v>
      </c>
      <c r="J1167" s="64"/>
      <c r="K1167" s="64"/>
      <c r="L1167" s="64"/>
    </row>
    <row r="1168" spans="1:12" x14ac:dyDescent="0.25">
      <c r="A1168" s="71">
        <v>495010</v>
      </c>
      <c r="B1168" s="71">
        <v>2007</v>
      </c>
      <c r="C1168" s="71" t="s">
        <v>1014</v>
      </c>
      <c r="D1168" s="71" t="s">
        <v>476</v>
      </c>
      <c r="E1168" s="71" t="s">
        <v>475</v>
      </c>
      <c r="F1168" s="66" t="s">
        <v>307</v>
      </c>
      <c r="G1168" s="70" t="s">
        <v>467</v>
      </c>
      <c r="H1168" s="70" t="s">
        <v>971</v>
      </c>
      <c r="I1168" s="363">
        <v>3</v>
      </c>
      <c r="J1168" s="64"/>
      <c r="K1168" s="64"/>
      <c r="L1168" s="64"/>
    </row>
    <row r="1169" spans="1:12" x14ac:dyDescent="0.25">
      <c r="A1169" s="71">
        <v>495020</v>
      </c>
      <c r="B1169" s="71">
        <v>2007</v>
      </c>
      <c r="C1169" s="71" t="s">
        <v>1013</v>
      </c>
      <c r="D1169" s="71" t="s">
        <v>476</v>
      </c>
      <c r="E1169" s="71" t="s">
        <v>475</v>
      </c>
      <c r="F1169" s="66" t="s">
        <v>307</v>
      </c>
      <c r="G1169" s="70" t="s">
        <v>467</v>
      </c>
      <c r="H1169" s="70" t="s">
        <v>971</v>
      </c>
      <c r="I1169" s="363">
        <v>3</v>
      </c>
      <c r="J1169" s="64"/>
      <c r="K1169" s="64"/>
      <c r="L1169" s="64"/>
    </row>
    <row r="1170" spans="1:12" x14ac:dyDescent="0.25">
      <c r="A1170" s="71">
        <v>500000</v>
      </c>
      <c r="B1170" s="71">
        <v>2007</v>
      </c>
      <c r="C1170" s="71" t="s">
        <v>1012</v>
      </c>
      <c r="D1170" s="71" t="s">
        <v>476</v>
      </c>
      <c r="E1170" s="71" t="s">
        <v>475</v>
      </c>
      <c r="F1170" s="66" t="s">
        <v>307</v>
      </c>
      <c r="G1170" s="70" t="s">
        <v>467</v>
      </c>
      <c r="H1170" s="70" t="s">
        <v>971</v>
      </c>
      <c r="I1170" s="363">
        <v>3</v>
      </c>
      <c r="J1170" s="64"/>
      <c r="K1170" s="64"/>
      <c r="L1170" s="64"/>
    </row>
    <row r="1171" spans="1:12" x14ac:dyDescent="0.25">
      <c r="A1171" s="71">
        <v>501000</v>
      </c>
      <c r="B1171" s="71">
        <v>2007</v>
      </c>
      <c r="C1171" s="71" t="s">
        <v>1011</v>
      </c>
      <c r="D1171" s="71" t="s">
        <v>476</v>
      </c>
      <c r="E1171" s="71" t="s">
        <v>475</v>
      </c>
      <c r="F1171" s="66" t="s">
        <v>307</v>
      </c>
      <c r="G1171" s="70" t="s">
        <v>467</v>
      </c>
      <c r="H1171" s="70" t="s">
        <v>971</v>
      </c>
      <c r="I1171" s="363">
        <v>3</v>
      </c>
      <c r="J1171" s="64"/>
      <c r="K1171" s="64"/>
      <c r="L1171" s="64"/>
    </row>
    <row r="1172" spans="1:12" x14ac:dyDescent="0.25">
      <c r="A1172" s="71">
        <v>502000</v>
      </c>
      <c r="B1172" s="71">
        <v>2007</v>
      </c>
      <c r="C1172" s="71" t="s">
        <v>1010</v>
      </c>
      <c r="D1172" s="71" t="s">
        <v>476</v>
      </c>
      <c r="E1172" s="71" t="s">
        <v>475</v>
      </c>
      <c r="F1172" s="66" t="s">
        <v>307</v>
      </c>
      <c r="G1172" s="70" t="s">
        <v>467</v>
      </c>
      <c r="H1172" s="70" t="s">
        <v>971</v>
      </c>
      <c r="I1172" s="363">
        <v>3</v>
      </c>
      <c r="J1172" s="64"/>
      <c r="K1172" s="64"/>
      <c r="L1172" s="64"/>
    </row>
    <row r="1173" spans="1:12" x14ac:dyDescent="0.25">
      <c r="A1173" s="71">
        <v>503000</v>
      </c>
      <c r="B1173" s="71">
        <v>2007</v>
      </c>
      <c r="C1173" s="71" t="s">
        <v>1009</v>
      </c>
      <c r="D1173" s="71" t="s">
        <v>476</v>
      </c>
      <c r="E1173" s="71" t="s">
        <v>475</v>
      </c>
      <c r="F1173" s="66" t="s">
        <v>307</v>
      </c>
      <c r="G1173" s="70" t="s">
        <v>467</v>
      </c>
      <c r="H1173" s="70" t="s">
        <v>971</v>
      </c>
      <c r="I1173" s="363">
        <v>3</v>
      </c>
      <c r="J1173" s="64"/>
      <c r="K1173" s="64"/>
      <c r="L1173" s="64"/>
    </row>
    <row r="1174" spans="1:12" x14ac:dyDescent="0.25">
      <c r="A1174" s="71">
        <v>504000</v>
      </c>
      <c r="B1174" s="71">
        <v>2007</v>
      </c>
      <c r="C1174" s="71" t="s">
        <v>1008</v>
      </c>
      <c r="D1174" s="71" t="s">
        <v>476</v>
      </c>
      <c r="E1174" s="71" t="s">
        <v>475</v>
      </c>
      <c r="F1174" s="66" t="s">
        <v>307</v>
      </c>
      <c r="G1174" s="70" t="s">
        <v>467</v>
      </c>
      <c r="H1174" s="70" t="s">
        <v>971</v>
      </c>
      <c r="I1174" s="363">
        <v>3</v>
      </c>
      <c r="J1174" s="64"/>
      <c r="K1174" s="64"/>
      <c r="L1174" s="64"/>
    </row>
    <row r="1175" spans="1:12" x14ac:dyDescent="0.25">
      <c r="A1175" s="71">
        <v>510000</v>
      </c>
      <c r="B1175" s="71">
        <v>2007</v>
      </c>
      <c r="C1175" s="71" t="s">
        <v>1007</v>
      </c>
      <c r="D1175" s="71" t="s">
        <v>476</v>
      </c>
      <c r="E1175" s="71" t="s">
        <v>475</v>
      </c>
      <c r="F1175" s="66" t="s">
        <v>307</v>
      </c>
      <c r="G1175" s="70" t="s">
        <v>467</v>
      </c>
      <c r="H1175" s="70" t="s">
        <v>971</v>
      </c>
      <c r="I1175" s="363">
        <v>3</v>
      </c>
      <c r="J1175" s="64"/>
      <c r="K1175" s="64"/>
      <c r="L1175" s="64"/>
    </row>
    <row r="1176" spans="1:12" x14ac:dyDescent="0.25">
      <c r="A1176" s="71">
        <v>511000</v>
      </c>
      <c r="B1176" s="71">
        <v>2007</v>
      </c>
      <c r="C1176" s="71" t="s">
        <v>1006</v>
      </c>
      <c r="D1176" s="71" t="s">
        <v>476</v>
      </c>
      <c r="E1176" s="71" t="s">
        <v>475</v>
      </c>
      <c r="F1176" s="66" t="s">
        <v>307</v>
      </c>
      <c r="G1176" s="70" t="s">
        <v>467</v>
      </c>
      <c r="H1176" s="70" t="s">
        <v>971</v>
      </c>
      <c r="I1176" s="363">
        <v>3</v>
      </c>
      <c r="J1176" s="64"/>
      <c r="K1176" s="64"/>
      <c r="L1176" s="64"/>
    </row>
    <row r="1177" spans="1:12" x14ac:dyDescent="0.25">
      <c r="A1177" s="71">
        <v>511010</v>
      </c>
      <c r="B1177" s="71">
        <v>2007</v>
      </c>
      <c r="C1177" s="71" t="s">
        <v>1005</v>
      </c>
      <c r="D1177" s="71" t="s">
        <v>476</v>
      </c>
      <c r="E1177" s="71" t="s">
        <v>475</v>
      </c>
      <c r="F1177" s="66" t="s">
        <v>307</v>
      </c>
      <c r="G1177" s="70" t="s">
        <v>467</v>
      </c>
      <c r="H1177" s="70" t="s">
        <v>971</v>
      </c>
      <c r="I1177" s="363">
        <v>3</v>
      </c>
      <c r="J1177" s="64"/>
      <c r="K1177" s="64"/>
      <c r="L1177" s="64"/>
    </row>
    <row r="1178" spans="1:12" x14ac:dyDescent="0.25">
      <c r="A1178" s="71">
        <v>511020</v>
      </c>
      <c r="B1178" s="71">
        <v>2007</v>
      </c>
      <c r="C1178" s="71" t="s">
        <v>1004</v>
      </c>
      <c r="D1178" s="71" t="s">
        <v>476</v>
      </c>
      <c r="E1178" s="71" t="s">
        <v>475</v>
      </c>
      <c r="F1178" s="66" t="s">
        <v>307</v>
      </c>
      <c r="G1178" s="70" t="s">
        <v>467</v>
      </c>
      <c r="H1178" s="70" t="s">
        <v>971</v>
      </c>
      <c r="I1178" s="363">
        <v>3</v>
      </c>
      <c r="J1178" s="64"/>
      <c r="K1178" s="64"/>
      <c r="L1178" s="64"/>
    </row>
    <row r="1179" spans="1:12" x14ac:dyDescent="0.25">
      <c r="A1179" s="71">
        <v>512000</v>
      </c>
      <c r="B1179" s="71">
        <v>2007</v>
      </c>
      <c r="C1179" s="71" t="s">
        <v>1003</v>
      </c>
      <c r="D1179" s="71" t="s">
        <v>476</v>
      </c>
      <c r="E1179" s="71" t="s">
        <v>475</v>
      </c>
      <c r="F1179" s="66" t="s">
        <v>307</v>
      </c>
      <c r="G1179" s="70" t="s">
        <v>467</v>
      </c>
      <c r="H1179" s="70" t="s">
        <v>971</v>
      </c>
      <c r="I1179" s="363">
        <v>3</v>
      </c>
      <c r="J1179" s="64"/>
      <c r="K1179" s="64"/>
      <c r="L1179" s="64"/>
    </row>
    <row r="1180" spans="1:12" x14ac:dyDescent="0.25">
      <c r="A1180" s="71">
        <v>512100</v>
      </c>
      <c r="B1180" s="71">
        <v>2007</v>
      </c>
      <c r="C1180" s="71" t="s">
        <v>1002</v>
      </c>
      <c r="D1180" s="71" t="s">
        <v>476</v>
      </c>
      <c r="E1180" s="71" t="s">
        <v>475</v>
      </c>
      <c r="F1180" s="66" t="s">
        <v>307</v>
      </c>
      <c r="G1180" s="70" t="s">
        <v>467</v>
      </c>
      <c r="H1180" s="70" t="s">
        <v>971</v>
      </c>
      <c r="I1180" s="363">
        <v>3</v>
      </c>
      <c r="J1180" s="64"/>
      <c r="K1180" s="64"/>
      <c r="L1180" s="64"/>
    </row>
    <row r="1181" spans="1:12" x14ac:dyDescent="0.25">
      <c r="A1181" s="71">
        <v>512200</v>
      </c>
      <c r="B1181" s="71">
        <v>2007</v>
      </c>
      <c r="C1181" s="71" t="s">
        <v>1001</v>
      </c>
      <c r="D1181" s="71" t="s">
        <v>476</v>
      </c>
      <c r="E1181" s="71" t="s">
        <v>475</v>
      </c>
      <c r="F1181" s="66" t="s">
        <v>307</v>
      </c>
      <c r="G1181" s="70" t="s">
        <v>467</v>
      </c>
      <c r="H1181" s="70" t="s">
        <v>971</v>
      </c>
      <c r="I1181" s="363">
        <v>3</v>
      </c>
      <c r="J1181" s="64"/>
      <c r="K1181" s="64"/>
      <c r="L1181" s="64"/>
    </row>
    <row r="1182" spans="1:12" x14ac:dyDescent="0.25">
      <c r="A1182" s="71">
        <v>520000</v>
      </c>
      <c r="B1182" s="71">
        <v>2007</v>
      </c>
      <c r="C1182" s="71" t="s">
        <v>1000</v>
      </c>
      <c r="D1182" s="71" t="s">
        <v>476</v>
      </c>
      <c r="E1182" s="71" t="s">
        <v>475</v>
      </c>
      <c r="F1182" s="66" t="s">
        <v>307</v>
      </c>
      <c r="G1182" s="70" t="s">
        <v>467</v>
      </c>
      <c r="H1182" s="70" t="s">
        <v>971</v>
      </c>
      <c r="I1182" s="363">
        <v>3</v>
      </c>
      <c r="J1182" s="64"/>
      <c r="K1182" s="64"/>
      <c r="L1182" s="64"/>
    </row>
    <row r="1183" spans="1:12" x14ac:dyDescent="0.25">
      <c r="A1183" s="71">
        <v>521000</v>
      </c>
      <c r="B1183" s="71">
        <v>2007</v>
      </c>
      <c r="C1183" s="71" t="s">
        <v>999</v>
      </c>
      <c r="D1183" s="71" t="s">
        <v>476</v>
      </c>
      <c r="E1183" s="71" t="s">
        <v>475</v>
      </c>
      <c r="F1183" s="66" t="s">
        <v>307</v>
      </c>
      <c r="G1183" s="70" t="s">
        <v>467</v>
      </c>
      <c r="H1183" s="70" t="s">
        <v>971</v>
      </c>
      <c r="I1183" s="363">
        <v>3</v>
      </c>
      <c r="J1183" s="64"/>
      <c r="K1183" s="64"/>
      <c r="L1183" s="64"/>
    </row>
    <row r="1184" spans="1:12" x14ac:dyDescent="0.25">
      <c r="A1184" s="71">
        <v>521010</v>
      </c>
      <c r="B1184" s="71">
        <v>2007</v>
      </c>
      <c r="C1184" s="71" t="s">
        <v>998</v>
      </c>
      <c r="D1184" s="71" t="s">
        <v>476</v>
      </c>
      <c r="E1184" s="71" t="s">
        <v>475</v>
      </c>
      <c r="F1184" s="66" t="s">
        <v>307</v>
      </c>
      <c r="G1184" s="70" t="s">
        <v>467</v>
      </c>
      <c r="H1184" s="70" t="s">
        <v>971</v>
      </c>
      <c r="I1184" s="363">
        <v>3</v>
      </c>
      <c r="J1184" s="64"/>
      <c r="K1184" s="64"/>
      <c r="L1184" s="64"/>
    </row>
    <row r="1185" spans="1:12" x14ac:dyDescent="0.25">
      <c r="A1185" s="71">
        <v>521020</v>
      </c>
      <c r="B1185" s="71">
        <v>2007</v>
      </c>
      <c r="C1185" s="71" t="s">
        <v>997</v>
      </c>
      <c r="D1185" s="71" t="s">
        <v>476</v>
      </c>
      <c r="E1185" s="71" t="s">
        <v>475</v>
      </c>
      <c r="F1185" s="66" t="s">
        <v>307</v>
      </c>
      <c r="G1185" s="70" t="s">
        <v>467</v>
      </c>
      <c r="H1185" s="70" t="s">
        <v>971</v>
      </c>
      <c r="I1185" s="363">
        <v>3</v>
      </c>
      <c r="J1185" s="64"/>
      <c r="K1185" s="64"/>
      <c r="L1185" s="64"/>
    </row>
    <row r="1186" spans="1:12" x14ac:dyDescent="0.25">
      <c r="A1186" s="71">
        <v>522000</v>
      </c>
      <c r="B1186" s="71">
        <v>2007</v>
      </c>
      <c r="C1186" s="71" t="s">
        <v>996</v>
      </c>
      <c r="D1186" s="71" t="s">
        <v>476</v>
      </c>
      <c r="E1186" s="71" t="s">
        <v>475</v>
      </c>
      <c r="F1186" s="66" t="s">
        <v>307</v>
      </c>
      <c r="G1186" s="70" t="s">
        <v>467</v>
      </c>
      <c r="H1186" s="70" t="s">
        <v>971</v>
      </c>
      <c r="I1186" s="363">
        <v>3</v>
      </c>
      <c r="J1186" s="64"/>
      <c r="K1186" s="64"/>
      <c r="L1186" s="64"/>
    </row>
    <row r="1187" spans="1:12" x14ac:dyDescent="0.25">
      <c r="A1187" s="71">
        <v>522100</v>
      </c>
      <c r="B1187" s="71">
        <v>2007</v>
      </c>
      <c r="C1187" s="71" t="s">
        <v>995</v>
      </c>
      <c r="D1187" s="71" t="s">
        <v>476</v>
      </c>
      <c r="E1187" s="71" t="s">
        <v>475</v>
      </c>
      <c r="F1187" s="66" t="s">
        <v>307</v>
      </c>
      <c r="G1187" s="70" t="s">
        <v>467</v>
      </c>
      <c r="H1187" s="70" t="s">
        <v>971</v>
      </c>
      <c r="I1187" s="363">
        <v>3</v>
      </c>
      <c r="J1187" s="64"/>
      <c r="K1187" s="64"/>
      <c r="L1187" s="64"/>
    </row>
    <row r="1188" spans="1:12" x14ac:dyDescent="0.25">
      <c r="A1188" s="71">
        <v>522110</v>
      </c>
      <c r="B1188" s="71">
        <v>2007</v>
      </c>
      <c r="C1188" s="71" t="s">
        <v>994</v>
      </c>
      <c r="D1188" s="71" t="s">
        <v>476</v>
      </c>
      <c r="E1188" s="71" t="s">
        <v>475</v>
      </c>
      <c r="F1188" s="66" t="s">
        <v>307</v>
      </c>
      <c r="G1188" s="70" t="s">
        <v>467</v>
      </c>
      <c r="H1188" s="70" t="s">
        <v>971</v>
      </c>
      <c r="I1188" s="363">
        <v>3</v>
      </c>
      <c r="J1188" s="64"/>
      <c r="K1188" s="64"/>
      <c r="L1188" s="64"/>
    </row>
    <row r="1189" spans="1:12" x14ac:dyDescent="0.25">
      <c r="A1189" s="71">
        <v>522120</v>
      </c>
      <c r="B1189" s="71">
        <v>2007</v>
      </c>
      <c r="C1189" s="71" t="s">
        <v>993</v>
      </c>
      <c r="D1189" s="71" t="s">
        <v>476</v>
      </c>
      <c r="E1189" s="71" t="s">
        <v>475</v>
      </c>
      <c r="F1189" s="66" t="s">
        <v>307</v>
      </c>
      <c r="G1189" s="70" t="s">
        <v>467</v>
      </c>
      <c r="H1189" s="70" t="s">
        <v>971</v>
      </c>
      <c r="I1189" s="363">
        <v>3</v>
      </c>
      <c r="J1189" s="64"/>
      <c r="K1189" s="64"/>
      <c r="L1189" s="64"/>
    </row>
    <row r="1190" spans="1:12" x14ac:dyDescent="0.25">
      <c r="A1190" s="71">
        <v>522130</v>
      </c>
      <c r="B1190" s="71">
        <v>2007</v>
      </c>
      <c r="C1190" s="71" t="s">
        <v>992</v>
      </c>
      <c r="D1190" s="71" t="s">
        <v>476</v>
      </c>
      <c r="E1190" s="71" t="s">
        <v>475</v>
      </c>
      <c r="F1190" s="66" t="s">
        <v>307</v>
      </c>
      <c r="G1190" s="70" t="s">
        <v>467</v>
      </c>
      <c r="H1190" s="70" t="s">
        <v>971</v>
      </c>
      <c r="I1190" s="363">
        <v>3</v>
      </c>
      <c r="J1190" s="64"/>
      <c r="K1190" s="64"/>
      <c r="L1190" s="64"/>
    </row>
    <row r="1191" spans="1:12" x14ac:dyDescent="0.25">
      <c r="A1191" s="71">
        <v>522140</v>
      </c>
      <c r="B1191" s="71">
        <v>2007</v>
      </c>
      <c r="C1191" s="71" t="s">
        <v>991</v>
      </c>
      <c r="D1191" s="71" t="s">
        <v>476</v>
      </c>
      <c r="E1191" s="71" t="s">
        <v>475</v>
      </c>
      <c r="F1191" s="66" t="s">
        <v>307</v>
      </c>
      <c r="G1191" s="70" t="s">
        <v>467</v>
      </c>
      <c r="H1191" s="70" t="s">
        <v>971</v>
      </c>
      <c r="I1191" s="363">
        <v>3</v>
      </c>
      <c r="J1191" s="64"/>
      <c r="K1191" s="64"/>
      <c r="L1191" s="64"/>
    </row>
    <row r="1192" spans="1:12" x14ac:dyDescent="0.25">
      <c r="A1192" s="71">
        <v>522150</v>
      </c>
      <c r="B1192" s="71">
        <v>2007</v>
      </c>
      <c r="C1192" s="71" t="s">
        <v>990</v>
      </c>
      <c r="D1192" s="71" t="s">
        <v>476</v>
      </c>
      <c r="E1192" s="71" t="s">
        <v>475</v>
      </c>
      <c r="F1192" s="66" t="s">
        <v>307</v>
      </c>
      <c r="G1192" s="70" t="s">
        <v>467</v>
      </c>
      <c r="H1192" s="70" t="s">
        <v>971</v>
      </c>
      <c r="I1192" s="363">
        <v>3</v>
      </c>
      <c r="J1192" s="64"/>
      <c r="K1192" s="64"/>
      <c r="L1192" s="64"/>
    </row>
    <row r="1193" spans="1:12" x14ac:dyDescent="0.25">
      <c r="A1193" s="71">
        <v>522160</v>
      </c>
      <c r="B1193" s="71">
        <v>2007</v>
      </c>
      <c r="C1193" s="71" t="s">
        <v>989</v>
      </c>
      <c r="D1193" s="71" t="s">
        <v>476</v>
      </c>
      <c r="E1193" s="71" t="s">
        <v>475</v>
      </c>
      <c r="F1193" s="66" t="s">
        <v>307</v>
      </c>
      <c r="G1193" s="70" t="s">
        <v>467</v>
      </c>
      <c r="H1193" s="70" t="s">
        <v>971</v>
      </c>
      <c r="I1193" s="363">
        <v>3</v>
      </c>
      <c r="J1193" s="64"/>
      <c r="K1193" s="64"/>
      <c r="L1193" s="64"/>
    </row>
    <row r="1194" spans="1:12" x14ac:dyDescent="0.25">
      <c r="A1194" s="71">
        <v>522190</v>
      </c>
      <c r="B1194" s="71">
        <v>2007</v>
      </c>
      <c r="C1194" s="71" t="s">
        <v>988</v>
      </c>
      <c r="D1194" s="71" t="s">
        <v>476</v>
      </c>
      <c r="E1194" s="71" t="s">
        <v>475</v>
      </c>
      <c r="F1194" s="66" t="s">
        <v>307</v>
      </c>
      <c r="G1194" s="70" t="s">
        <v>467</v>
      </c>
      <c r="H1194" s="70" t="s">
        <v>971</v>
      </c>
      <c r="I1194" s="363">
        <v>3</v>
      </c>
      <c r="J1194" s="64"/>
      <c r="K1194" s="64"/>
      <c r="L1194" s="64"/>
    </row>
    <row r="1195" spans="1:12" x14ac:dyDescent="0.25">
      <c r="A1195" s="71">
        <v>522200</v>
      </c>
      <c r="B1195" s="71">
        <v>2007</v>
      </c>
      <c r="C1195" s="71" t="s">
        <v>987</v>
      </c>
      <c r="D1195" s="71" t="s">
        <v>476</v>
      </c>
      <c r="E1195" s="71" t="s">
        <v>475</v>
      </c>
      <c r="F1195" s="66" t="s">
        <v>307</v>
      </c>
      <c r="G1195" s="70" t="s">
        <v>467</v>
      </c>
      <c r="H1195" s="70" t="s">
        <v>971</v>
      </c>
      <c r="I1195" s="363">
        <v>3</v>
      </c>
      <c r="J1195" s="64"/>
      <c r="K1195" s="64"/>
      <c r="L1195" s="64"/>
    </row>
    <row r="1196" spans="1:12" x14ac:dyDescent="0.25">
      <c r="A1196" s="71">
        <v>522201</v>
      </c>
      <c r="B1196" s="71">
        <v>2007</v>
      </c>
      <c r="C1196" s="71" t="s">
        <v>986</v>
      </c>
      <c r="D1196" s="71" t="s">
        <v>476</v>
      </c>
      <c r="E1196" s="71" t="s">
        <v>475</v>
      </c>
      <c r="F1196" s="66" t="s">
        <v>307</v>
      </c>
      <c r="G1196" s="70" t="s">
        <v>467</v>
      </c>
      <c r="H1196" s="70" t="s">
        <v>971</v>
      </c>
      <c r="I1196" s="363">
        <v>3</v>
      </c>
      <c r="J1196" s="64"/>
      <c r="K1196" s="64"/>
      <c r="L1196" s="64"/>
    </row>
    <row r="1197" spans="1:12" x14ac:dyDescent="0.25">
      <c r="A1197" s="71">
        <v>522209</v>
      </c>
      <c r="B1197" s="71">
        <v>2007</v>
      </c>
      <c r="C1197" s="71" t="s">
        <v>985</v>
      </c>
      <c r="D1197" s="71" t="s">
        <v>476</v>
      </c>
      <c r="E1197" s="71" t="s">
        <v>475</v>
      </c>
      <c r="F1197" s="66" t="s">
        <v>307</v>
      </c>
      <c r="G1197" s="70" t="s">
        <v>467</v>
      </c>
      <c r="H1197" s="70" t="s">
        <v>971</v>
      </c>
      <c r="I1197" s="363">
        <v>3</v>
      </c>
      <c r="J1197" s="64"/>
      <c r="K1197" s="64"/>
      <c r="L1197" s="64"/>
    </row>
    <row r="1198" spans="1:12" x14ac:dyDescent="0.25">
      <c r="A1198" s="71">
        <v>522300</v>
      </c>
      <c r="B1198" s="71">
        <v>2007</v>
      </c>
      <c r="C1198" s="71" t="s">
        <v>984</v>
      </c>
      <c r="D1198" s="71" t="s">
        <v>476</v>
      </c>
      <c r="E1198" s="71" t="s">
        <v>475</v>
      </c>
      <c r="F1198" s="66" t="s">
        <v>307</v>
      </c>
      <c r="G1198" s="70" t="s">
        <v>467</v>
      </c>
      <c r="H1198" s="70" t="s">
        <v>971</v>
      </c>
      <c r="I1198" s="363">
        <v>3</v>
      </c>
      <c r="J1198" s="64"/>
      <c r="K1198" s="64"/>
      <c r="L1198" s="64"/>
    </row>
    <row r="1199" spans="1:12" x14ac:dyDescent="0.25">
      <c r="A1199" s="71">
        <v>522400</v>
      </c>
      <c r="B1199" s="71">
        <v>2007</v>
      </c>
      <c r="C1199" s="71" t="s">
        <v>983</v>
      </c>
      <c r="D1199" s="71" t="s">
        <v>476</v>
      </c>
      <c r="E1199" s="71" t="s">
        <v>475</v>
      </c>
      <c r="F1199" s="66" t="s">
        <v>307</v>
      </c>
      <c r="G1199" s="70" t="s">
        <v>467</v>
      </c>
      <c r="H1199" s="70" t="s">
        <v>971</v>
      </c>
      <c r="I1199" s="363">
        <v>3</v>
      </c>
      <c r="J1199" s="64"/>
      <c r="K1199" s="64"/>
      <c r="L1199" s="64"/>
    </row>
    <row r="1200" spans="1:12" x14ac:dyDescent="0.25">
      <c r="A1200" s="71">
        <v>522410</v>
      </c>
      <c r="B1200" s="71">
        <v>2007</v>
      </c>
      <c r="C1200" s="71" t="s">
        <v>982</v>
      </c>
      <c r="D1200" s="71" t="s">
        <v>476</v>
      </c>
      <c r="E1200" s="71" t="s">
        <v>475</v>
      </c>
      <c r="F1200" s="66" t="s">
        <v>307</v>
      </c>
      <c r="G1200" s="70" t="s">
        <v>467</v>
      </c>
      <c r="H1200" s="70" t="s">
        <v>971</v>
      </c>
      <c r="I1200" s="363">
        <v>3</v>
      </c>
      <c r="J1200" s="64"/>
      <c r="K1200" s="64"/>
      <c r="L1200" s="64"/>
    </row>
    <row r="1201" spans="1:12" x14ac:dyDescent="0.25">
      <c r="A1201" s="71">
        <v>522420</v>
      </c>
      <c r="B1201" s="71">
        <v>2007</v>
      </c>
      <c r="C1201" s="71" t="s">
        <v>981</v>
      </c>
      <c r="D1201" s="71" t="s">
        <v>476</v>
      </c>
      <c r="E1201" s="71" t="s">
        <v>475</v>
      </c>
      <c r="F1201" s="66" t="s">
        <v>307</v>
      </c>
      <c r="G1201" s="70" t="s">
        <v>467</v>
      </c>
      <c r="H1201" s="70" t="s">
        <v>971</v>
      </c>
      <c r="I1201" s="363">
        <v>3</v>
      </c>
      <c r="J1201" s="64"/>
      <c r="K1201" s="64"/>
      <c r="L1201" s="64"/>
    </row>
    <row r="1202" spans="1:12" x14ac:dyDescent="0.25">
      <c r="A1202" s="71">
        <v>522430</v>
      </c>
      <c r="B1202" s="71">
        <v>2007</v>
      </c>
      <c r="C1202" s="71" t="s">
        <v>980</v>
      </c>
      <c r="D1202" s="71" t="s">
        <v>476</v>
      </c>
      <c r="E1202" s="71" t="s">
        <v>475</v>
      </c>
      <c r="F1202" s="66" t="s">
        <v>307</v>
      </c>
      <c r="G1202" s="70" t="s">
        <v>467</v>
      </c>
      <c r="H1202" s="70" t="s">
        <v>971</v>
      </c>
      <c r="I1202" s="363">
        <v>3</v>
      </c>
      <c r="J1202" s="64"/>
      <c r="K1202" s="64"/>
      <c r="L1202" s="64"/>
    </row>
    <row r="1203" spans="1:12" x14ac:dyDescent="0.25">
      <c r="A1203" s="71">
        <v>522440</v>
      </c>
      <c r="B1203" s="71">
        <v>2007</v>
      </c>
      <c r="C1203" s="71" t="s">
        <v>979</v>
      </c>
      <c r="D1203" s="71" t="s">
        <v>476</v>
      </c>
      <c r="E1203" s="71" t="s">
        <v>475</v>
      </c>
      <c r="F1203" s="66" t="s">
        <v>307</v>
      </c>
      <c r="G1203" s="70" t="s">
        <v>467</v>
      </c>
      <c r="H1203" s="70" t="s">
        <v>971</v>
      </c>
      <c r="I1203" s="363">
        <v>3</v>
      </c>
      <c r="J1203" s="64"/>
      <c r="K1203" s="64"/>
      <c r="L1203" s="64"/>
    </row>
    <row r="1204" spans="1:12" x14ac:dyDescent="0.25">
      <c r="A1204" s="71">
        <v>522900</v>
      </c>
      <c r="B1204" s="71">
        <v>2007</v>
      </c>
      <c r="C1204" s="71" t="s">
        <v>978</v>
      </c>
      <c r="D1204" s="71" t="s">
        <v>476</v>
      </c>
      <c r="E1204" s="71" t="s">
        <v>475</v>
      </c>
      <c r="F1204" s="66" t="s">
        <v>307</v>
      </c>
      <c r="G1204" s="70" t="s">
        <v>467</v>
      </c>
      <c r="H1204" s="70" t="s">
        <v>971</v>
      </c>
      <c r="I1204" s="363">
        <v>3</v>
      </c>
      <c r="J1204" s="64"/>
      <c r="K1204" s="64"/>
      <c r="L1204" s="64"/>
    </row>
    <row r="1205" spans="1:12" x14ac:dyDescent="0.25">
      <c r="A1205" s="71">
        <v>522910</v>
      </c>
      <c r="B1205" s="71">
        <v>2007</v>
      </c>
      <c r="C1205" s="71" t="s">
        <v>977</v>
      </c>
      <c r="D1205" s="71" t="s">
        <v>476</v>
      </c>
      <c r="E1205" s="71" t="s">
        <v>475</v>
      </c>
      <c r="F1205" s="66" t="s">
        <v>307</v>
      </c>
      <c r="G1205" s="70" t="s">
        <v>467</v>
      </c>
      <c r="H1205" s="70" t="s">
        <v>971</v>
      </c>
      <c r="I1205" s="363">
        <v>3</v>
      </c>
      <c r="J1205" s="64"/>
      <c r="K1205" s="64"/>
      <c r="L1205" s="64"/>
    </row>
    <row r="1206" spans="1:12" x14ac:dyDescent="0.25">
      <c r="A1206" s="71">
        <v>522920</v>
      </c>
      <c r="B1206" s="71">
        <v>2007</v>
      </c>
      <c r="C1206" s="71" t="s">
        <v>976</v>
      </c>
      <c r="D1206" s="71" t="s">
        <v>476</v>
      </c>
      <c r="E1206" s="71" t="s">
        <v>475</v>
      </c>
      <c r="F1206" s="66" t="s">
        <v>307</v>
      </c>
      <c r="G1206" s="70" t="s">
        <v>467</v>
      </c>
      <c r="H1206" s="70" t="s">
        <v>971</v>
      </c>
      <c r="I1206" s="363">
        <v>3</v>
      </c>
      <c r="J1206" s="64"/>
      <c r="K1206" s="64"/>
      <c r="L1206" s="64"/>
    </row>
    <row r="1207" spans="1:12" x14ac:dyDescent="0.25">
      <c r="A1207" s="71">
        <v>522921</v>
      </c>
      <c r="B1207" s="71">
        <v>2007</v>
      </c>
      <c r="C1207" s="71" t="s">
        <v>976</v>
      </c>
      <c r="D1207" s="71" t="s">
        <v>476</v>
      </c>
      <c r="E1207" s="71" t="s">
        <v>475</v>
      </c>
      <c r="F1207" s="66" t="s">
        <v>307</v>
      </c>
      <c r="G1207" s="70" t="s">
        <v>467</v>
      </c>
      <c r="H1207" s="70" t="s">
        <v>971</v>
      </c>
      <c r="I1207" s="363">
        <v>3</v>
      </c>
      <c r="J1207" s="64"/>
      <c r="K1207" s="64"/>
      <c r="L1207" s="64"/>
    </row>
    <row r="1208" spans="1:12" x14ac:dyDescent="0.25">
      <c r="A1208" s="71">
        <v>522922</v>
      </c>
      <c r="B1208" s="71">
        <v>2007</v>
      </c>
      <c r="C1208" s="71" t="s">
        <v>975</v>
      </c>
      <c r="D1208" s="71" t="s">
        <v>476</v>
      </c>
      <c r="E1208" s="71" t="s">
        <v>475</v>
      </c>
      <c r="F1208" s="66" t="s">
        <v>307</v>
      </c>
      <c r="G1208" s="70" t="s">
        <v>467</v>
      </c>
      <c r="H1208" s="70" t="s">
        <v>971</v>
      </c>
      <c r="I1208" s="363">
        <v>3</v>
      </c>
      <c r="J1208" s="64"/>
      <c r="K1208" s="64"/>
      <c r="L1208" s="64"/>
    </row>
    <row r="1209" spans="1:12" x14ac:dyDescent="0.25">
      <c r="A1209" s="71">
        <v>530000</v>
      </c>
      <c r="B1209" s="71">
        <v>2007</v>
      </c>
      <c r="C1209" s="71" t="s">
        <v>974</v>
      </c>
      <c r="D1209" s="71" t="s">
        <v>476</v>
      </c>
      <c r="E1209" s="71" t="s">
        <v>475</v>
      </c>
      <c r="F1209" s="66" t="s">
        <v>307</v>
      </c>
      <c r="G1209" s="70" t="s">
        <v>467</v>
      </c>
      <c r="H1209" s="70" t="s">
        <v>971</v>
      </c>
      <c r="I1209" s="363">
        <v>3</v>
      </c>
      <c r="J1209" s="64"/>
      <c r="K1209" s="64"/>
      <c r="L1209" s="64"/>
    </row>
    <row r="1210" spans="1:12" x14ac:dyDescent="0.25">
      <c r="A1210" s="71">
        <v>531000</v>
      </c>
      <c r="B1210" s="71">
        <v>2007</v>
      </c>
      <c r="C1210" s="71" t="s">
        <v>973</v>
      </c>
      <c r="D1210" s="71" t="s">
        <v>476</v>
      </c>
      <c r="E1210" s="71" t="s">
        <v>475</v>
      </c>
      <c r="F1210" s="66" t="s">
        <v>307</v>
      </c>
      <c r="G1210" s="70" t="s">
        <v>467</v>
      </c>
      <c r="H1210" s="70" t="s">
        <v>971</v>
      </c>
      <c r="I1210" s="363">
        <v>3</v>
      </c>
      <c r="J1210" s="64"/>
      <c r="K1210" s="64"/>
      <c r="L1210" s="64"/>
    </row>
    <row r="1211" spans="1:12" x14ac:dyDescent="0.25">
      <c r="A1211" s="71">
        <v>532000</v>
      </c>
      <c r="B1211" s="71">
        <v>2007</v>
      </c>
      <c r="C1211" s="71" t="s">
        <v>972</v>
      </c>
      <c r="D1211" s="71" t="s">
        <v>476</v>
      </c>
      <c r="E1211" s="71" t="s">
        <v>475</v>
      </c>
      <c r="F1211" s="66" t="s">
        <v>307</v>
      </c>
      <c r="G1211" s="70" t="s">
        <v>467</v>
      </c>
      <c r="H1211" s="70" t="s">
        <v>971</v>
      </c>
      <c r="I1211" s="363">
        <v>3</v>
      </c>
      <c r="J1211" s="64"/>
      <c r="K1211" s="64"/>
      <c r="L1211" s="64"/>
    </row>
    <row r="1212" spans="1:12" x14ac:dyDescent="0.25">
      <c r="A1212" s="71">
        <v>550000</v>
      </c>
      <c r="B1212" s="71">
        <v>2007</v>
      </c>
      <c r="C1212" s="71" t="s">
        <v>970</v>
      </c>
      <c r="D1212" s="71" t="s">
        <v>476</v>
      </c>
      <c r="E1212" s="71" t="s">
        <v>475</v>
      </c>
      <c r="F1212" s="66" t="s">
        <v>307</v>
      </c>
      <c r="G1212" s="70" t="s">
        <v>957</v>
      </c>
      <c r="H1212" s="70" t="s">
        <v>466</v>
      </c>
      <c r="I1212" s="363">
        <v>3</v>
      </c>
      <c r="J1212" s="64"/>
      <c r="K1212" s="64"/>
      <c r="L1212" s="64"/>
    </row>
    <row r="1213" spans="1:12" x14ac:dyDescent="0.25">
      <c r="A1213" s="71">
        <v>551000</v>
      </c>
      <c r="B1213" s="71">
        <v>2007</v>
      </c>
      <c r="C1213" s="71" t="s">
        <v>969</v>
      </c>
      <c r="D1213" s="71" t="s">
        <v>476</v>
      </c>
      <c r="E1213" s="71" t="s">
        <v>475</v>
      </c>
      <c r="F1213" s="66" t="s">
        <v>307</v>
      </c>
      <c r="G1213" s="70" t="s">
        <v>957</v>
      </c>
      <c r="H1213" s="70" t="s">
        <v>466</v>
      </c>
      <c r="I1213" s="363">
        <v>3</v>
      </c>
      <c r="J1213" s="64"/>
      <c r="K1213" s="64"/>
      <c r="L1213" s="64"/>
    </row>
    <row r="1214" spans="1:12" x14ac:dyDescent="0.25">
      <c r="A1214" s="71">
        <v>552000</v>
      </c>
      <c r="B1214" s="71">
        <v>2007</v>
      </c>
      <c r="C1214" s="71" t="s">
        <v>968</v>
      </c>
      <c r="D1214" s="71" t="s">
        <v>476</v>
      </c>
      <c r="E1214" s="71" t="s">
        <v>475</v>
      </c>
      <c r="F1214" s="66" t="s">
        <v>307</v>
      </c>
      <c r="G1214" s="72" t="s">
        <v>957</v>
      </c>
      <c r="H1214" s="70" t="s">
        <v>466</v>
      </c>
      <c r="I1214" s="363">
        <v>3</v>
      </c>
      <c r="J1214" s="64"/>
      <c r="K1214" s="64"/>
      <c r="L1214" s="64"/>
    </row>
    <row r="1215" spans="1:12" x14ac:dyDescent="0.25">
      <c r="A1215" s="71">
        <v>552010</v>
      </c>
      <c r="B1215" s="71">
        <v>2007</v>
      </c>
      <c r="C1215" s="71" t="s">
        <v>967</v>
      </c>
      <c r="D1215" s="71" t="s">
        <v>476</v>
      </c>
      <c r="E1215" s="71" t="s">
        <v>475</v>
      </c>
      <c r="F1215" s="66" t="s">
        <v>307</v>
      </c>
      <c r="G1215" s="72" t="s">
        <v>957</v>
      </c>
      <c r="H1215" s="70" t="s">
        <v>466</v>
      </c>
      <c r="I1215" s="363">
        <v>3</v>
      </c>
      <c r="J1215" s="64"/>
      <c r="K1215" s="64"/>
      <c r="L1215" s="64"/>
    </row>
    <row r="1216" spans="1:12" x14ac:dyDescent="0.25">
      <c r="A1216" s="71">
        <v>552020</v>
      </c>
      <c r="B1216" s="71">
        <v>2007</v>
      </c>
      <c r="C1216" s="71" t="s">
        <v>966</v>
      </c>
      <c r="D1216" s="71" t="s">
        <v>476</v>
      </c>
      <c r="E1216" s="71" t="s">
        <v>475</v>
      </c>
      <c r="F1216" s="66" t="s">
        <v>307</v>
      </c>
      <c r="G1216" s="72" t="s">
        <v>957</v>
      </c>
      <c r="H1216" s="70" t="s">
        <v>466</v>
      </c>
      <c r="I1216" s="363">
        <v>3</v>
      </c>
      <c r="J1216" s="64"/>
      <c r="K1216" s="64"/>
      <c r="L1216" s="64"/>
    </row>
    <row r="1217" spans="1:12" x14ac:dyDescent="0.25">
      <c r="A1217" s="71">
        <v>552030</v>
      </c>
      <c r="B1217" s="71">
        <v>2007</v>
      </c>
      <c r="C1217" s="71" t="s">
        <v>965</v>
      </c>
      <c r="D1217" s="71" t="s">
        <v>476</v>
      </c>
      <c r="E1217" s="71" t="s">
        <v>475</v>
      </c>
      <c r="F1217" s="66" t="s">
        <v>307</v>
      </c>
      <c r="G1217" s="72" t="s">
        <v>957</v>
      </c>
      <c r="H1217" s="70" t="s">
        <v>466</v>
      </c>
      <c r="I1217" s="363">
        <v>3</v>
      </c>
      <c r="J1217" s="64"/>
      <c r="K1217" s="64"/>
      <c r="L1217" s="64"/>
    </row>
    <row r="1218" spans="1:12" x14ac:dyDescent="0.25">
      <c r="A1218" s="71">
        <v>552040</v>
      </c>
      <c r="B1218" s="71">
        <v>2007</v>
      </c>
      <c r="C1218" s="71" t="s">
        <v>964</v>
      </c>
      <c r="D1218" s="71" t="s">
        <v>476</v>
      </c>
      <c r="E1218" s="71" t="s">
        <v>475</v>
      </c>
      <c r="F1218" s="66" t="s">
        <v>307</v>
      </c>
      <c r="G1218" s="72" t="s">
        <v>957</v>
      </c>
      <c r="H1218" s="70" t="s">
        <v>466</v>
      </c>
      <c r="I1218" s="363">
        <v>3</v>
      </c>
      <c r="J1218" s="64"/>
      <c r="K1218" s="64"/>
      <c r="L1218" s="64"/>
    </row>
    <row r="1219" spans="1:12" x14ac:dyDescent="0.25">
      <c r="A1219" s="71">
        <v>552050</v>
      </c>
      <c r="B1219" s="71">
        <v>2007</v>
      </c>
      <c r="C1219" s="71" t="s">
        <v>963</v>
      </c>
      <c r="D1219" s="71" t="s">
        <v>476</v>
      </c>
      <c r="E1219" s="71" t="s">
        <v>475</v>
      </c>
      <c r="F1219" s="66" t="s">
        <v>307</v>
      </c>
      <c r="G1219" s="72" t="s">
        <v>957</v>
      </c>
      <c r="H1219" s="70" t="s">
        <v>466</v>
      </c>
      <c r="I1219" s="363">
        <v>3</v>
      </c>
      <c r="J1219" s="64"/>
      <c r="K1219" s="64"/>
      <c r="L1219" s="64"/>
    </row>
    <row r="1220" spans="1:12" x14ac:dyDescent="0.25">
      <c r="A1220" s="71">
        <v>552051</v>
      </c>
      <c r="B1220" s="71">
        <v>2007</v>
      </c>
      <c r="C1220" s="71" t="s">
        <v>963</v>
      </c>
      <c r="D1220" s="71" t="s">
        <v>476</v>
      </c>
      <c r="E1220" s="71" t="s">
        <v>475</v>
      </c>
      <c r="F1220" s="66" t="s">
        <v>307</v>
      </c>
      <c r="G1220" s="72" t="s">
        <v>957</v>
      </c>
      <c r="H1220" s="70" t="s">
        <v>466</v>
      </c>
      <c r="I1220" s="363">
        <v>3</v>
      </c>
      <c r="J1220" s="64"/>
      <c r="K1220" s="64"/>
      <c r="L1220" s="64"/>
    </row>
    <row r="1221" spans="1:12" x14ac:dyDescent="0.25">
      <c r="A1221" s="71">
        <v>552052</v>
      </c>
      <c r="B1221" s="71">
        <v>2007</v>
      </c>
      <c r="C1221" s="71" t="s">
        <v>962</v>
      </c>
      <c r="D1221" s="71" t="s">
        <v>476</v>
      </c>
      <c r="E1221" s="71" t="s">
        <v>475</v>
      </c>
      <c r="F1221" s="66" t="s">
        <v>307</v>
      </c>
      <c r="G1221" s="72" t="s">
        <v>957</v>
      </c>
      <c r="H1221" s="70" t="s">
        <v>466</v>
      </c>
      <c r="I1221" s="363">
        <v>3</v>
      </c>
      <c r="J1221" s="64"/>
      <c r="K1221" s="64"/>
      <c r="L1221" s="64"/>
    </row>
    <row r="1222" spans="1:12" x14ac:dyDescent="0.25">
      <c r="A1222" s="71">
        <v>553000</v>
      </c>
      <c r="B1222" s="71">
        <v>2007</v>
      </c>
      <c r="C1222" s="71" t="s">
        <v>961</v>
      </c>
      <c r="D1222" s="71" t="s">
        <v>476</v>
      </c>
      <c r="E1222" s="71" t="s">
        <v>475</v>
      </c>
      <c r="F1222" s="66" t="s">
        <v>307</v>
      </c>
      <c r="G1222" s="72" t="s">
        <v>957</v>
      </c>
      <c r="H1222" s="70" t="s">
        <v>466</v>
      </c>
      <c r="I1222" s="363">
        <v>3</v>
      </c>
      <c r="J1222" s="64"/>
      <c r="K1222" s="64"/>
      <c r="L1222" s="64"/>
    </row>
    <row r="1223" spans="1:12" x14ac:dyDescent="0.25">
      <c r="A1223" s="71">
        <v>559000</v>
      </c>
      <c r="B1223" s="71">
        <v>2007</v>
      </c>
      <c r="C1223" s="71" t="s">
        <v>960</v>
      </c>
      <c r="D1223" s="71" t="s">
        <v>476</v>
      </c>
      <c r="E1223" s="71" t="s">
        <v>475</v>
      </c>
      <c r="F1223" s="66" t="s">
        <v>307</v>
      </c>
      <c r="G1223" s="72" t="s">
        <v>957</v>
      </c>
      <c r="H1223" s="70" t="s">
        <v>466</v>
      </c>
      <c r="I1223" s="363">
        <v>3</v>
      </c>
      <c r="J1223" s="64"/>
      <c r="K1223" s="64"/>
      <c r="L1223" s="64"/>
    </row>
    <row r="1224" spans="1:12" x14ac:dyDescent="0.25">
      <c r="A1224" s="71">
        <v>559010</v>
      </c>
      <c r="B1224" s="71">
        <v>2007</v>
      </c>
      <c r="C1224" s="71" t="s">
        <v>959</v>
      </c>
      <c r="D1224" s="71" t="s">
        <v>476</v>
      </c>
      <c r="E1224" s="71" t="s">
        <v>475</v>
      </c>
      <c r="F1224" s="66" t="s">
        <v>307</v>
      </c>
      <c r="G1224" s="72" t="s">
        <v>957</v>
      </c>
      <c r="H1224" s="70" t="s">
        <v>466</v>
      </c>
      <c r="I1224" s="363">
        <v>3</v>
      </c>
      <c r="J1224" s="64"/>
      <c r="K1224" s="64"/>
      <c r="L1224" s="64"/>
    </row>
    <row r="1225" spans="1:12" x14ac:dyDescent="0.25">
      <c r="A1225" s="71">
        <v>559020</v>
      </c>
      <c r="B1225" s="71">
        <v>2007</v>
      </c>
      <c r="C1225" s="71" t="s">
        <v>958</v>
      </c>
      <c r="D1225" s="71" t="s">
        <v>476</v>
      </c>
      <c r="E1225" s="71" t="s">
        <v>475</v>
      </c>
      <c r="F1225" s="66" t="s">
        <v>307</v>
      </c>
      <c r="G1225" s="72" t="s">
        <v>957</v>
      </c>
      <c r="H1225" s="70" t="s">
        <v>466</v>
      </c>
      <c r="I1225" s="363">
        <v>3</v>
      </c>
      <c r="J1225" s="64"/>
      <c r="K1225" s="64"/>
      <c r="L1225" s="64"/>
    </row>
    <row r="1226" spans="1:12" x14ac:dyDescent="0.25">
      <c r="A1226" s="71">
        <v>560000</v>
      </c>
      <c r="B1226" s="71">
        <v>2007</v>
      </c>
      <c r="C1226" s="71" t="s">
        <v>956</v>
      </c>
      <c r="D1226" s="71" t="s">
        <v>476</v>
      </c>
      <c r="E1226" s="71" t="s">
        <v>475</v>
      </c>
      <c r="F1226" s="66" t="s">
        <v>307</v>
      </c>
      <c r="G1226" s="70" t="s">
        <v>467</v>
      </c>
      <c r="H1226" s="70" t="s">
        <v>466</v>
      </c>
      <c r="I1226" s="363">
        <v>3</v>
      </c>
      <c r="J1226" s="64"/>
      <c r="K1226" s="64"/>
      <c r="L1226" s="64"/>
    </row>
    <row r="1227" spans="1:12" x14ac:dyDescent="0.25">
      <c r="A1227" s="71">
        <v>561000</v>
      </c>
      <c r="B1227" s="71">
        <v>2007</v>
      </c>
      <c r="C1227" s="71" t="s">
        <v>955</v>
      </c>
      <c r="D1227" s="71" t="s">
        <v>476</v>
      </c>
      <c r="E1227" s="71" t="s">
        <v>475</v>
      </c>
      <c r="F1227" s="66" t="s">
        <v>307</v>
      </c>
      <c r="G1227" s="70" t="s">
        <v>467</v>
      </c>
      <c r="H1227" s="70" t="s">
        <v>466</v>
      </c>
      <c r="I1227" s="363">
        <v>3</v>
      </c>
      <c r="J1227" s="64"/>
      <c r="K1227" s="64"/>
      <c r="L1227" s="64"/>
    </row>
    <row r="1228" spans="1:12" x14ac:dyDescent="0.25">
      <c r="A1228" s="71">
        <v>561010</v>
      </c>
      <c r="B1228" s="71">
        <v>2007</v>
      </c>
      <c r="C1228" s="71" t="s">
        <v>954</v>
      </c>
      <c r="D1228" s="71" t="s">
        <v>476</v>
      </c>
      <c r="E1228" s="71" t="s">
        <v>475</v>
      </c>
      <c r="F1228" s="66" t="s">
        <v>307</v>
      </c>
      <c r="G1228" s="70" t="s">
        <v>467</v>
      </c>
      <c r="H1228" s="70" t="s">
        <v>466</v>
      </c>
      <c r="I1228" s="363">
        <v>3</v>
      </c>
      <c r="J1228" s="64"/>
      <c r="K1228" s="64"/>
      <c r="L1228" s="64"/>
    </row>
    <row r="1229" spans="1:12" x14ac:dyDescent="0.25">
      <c r="A1229" s="71">
        <v>561011</v>
      </c>
      <c r="B1229" s="71">
        <v>2007</v>
      </c>
      <c r="C1229" s="71" t="s">
        <v>954</v>
      </c>
      <c r="D1229" s="71" t="s">
        <v>476</v>
      </c>
      <c r="E1229" s="71" t="s">
        <v>475</v>
      </c>
      <c r="F1229" s="66" t="s">
        <v>307</v>
      </c>
      <c r="G1229" s="70" t="s">
        <v>467</v>
      </c>
      <c r="H1229" s="70" t="s">
        <v>466</v>
      </c>
      <c r="I1229" s="363">
        <v>3</v>
      </c>
      <c r="J1229" s="64"/>
      <c r="K1229" s="64"/>
      <c r="L1229" s="64"/>
    </row>
    <row r="1230" spans="1:12" x14ac:dyDescent="0.25">
      <c r="A1230" s="71">
        <v>561012</v>
      </c>
      <c r="B1230" s="71">
        <v>2007</v>
      </c>
      <c r="C1230" s="71" t="s">
        <v>953</v>
      </c>
      <c r="D1230" s="71" t="s">
        <v>476</v>
      </c>
      <c r="E1230" s="71" t="s">
        <v>475</v>
      </c>
      <c r="F1230" s="66" t="s">
        <v>307</v>
      </c>
      <c r="G1230" s="70" t="s">
        <v>467</v>
      </c>
      <c r="H1230" s="70" t="s">
        <v>466</v>
      </c>
      <c r="I1230" s="363">
        <v>3</v>
      </c>
      <c r="J1230" s="64"/>
      <c r="K1230" s="64"/>
      <c r="L1230" s="64"/>
    </row>
    <row r="1231" spans="1:12" x14ac:dyDescent="0.25">
      <c r="A1231" s="71">
        <v>561020</v>
      </c>
      <c r="B1231" s="71">
        <v>2007</v>
      </c>
      <c r="C1231" s="71" t="s">
        <v>952</v>
      </c>
      <c r="D1231" s="71" t="s">
        <v>476</v>
      </c>
      <c r="E1231" s="71" t="s">
        <v>475</v>
      </c>
      <c r="F1231" s="66" t="s">
        <v>307</v>
      </c>
      <c r="G1231" s="70" t="s">
        <v>467</v>
      </c>
      <c r="H1231" s="70" t="s">
        <v>466</v>
      </c>
      <c r="I1231" s="363">
        <v>3</v>
      </c>
      <c r="J1231" s="64"/>
      <c r="K1231" s="64"/>
      <c r="L1231" s="64"/>
    </row>
    <row r="1232" spans="1:12" x14ac:dyDescent="0.25">
      <c r="A1232" s="71">
        <v>561030</v>
      </c>
      <c r="B1232" s="71">
        <v>2007</v>
      </c>
      <c r="C1232" s="71" t="s">
        <v>951</v>
      </c>
      <c r="D1232" s="71" t="s">
        <v>476</v>
      </c>
      <c r="E1232" s="71" t="s">
        <v>475</v>
      </c>
      <c r="F1232" s="66" t="s">
        <v>307</v>
      </c>
      <c r="G1232" s="70" t="s">
        <v>467</v>
      </c>
      <c r="H1232" s="70" t="s">
        <v>466</v>
      </c>
      <c r="I1232" s="363">
        <v>3</v>
      </c>
      <c r="J1232" s="64"/>
      <c r="K1232" s="64"/>
      <c r="L1232" s="64"/>
    </row>
    <row r="1233" spans="1:12" x14ac:dyDescent="0.25">
      <c r="A1233" s="71">
        <v>561040</v>
      </c>
      <c r="B1233" s="71">
        <v>2007</v>
      </c>
      <c r="C1233" s="71" t="s">
        <v>950</v>
      </c>
      <c r="D1233" s="71" t="s">
        <v>476</v>
      </c>
      <c r="E1233" s="71" t="s">
        <v>475</v>
      </c>
      <c r="F1233" s="66" t="s">
        <v>307</v>
      </c>
      <c r="G1233" s="70" t="s">
        <v>467</v>
      </c>
      <c r="H1233" s="70" t="s">
        <v>466</v>
      </c>
      <c r="I1233" s="363">
        <v>3</v>
      </c>
      <c r="J1233" s="64"/>
      <c r="K1233" s="64"/>
      <c r="L1233" s="64"/>
    </row>
    <row r="1234" spans="1:12" x14ac:dyDescent="0.25">
      <c r="A1234" s="71">
        <v>561041</v>
      </c>
      <c r="B1234" s="71">
        <v>2007</v>
      </c>
      <c r="C1234" s="71" t="s">
        <v>949</v>
      </c>
      <c r="D1234" s="71" t="s">
        <v>476</v>
      </c>
      <c r="E1234" s="71" t="s">
        <v>475</v>
      </c>
      <c r="F1234" s="66" t="s">
        <v>307</v>
      </c>
      <c r="G1234" s="70" t="s">
        <v>467</v>
      </c>
      <c r="H1234" s="70" t="s">
        <v>466</v>
      </c>
      <c r="I1234" s="363">
        <v>3</v>
      </c>
      <c r="J1234" s="64"/>
      <c r="K1234" s="64"/>
      <c r="L1234" s="64"/>
    </row>
    <row r="1235" spans="1:12" x14ac:dyDescent="0.25">
      <c r="A1235" s="71">
        <v>561042</v>
      </c>
      <c r="B1235" s="71">
        <v>2007</v>
      </c>
      <c r="C1235" s="71" t="s">
        <v>948</v>
      </c>
      <c r="D1235" s="71" t="s">
        <v>476</v>
      </c>
      <c r="E1235" s="71" t="s">
        <v>475</v>
      </c>
      <c r="F1235" s="66" t="s">
        <v>307</v>
      </c>
      <c r="G1235" s="70" t="s">
        <v>467</v>
      </c>
      <c r="H1235" s="70" t="s">
        <v>466</v>
      </c>
      <c r="I1235" s="363">
        <v>3</v>
      </c>
      <c r="J1235" s="64"/>
      <c r="K1235" s="64"/>
      <c r="L1235" s="64"/>
    </row>
    <row r="1236" spans="1:12" x14ac:dyDescent="0.25">
      <c r="A1236" s="71">
        <v>561050</v>
      </c>
      <c r="B1236" s="71">
        <v>2007</v>
      </c>
      <c r="C1236" s="71" t="s">
        <v>947</v>
      </c>
      <c r="D1236" s="71" t="s">
        <v>476</v>
      </c>
      <c r="E1236" s="71" t="s">
        <v>475</v>
      </c>
      <c r="F1236" s="66" t="s">
        <v>307</v>
      </c>
      <c r="G1236" s="70" t="s">
        <v>467</v>
      </c>
      <c r="H1236" s="70" t="s">
        <v>466</v>
      </c>
      <c r="I1236" s="363">
        <v>3</v>
      </c>
      <c r="J1236" s="64"/>
      <c r="K1236" s="64"/>
      <c r="L1236" s="64"/>
    </row>
    <row r="1237" spans="1:12" x14ac:dyDescent="0.25">
      <c r="A1237" s="71">
        <v>562000</v>
      </c>
      <c r="B1237" s="71">
        <v>2007</v>
      </c>
      <c r="C1237" s="71" t="s">
        <v>946</v>
      </c>
      <c r="D1237" s="71" t="s">
        <v>476</v>
      </c>
      <c r="E1237" s="71" t="s">
        <v>475</v>
      </c>
      <c r="F1237" s="66" t="s">
        <v>307</v>
      </c>
      <c r="G1237" s="70" t="s">
        <v>467</v>
      </c>
      <c r="H1237" s="70" t="s">
        <v>466</v>
      </c>
      <c r="I1237" s="363">
        <v>3</v>
      </c>
      <c r="J1237" s="64"/>
      <c r="K1237" s="64"/>
      <c r="L1237" s="64"/>
    </row>
    <row r="1238" spans="1:12" x14ac:dyDescent="0.25">
      <c r="A1238" s="71">
        <v>562100</v>
      </c>
      <c r="B1238" s="71">
        <v>2007</v>
      </c>
      <c r="C1238" s="71" t="s">
        <v>945</v>
      </c>
      <c r="D1238" s="71" t="s">
        <v>476</v>
      </c>
      <c r="E1238" s="71" t="s">
        <v>475</v>
      </c>
      <c r="F1238" s="66" t="s">
        <v>307</v>
      </c>
      <c r="G1238" s="70" t="s">
        <v>467</v>
      </c>
      <c r="H1238" s="70" t="s">
        <v>466</v>
      </c>
      <c r="I1238" s="363">
        <v>3</v>
      </c>
      <c r="J1238" s="64"/>
      <c r="K1238" s="64"/>
      <c r="L1238" s="64"/>
    </row>
    <row r="1239" spans="1:12" x14ac:dyDescent="0.25">
      <c r="A1239" s="71">
        <v>562900</v>
      </c>
      <c r="B1239" s="71">
        <v>2007</v>
      </c>
      <c r="C1239" s="71" t="s">
        <v>944</v>
      </c>
      <c r="D1239" s="71" t="s">
        <v>476</v>
      </c>
      <c r="E1239" s="71" t="s">
        <v>475</v>
      </c>
      <c r="F1239" s="66" t="s">
        <v>307</v>
      </c>
      <c r="G1239" s="70" t="s">
        <v>467</v>
      </c>
      <c r="H1239" s="70" t="s">
        <v>466</v>
      </c>
      <c r="I1239" s="363">
        <v>3</v>
      </c>
      <c r="J1239" s="64"/>
      <c r="K1239" s="64"/>
      <c r="L1239" s="64"/>
    </row>
    <row r="1240" spans="1:12" x14ac:dyDescent="0.25">
      <c r="A1240" s="71">
        <v>562910</v>
      </c>
      <c r="B1240" s="71">
        <v>2007</v>
      </c>
      <c r="C1240" s="71" t="s">
        <v>943</v>
      </c>
      <c r="D1240" s="71" t="s">
        <v>476</v>
      </c>
      <c r="E1240" s="71" t="s">
        <v>475</v>
      </c>
      <c r="F1240" s="66" t="s">
        <v>307</v>
      </c>
      <c r="G1240" s="70" t="s">
        <v>467</v>
      </c>
      <c r="H1240" s="70" t="s">
        <v>466</v>
      </c>
      <c r="I1240" s="363">
        <v>3</v>
      </c>
      <c r="J1240" s="64"/>
      <c r="K1240" s="64"/>
      <c r="L1240" s="64"/>
    </row>
    <row r="1241" spans="1:12" x14ac:dyDescent="0.25">
      <c r="A1241" s="71">
        <v>562920</v>
      </c>
      <c r="B1241" s="71">
        <v>2007</v>
      </c>
      <c r="C1241" s="71" t="s">
        <v>942</v>
      </c>
      <c r="D1241" s="71" t="s">
        <v>476</v>
      </c>
      <c r="E1241" s="71" t="s">
        <v>475</v>
      </c>
      <c r="F1241" s="66" t="s">
        <v>307</v>
      </c>
      <c r="G1241" s="70" t="s">
        <v>467</v>
      </c>
      <c r="H1241" s="70" t="s">
        <v>466</v>
      </c>
      <c r="I1241" s="363">
        <v>3</v>
      </c>
      <c r="J1241" s="64"/>
      <c r="K1241" s="64"/>
      <c r="L1241" s="64"/>
    </row>
    <row r="1242" spans="1:12" x14ac:dyDescent="0.25">
      <c r="A1242" s="71">
        <v>563000</v>
      </c>
      <c r="B1242" s="71">
        <v>2007</v>
      </c>
      <c r="C1242" s="71" t="s">
        <v>941</v>
      </c>
      <c r="D1242" s="71" t="s">
        <v>476</v>
      </c>
      <c r="E1242" s="71" t="s">
        <v>475</v>
      </c>
      <c r="F1242" s="66" t="s">
        <v>307</v>
      </c>
      <c r="G1242" s="70" t="s">
        <v>467</v>
      </c>
      <c r="H1242" s="70" t="s">
        <v>466</v>
      </c>
      <c r="I1242" s="363">
        <v>3</v>
      </c>
      <c r="J1242" s="64"/>
      <c r="K1242" s="64"/>
      <c r="L1242" s="64"/>
    </row>
    <row r="1243" spans="1:12" x14ac:dyDescent="0.25">
      <c r="A1243" s="71">
        <v>580000</v>
      </c>
      <c r="B1243" s="71">
        <v>2007</v>
      </c>
      <c r="C1243" s="71" t="s">
        <v>940</v>
      </c>
      <c r="D1243" s="71" t="s">
        <v>476</v>
      </c>
      <c r="E1243" s="71" t="s">
        <v>475</v>
      </c>
      <c r="F1243" s="66" t="s">
        <v>307</v>
      </c>
      <c r="G1243" s="70" t="s">
        <v>467</v>
      </c>
      <c r="H1243" s="70" t="s">
        <v>466</v>
      </c>
      <c r="I1243" s="363">
        <v>3</v>
      </c>
      <c r="J1243" s="64"/>
      <c r="K1243" s="64"/>
      <c r="L1243" s="64"/>
    </row>
    <row r="1244" spans="1:12" x14ac:dyDescent="0.25">
      <c r="A1244" s="71">
        <v>581000</v>
      </c>
      <c r="B1244" s="71">
        <v>2007</v>
      </c>
      <c r="C1244" s="71" t="s">
        <v>939</v>
      </c>
      <c r="D1244" s="71" t="s">
        <v>476</v>
      </c>
      <c r="E1244" s="71" t="s">
        <v>475</v>
      </c>
      <c r="F1244" s="66" t="s">
        <v>307</v>
      </c>
      <c r="G1244" s="70" t="s">
        <v>467</v>
      </c>
      <c r="H1244" s="70" t="s">
        <v>466</v>
      </c>
      <c r="I1244" s="363">
        <v>3</v>
      </c>
      <c r="J1244" s="64"/>
      <c r="K1244" s="64"/>
      <c r="L1244" s="64"/>
    </row>
    <row r="1245" spans="1:12" x14ac:dyDescent="0.25">
      <c r="A1245" s="71">
        <v>581100</v>
      </c>
      <c r="B1245" s="71">
        <v>2007</v>
      </c>
      <c r="C1245" s="71" t="s">
        <v>938</v>
      </c>
      <c r="D1245" s="71" t="s">
        <v>476</v>
      </c>
      <c r="E1245" s="71" t="s">
        <v>475</v>
      </c>
      <c r="F1245" s="66" t="s">
        <v>307</v>
      </c>
      <c r="G1245" s="70" t="s">
        <v>467</v>
      </c>
      <c r="H1245" s="70" t="s">
        <v>466</v>
      </c>
      <c r="I1245" s="363">
        <v>3</v>
      </c>
      <c r="J1245" s="64"/>
      <c r="K1245" s="64"/>
      <c r="L1245" s="64"/>
    </row>
    <row r="1246" spans="1:12" x14ac:dyDescent="0.25">
      <c r="A1246" s="71">
        <v>581200</v>
      </c>
      <c r="B1246" s="71">
        <v>2007</v>
      </c>
      <c r="C1246" s="71" t="s">
        <v>937</v>
      </c>
      <c r="D1246" s="71" t="s">
        <v>476</v>
      </c>
      <c r="E1246" s="71" t="s">
        <v>475</v>
      </c>
      <c r="F1246" s="66" t="s">
        <v>307</v>
      </c>
      <c r="G1246" s="70" t="s">
        <v>467</v>
      </c>
      <c r="H1246" s="70" t="s">
        <v>466</v>
      </c>
      <c r="I1246" s="363">
        <v>3</v>
      </c>
      <c r="J1246" s="64"/>
      <c r="K1246" s="64"/>
      <c r="L1246" s="64"/>
    </row>
    <row r="1247" spans="1:12" x14ac:dyDescent="0.25">
      <c r="A1247" s="71">
        <v>581201</v>
      </c>
      <c r="B1247" s="71">
        <v>2007</v>
      </c>
      <c r="C1247" s="71" t="s">
        <v>936</v>
      </c>
      <c r="D1247" s="71" t="s">
        <v>476</v>
      </c>
      <c r="E1247" s="71" t="s">
        <v>475</v>
      </c>
      <c r="F1247" s="66" t="s">
        <v>307</v>
      </c>
      <c r="G1247" s="70" t="s">
        <v>467</v>
      </c>
      <c r="H1247" s="70" t="s">
        <v>466</v>
      </c>
      <c r="I1247" s="363">
        <v>3</v>
      </c>
      <c r="J1247" s="64"/>
      <c r="K1247" s="64"/>
      <c r="L1247" s="64"/>
    </row>
    <row r="1248" spans="1:12" x14ac:dyDescent="0.25">
      <c r="A1248" s="71">
        <v>581202</v>
      </c>
      <c r="B1248" s="71">
        <v>2007</v>
      </c>
      <c r="C1248" s="71" t="s">
        <v>935</v>
      </c>
      <c r="D1248" s="71" t="s">
        <v>476</v>
      </c>
      <c r="E1248" s="71" t="s">
        <v>475</v>
      </c>
      <c r="F1248" s="66" t="s">
        <v>307</v>
      </c>
      <c r="G1248" s="70" t="s">
        <v>467</v>
      </c>
      <c r="H1248" s="70" t="s">
        <v>466</v>
      </c>
      <c r="I1248" s="363">
        <v>3</v>
      </c>
      <c r="J1248" s="64"/>
      <c r="K1248" s="64"/>
      <c r="L1248" s="64"/>
    </row>
    <row r="1249" spans="1:12" x14ac:dyDescent="0.25">
      <c r="A1249" s="71">
        <v>581300</v>
      </c>
      <c r="B1249" s="71">
        <v>2007</v>
      </c>
      <c r="C1249" s="71" t="s">
        <v>934</v>
      </c>
      <c r="D1249" s="71" t="s">
        <v>476</v>
      </c>
      <c r="E1249" s="71" t="s">
        <v>475</v>
      </c>
      <c r="F1249" s="66" t="s">
        <v>307</v>
      </c>
      <c r="G1249" s="70" t="s">
        <v>467</v>
      </c>
      <c r="H1249" s="70" t="s">
        <v>466</v>
      </c>
      <c r="I1249" s="363">
        <v>3</v>
      </c>
      <c r="J1249" s="64"/>
      <c r="K1249" s="64"/>
      <c r="L1249" s="64"/>
    </row>
    <row r="1250" spans="1:12" x14ac:dyDescent="0.25">
      <c r="A1250" s="71">
        <v>581400</v>
      </c>
      <c r="B1250" s="71">
        <v>2007</v>
      </c>
      <c r="C1250" s="71" t="s">
        <v>933</v>
      </c>
      <c r="D1250" s="71" t="s">
        <v>476</v>
      </c>
      <c r="E1250" s="71" t="s">
        <v>475</v>
      </c>
      <c r="F1250" s="66" t="s">
        <v>307</v>
      </c>
      <c r="G1250" s="70" t="s">
        <v>467</v>
      </c>
      <c r="H1250" s="70" t="s">
        <v>466</v>
      </c>
      <c r="I1250" s="363">
        <v>3</v>
      </c>
      <c r="J1250" s="64"/>
      <c r="K1250" s="64"/>
      <c r="L1250" s="64"/>
    </row>
    <row r="1251" spans="1:12" x14ac:dyDescent="0.25">
      <c r="A1251" s="71">
        <v>581900</v>
      </c>
      <c r="B1251" s="71">
        <v>2007</v>
      </c>
      <c r="C1251" s="71" t="s">
        <v>932</v>
      </c>
      <c r="D1251" s="71" t="s">
        <v>476</v>
      </c>
      <c r="E1251" s="71" t="s">
        <v>475</v>
      </c>
      <c r="F1251" s="66" t="s">
        <v>307</v>
      </c>
      <c r="G1251" s="70" t="s">
        <v>467</v>
      </c>
      <c r="H1251" s="70" t="s">
        <v>466</v>
      </c>
      <c r="I1251" s="363">
        <v>3</v>
      </c>
      <c r="J1251" s="64"/>
      <c r="K1251" s="64"/>
      <c r="L1251" s="64"/>
    </row>
    <row r="1252" spans="1:12" x14ac:dyDescent="0.25">
      <c r="A1252" s="71">
        <v>582000</v>
      </c>
      <c r="B1252" s="71">
        <v>2007</v>
      </c>
      <c r="C1252" s="71" t="s">
        <v>931</v>
      </c>
      <c r="D1252" s="71" t="s">
        <v>476</v>
      </c>
      <c r="E1252" s="71" t="s">
        <v>475</v>
      </c>
      <c r="F1252" s="66" t="s">
        <v>307</v>
      </c>
      <c r="G1252" s="70" t="s">
        <v>467</v>
      </c>
      <c r="H1252" s="70" t="s">
        <v>466</v>
      </c>
      <c r="I1252" s="363">
        <v>3</v>
      </c>
      <c r="J1252" s="64"/>
      <c r="K1252" s="64"/>
      <c r="L1252" s="64"/>
    </row>
    <row r="1253" spans="1:12" x14ac:dyDescent="0.25">
      <c r="A1253" s="71">
        <v>582100</v>
      </c>
      <c r="B1253" s="71">
        <v>2007</v>
      </c>
      <c r="C1253" s="71" t="s">
        <v>930</v>
      </c>
      <c r="D1253" s="71" t="s">
        <v>476</v>
      </c>
      <c r="E1253" s="71" t="s">
        <v>475</v>
      </c>
      <c r="F1253" s="66" t="s">
        <v>307</v>
      </c>
      <c r="G1253" s="70" t="s">
        <v>467</v>
      </c>
      <c r="H1253" s="70" t="s">
        <v>466</v>
      </c>
      <c r="I1253" s="363">
        <v>3</v>
      </c>
      <c r="J1253" s="64"/>
      <c r="K1253" s="64"/>
      <c r="L1253" s="64"/>
    </row>
    <row r="1254" spans="1:12" x14ac:dyDescent="0.25">
      <c r="A1254" s="71">
        <v>582900</v>
      </c>
      <c r="B1254" s="71">
        <v>2007</v>
      </c>
      <c r="C1254" s="71" t="s">
        <v>929</v>
      </c>
      <c r="D1254" s="71" t="s">
        <v>476</v>
      </c>
      <c r="E1254" s="71" t="s">
        <v>475</v>
      </c>
      <c r="F1254" s="66" t="s">
        <v>307</v>
      </c>
      <c r="G1254" s="70" t="s">
        <v>467</v>
      </c>
      <c r="H1254" s="70" t="s">
        <v>466</v>
      </c>
      <c r="I1254" s="363">
        <v>3</v>
      </c>
      <c r="J1254" s="64"/>
      <c r="K1254" s="64"/>
      <c r="L1254" s="64"/>
    </row>
    <row r="1255" spans="1:12" x14ac:dyDescent="0.25">
      <c r="A1255" s="71">
        <v>590000</v>
      </c>
      <c r="B1255" s="71">
        <v>2007</v>
      </c>
      <c r="C1255" s="71" t="s">
        <v>928</v>
      </c>
      <c r="D1255" s="71" t="s">
        <v>476</v>
      </c>
      <c r="E1255" s="71" t="s">
        <v>475</v>
      </c>
      <c r="F1255" s="66" t="s">
        <v>307</v>
      </c>
      <c r="G1255" s="70" t="s">
        <v>467</v>
      </c>
      <c r="H1255" s="70" t="s">
        <v>466</v>
      </c>
      <c r="I1255" s="363">
        <v>3</v>
      </c>
      <c r="J1255" s="64"/>
      <c r="K1255" s="64"/>
      <c r="L1255" s="64"/>
    </row>
    <row r="1256" spans="1:12" x14ac:dyDescent="0.25">
      <c r="A1256" s="71">
        <v>591000</v>
      </c>
      <c r="B1256" s="71">
        <v>2007</v>
      </c>
      <c r="C1256" s="71" t="s">
        <v>927</v>
      </c>
      <c r="D1256" s="71" t="s">
        <v>476</v>
      </c>
      <c r="E1256" s="71" t="s">
        <v>475</v>
      </c>
      <c r="F1256" s="66" t="s">
        <v>307</v>
      </c>
      <c r="G1256" s="70" t="s">
        <v>467</v>
      </c>
      <c r="H1256" s="70" t="s">
        <v>466</v>
      </c>
      <c r="I1256" s="363">
        <v>3</v>
      </c>
      <c r="J1256" s="64"/>
      <c r="K1256" s="64"/>
      <c r="L1256" s="64"/>
    </row>
    <row r="1257" spans="1:12" x14ac:dyDescent="0.25">
      <c r="A1257" s="71">
        <v>591100</v>
      </c>
      <c r="B1257" s="71">
        <v>2007</v>
      </c>
      <c r="C1257" s="71" t="s">
        <v>926</v>
      </c>
      <c r="D1257" s="71" t="s">
        <v>476</v>
      </c>
      <c r="E1257" s="71" t="s">
        <v>475</v>
      </c>
      <c r="F1257" s="66" t="s">
        <v>307</v>
      </c>
      <c r="G1257" s="70" t="s">
        <v>467</v>
      </c>
      <c r="H1257" s="70" t="s">
        <v>466</v>
      </c>
      <c r="I1257" s="363">
        <v>3</v>
      </c>
      <c r="J1257" s="64"/>
      <c r="K1257" s="64"/>
      <c r="L1257" s="64"/>
    </row>
    <row r="1258" spans="1:12" x14ac:dyDescent="0.25">
      <c r="A1258" s="71">
        <v>591200</v>
      </c>
      <c r="B1258" s="71">
        <v>2007</v>
      </c>
      <c r="C1258" s="71" t="s">
        <v>925</v>
      </c>
      <c r="D1258" s="71" t="s">
        <v>476</v>
      </c>
      <c r="E1258" s="71" t="s">
        <v>475</v>
      </c>
      <c r="F1258" s="66" t="s">
        <v>307</v>
      </c>
      <c r="G1258" s="70" t="s">
        <v>467</v>
      </c>
      <c r="H1258" s="70" t="s">
        <v>466</v>
      </c>
      <c r="I1258" s="363">
        <v>3</v>
      </c>
      <c r="J1258" s="64"/>
      <c r="K1258" s="64"/>
      <c r="L1258" s="64"/>
    </row>
    <row r="1259" spans="1:12" x14ac:dyDescent="0.25">
      <c r="A1259" s="71">
        <v>591300</v>
      </c>
      <c r="B1259" s="71">
        <v>2007</v>
      </c>
      <c r="C1259" s="71" t="s">
        <v>924</v>
      </c>
      <c r="D1259" s="71" t="s">
        <v>476</v>
      </c>
      <c r="E1259" s="71" t="s">
        <v>475</v>
      </c>
      <c r="F1259" s="66" t="s">
        <v>307</v>
      </c>
      <c r="G1259" s="70" t="s">
        <v>467</v>
      </c>
      <c r="H1259" s="70" t="s">
        <v>466</v>
      </c>
      <c r="I1259" s="363">
        <v>3</v>
      </c>
      <c r="J1259" s="64"/>
      <c r="K1259" s="64"/>
      <c r="L1259" s="64"/>
    </row>
    <row r="1260" spans="1:12" x14ac:dyDescent="0.25">
      <c r="A1260" s="71">
        <v>591400</v>
      </c>
      <c r="B1260" s="71">
        <v>2007</v>
      </c>
      <c r="C1260" s="71" t="s">
        <v>923</v>
      </c>
      <c r="D1260" s="71" t="s">
        <v>476</v>
      </c>
      <c r="E1260" s="71" t="s">
        <v>475</v>
      </c>
      <c r="F1260" s="66" t="s">
        <v>307</v>
      </c>
      <c r="G1260" s="70" t="s">
        <v>467</v>
      </c>
      <c r="H1260" s="70" t="s">
        <v>466</v>
      </c>
      <c r="I1260" s="363">
        <v>3</v>
      </c>
      <c r="J1260" s="64"/>
      <c r="K1260" s="64"/>
      <c r="L1260" s="64"/>
    </row>
    <row r="1261" spans="1:12" x14ac:dyDescent="0.25">
      <c r="A1261" s="71">
        <v>592000</v>
      </c>
      <c r="B1261" s="71">
        <v>2007</v>
      </c>
      <c r="C1261" s="71" t="s">
        <v>922</v>
      </c>
      <c r="D1261" s="71" t="s">
        <v>476</v>
      </c>
      <c r="E1261" s="71" t="s">
        <v>475</v>
      </c>
      <c r="F1261" s="66" t="s">
        <v>307</v>
      </c>
      <c r="G1261" s="70" t="s">
        <v>467</v>
      </c>
      <c r="H1261" s="70" t="s">
        <v>466</v>
      </c>
      <c r="I1261" s="363">
        <v>3</v>
      </c>
      <c r="J1261" s="64"/>
      <c r="K1261" s="64"/>
      <c r="L1261" s="64"/>
    </row>
    <row r="1262" spans="1:12" x14ac:dyDescent="0.25">
      <c r="A1262" s="71">
        <v>592010</v>
      </c>
      <c r="B1262" s="71">
        <v>2007</v>
      </c>
      <c r="C1262" s="71" t="s">
        <v>921</v>
      </c>
      <c r="D1262" s="71" t="s">
        <v>476</v>
      </c>
      <c r="E1262" s="71" t="s">
        <v>475</v>
      </c>
      <c r="F1262" s="66" t="s">
        <v>307</v>
      </c>
      <c r="G1262" s="70" t="s">
        <v>467</v>
      </c>
      <c r="H1262" s="70" t="s">
        <v>466</v>
      </c>
      <c r="I1262" s="363">
        <v>3</v>
      </c>
      <c r="J1262" s="64"/>
      <c r="K1262" s="64"/>
      <c r="L1262" s="64"/>
    </row>
    <row r="1263" spans="1:12" x14ac:dyDescent="0.25">
      <c r="A1263" s="71">
        <v>592020</v>
      </c>
      <c r="B1263" s="71">
        <v>2007</v>
      </c>
      <c r="C1263" s="71" t="s">
        <v>920</v>
      </c>
      <c r="D1263" s="71" t="s">
        <v>476</v>
      </c>
      <c r="E1263" s="71" t="s">
        <v>475</v>
      </c>
      <c r="F1263" s="66" t="s">
        <v>307</v>
      </c>
      <c r="G1263" s="70" t="s">
        <v>467</v>
      </c>
      <c r="H1263" s="70" t="s">
        <v>466</v>
      </c>
      <c r="I1263" s="363">
        <v>3</v>
      </c>
      <c r="J1263" s="64"/>
      <c r="K1263" s="64"/>
      <c r="L1263" s="64"/>
    </row>
    <row r="1264" spans="1:12" x14ac:dyDescent="0.25">
      <c r="A1264" s="71">
        <v>592030</v>
      </c>
      <c r="B1264" s="71">
        <v>2007</v>
      </c>
      <c r="C1264" s="71" t="s">
        <v>919</v>
      </c>
      <c r="D1264" s="71" t="s">
        <v>476</v>
      </c>
      <c r="E1264" s="71" t="s">
        <v>475</v>
      </c>
      <c r="F1264" s="66" t="s">
        <v>307</v>
      </c>
      <c r="G1264" s="70" t="s">
        <v>467</v>
      </c>
      <c r="H1264" s="70" t="s">
        <v>466</v>
      </c>
      <c r="I1264" s="363">
        <v>3</v>
      </c>
      <c r="J1264" s="64"/>
      <c r="K1264" s="64"/>
      <c r="L1264" s="64"/>
    </row>
    <row r="1265" spans="1:12" x14ac:dyDescent="0.25">
      <c r="A1265" s="71">
        <v>600000</v>
      </c>
      <c r="B1265" s="71">
        <v>2007</v>
      </c>
      <c r="C1265" s="71" t="s">
        <v>918</v>
      </c>
      <c r="D1265" s="71" t="s">
        <v>476</v>
      </c>
      <c r="E1265" s="71" t="s">
        <v>475</v>
      </c>
      <c r="F1265" s="66" t="s">
        <v>307</v>
      </c>
      <c r="G1265" s="70" t="s">
        <v>467</v>
      </c>
      <c r="H1265" s="70" t="s">
        <v>466</v>
      </c>
      <c r="I1265" s="363">
        <v>3</v>
      </c>
      <c r="J1265" s="64"/>
      <c r="K1265" s="64"/>
      <c r="L1265" s="64"/>
    </row>
    <row r="1266" spans="1:12" x14ac:dyDescent="0.25">
      <c r="A1266" s="71">
        <v>601000</v>
      </c>
      <c r="B1266" s="71">
        <v>2007</v>
      </c>
      <c r="C1266" s="71" t="s">
        <v>917</v>
      </c>
      <c r="D1266" s="71" t="s">
        <v>476</v>
      </c>
      <c r="E1266" s="71" t="s">
        <v>475</v>
      </c>
      <c r="F1266" s="66" t="s">
        <v>307</v>
      </c>
      <c r="G1266" s="70" t="s">
        <v>467</v>
      </c>
      <c r="H1266" s="70" t="s">
        <v>466</v>
      </c>
      <c r="I1266" s="363">
        <v>3</v>
      </c>
      <c r="J1266" s="64"/>
      <c r="K1266" s="64"/>
      <c r="L1266" s="64"/>
    </row>
    <row r="1267" spans="1:12" x14ac:dyDescent="0.25">
      <c r="A1267" s="71">
        <v>602000</v>
      </c>
      <c r="B1267" s="71">
        <v>2007</v>
      </c>
      <c r="C1267" s="71" t="s">
        <v>916</v>
      </c>
      <c r="D1267" s="71" t="s">
        <v>476</v>
      </c>
      <c r="E1267" s="71" t="s">
        <v>475</v>
      </c>
      <c r="F1267" s="66" t="s">
        <v>307</v>
      </c>
      <c r="G1267" s="70" t="s">
        <v>467</v>
      </c>
      <c r="H1267" s="70" t="s">
        <v>466</v>
      </c>
      <c r="I1267" s="363">
        <v>3</v>
      </c>
      <c r="J1267" s="64"/>
      <c r="K1267" s="64"/>
      <c r="L1267" s="64"/>
    </row>
    <row r="1268" spans="1:12" x14ac:dyDescent="0.25">
      <c r="A1268" s="71">
        <v>610000</v>
      </c>
      <c r="B1268" s="71">
        <v>2007</v>
      </c>
      <c r="C1268" s="71" t="s">
        <v>915</v>
      </c>
      <c r="D1268" s="71" t="s">
        <v>476</v>
      </c>
      <c r="E1268" s="71" t="s">
        <v>475</v>
      </c>
      <c r="F1268" s="66" t="s">
        <v>307</v>
      </c>
      <c r="G1268" s="70" t="s">
        <v>467</v>
      </c>
      <c r="H1268" s="70" t="s">
        <v>466</v>
      </c>
      <c r="I1268" s="363">
        <v>3</v>
      </c>
      <c r="J1268" s="64"/>
      <c r="K1268" s="64"/>
      <c r="L1268" s="64"/>
    </row>
    <row r="1269" spans="1:12" x14ac:dyDescent="0.25">
      <c r="A1269" s="71">
        <v>611000</v>
      </c>
      <c r="B1269" s="71">
        <v>2007</v>
      </c>
      <c r="C1269" s="71" t="s">
        <v>914</v>
      </c>
      <c r="D1269" s="71" t="s">
        <v>476</v>
      </c>
      <c r="E1269" s="71" t="s">
        <v>475</v>
      </c>
      <c r="F1269" s="66" t="s">
        <v>307</v>
      </c>
      <c r="G1269" s="70" t="s">
        <v>467</v>
      </c>
      <c r="H1269" s="70" t="s">
        <v>466</v>
      </c>
      <c r="I1269" s="363">
        <v>3</v>
      </c>
      <c r="J1269" s="64"/>
      <c r="K1269" s="64"/>
      <c r="L1269" s="64"/>
    </row>
    <row r="1270" spans="1:12" x14ac:dyDescent="0.25">
      <c r="A1270" s="71">
        <v>612000</v>
      </c>
      <c r="B1270" s="71">
        <v>2007</v>
      </c>
      <c r="C1270" s="71" t="s">
        <v>913</v>
      </c>
      <c r="D1270" s="71" t="s">
        <v>476</v>
      </c>
      <c r="E1270" s="71" t="s">
        <v>475</v>
      </c>
      <c r="F1270" s="66" t="s">
        <v>307</v>
      </c>
      <c r="G1270" s="70" t="s">
        <v>467</v>
      </c>
      <c r="H1270" s="70" t="s">
        <v>466</v>
      </c>
      <c r="I1270" s="363">
        <v>3</v>
      </c>
      <c r="J1270" s="64"/>
      <c r="K1270" s="64"/>
      <c r="L1270" s="64"/>
    </row>
    <row r="1271" spans="1:12" x14ac:dyDescent="0.25">
      <c r="A1271" s="71">
        <v>613000</v>
      </c>
      <c r="B1271" s="71">
        <v>2007</v>
      </c>
      <c r="C1271" s="71" t="s">
        <v>912</v>
      </c>
      <c r="D1271" s="71" t="s">
        <v>476</v>
      </c>
      <c r="E1271" s="71" t="s">
        <v>475</v>
      </c>
      <c r="F1271" s="66" t="s">
        <v>307</v>
      </c>
      <c r="G1271" s="70" t="s">
        <v>467</v>
      </c>
      <c r="H1271" s="70" t="s">
        <v>466</v>
      </c>
      <c r="I1271" s="363">
        <v>3</v>
      </c>
      <c r="J1271" s="64"/>
      <c r="K1271" s="64"/>
      <c r="L1271" s="64"/>
    </row>
    <row r="1272" spans="1:12" x14ac:dyDescent="0.25">
      <c r="A1272" s="71">
        <v>619000</v>
      </c>
      <c r="B1272" s="71">
        <v>2007</v>
      </c>
      <c r="C1272" s="71" t="s">
        <v>911</v>
      </c>
      <c r="D1272" s="71" t="s">
        <v>476</v>
      </c>
      <c r="E1272" s="71" t="s">
        <v>475</v>
      </c>
      <c r="F1272" s="66" t="s">
        <v>307</v>
      </c>
      <c r="G1272" s="70" t="s">
        <v>467</v>
      </c>
      <c r="H1272" s="70" t="s">
        <v>466</v>
      </c>
      <c r="I1272" s="363">
        <v>3</v>
      </c>
      <c r="J1272" s="64"/>
      <c r="K1272" s="64"/>
      <c r="L1272" s="64"/>
    </row>
    <row r="1273" spans="1:12" x14ac:dyDescent="0.25">
      <c r="A1273" s="71">
        <v>619010</v>
      </c>
      <c r="B1273" s="71">
        <v>2007</v>
      </c>
      <c r="C1273" s="71" t="s">
        <v>910</v>
      </c>
      <c r="D1273" s="71" t="s">
        <v>476</v>
      </c>
      <c r="E1273" s="71" t="s">
        <v>475</v>
      </c>
      <c r="F1273" s="66" t="s">
        <v>307</v>
      </c>
      <c r="G1273" s="70" t="s">
        <v>467</v>
      </c>
      <c r="H1273" s="70" t="s">
        <v>466</v>
      </c>
      <c r="I1273" s="363">
        <v>3</v>
      </c>
      <c r="J1273" s="64"/>
      <c r="K1273" s="64"/>
      <c r="L1273" s="64"/>
    </row>
    <row r="1274" spans="1:12" x14ac:dyDescent="0.25">
      <c r="A1274" s="71">
        <v>619020</v>
      </c>
      <c r="B1274" s="71">
        <v>2007</v>
      </c>
      <c r="C1274" s="71" t="s">
        <v>909</v>
      </c>
      <c r="D1274" s="71" t="s">
        <v>476</v>
      </c>
      <c r="E1274" s="71" t="s">
        <v>475</v>
      </c>
      <c r="F1274" s="66" t="s">
        <v>307</v>
      </c>
      <c r="G1274" s="70" t="s">
        <v>467</v>
      </c>
      <c r="H1274" s="70" t="s">
        <v>466</v>
      </c>
      <c r="I1274" s="363">
        <v>3</v>
      </c>
      <c r="J1274" s="64"/>
      <c r="K1274" s="64"/>
      <c r="L1274" s="64"/>
    </row>
    <row r="1275" spans="1:12" x14ac:dyDescent="0.25">
      <c r="A1275" s="71">
        <v>619090</v>
      </c>
      <c r="B1275" s="71">
        <v>2007</v>
      </c>
      <c r="C1275" s="71" t="s">
        <v>908</v>
      </c>
      <c r="D1275" s="71" t="s">
        <v>476</v>
      </c>
      <c r="E1275" s="71" t="s">
        <v>475</v>
      </c>
      <c r="F1275" s="66" t="s">
        <v>307</v>
      </c>
      <c r="G1275" s="70" t="s">
        <v>467</v>
      </c>
      <c r="H1275" s="70" t="s">
        <v>466</v>
      </c>
      <c r="I1275" s="363">
        <v>3</v>
      </c>
      <c r="J1275" s="64"/>
      <c r="K1275" s="64"/>
      <c r="L1275" s="64"/>
    </row>
    <row r="1276" spans="1:12" x14ac:dyDescent="0.25">
      <c r="A1276" s="71">
        <v>619091</v>
      </c>
      <c r="B1276" s="71">
        <v>2007</v>
      </c>
      <c r="C1276" s="71" t="s">
        <v>907</v>
      </c>
      <c r="D1276" s="71" t="s">
        <v>476</v>
      </c>
      <c r="E1276" s="71" t="s">
        <v>475</v>
      </c>
      <c r="F1276" s="66" t="s">
        <v>307</v>
      </c>
      <c r="G1276" s="70" t="s">
        <v>467</v>
      </c>
      <c r="H1276" s="70" t="s">
        <v>466</v>
      </c>
      <c r="I1276" s="363">
        <v>3</v>
      </c>
      <c r="J1276" s="64"/>
      <c r="K1276" s="64"/>
      <c r="L1276" s="64"/>
    </row>
    <row r="1277" spans="1:12" x14ac:dyDescent="0.25">
      <c r="A1277" s="71">
        <v>619099</v>
      </c>
      <c r="B1277" s="71">
        <v>2007</v>
      </c>
      <c r="C1277" s="71" t="s">
        <v>906</v>
      </c>
      <c r="D1277" s="71" t="s">
        <v>476</v>
      </c>
      <c r="E1277" s="71" t="s">
        <v>475</v>
      </c>
      <c r="F1277" s="66" t="s">
        <v>307</v>
      </c>
      <c r="G1277" s="70" t="s">
        <v>467</v>
      </c>
      <c r="H1277" s="70" t="s">
        <v>466</v>
      </c>
      <c r="I1277" s="363">
        <v>3</v>
      </c>
      <c r="J1277" s="64"/>
      <c r="K1277" s="64"/>
      <c r="L1277" s="64"/>
    </row>
    <row r="1278" spans="1:12" x14ac:dyDescent="0.25">
      <c r="A1278" s="71">
        <v>620000</v>
      </c>
      <c r="B1278" s="71">
        <v>2007</v>
      </c>
      <c r="C1278" s="71" t="s">
        <v>905</v>
      </c>
      <c r="D1278" s="71" t="s">
        <v>476</v>
      </c>
      <c r="E1278" s="71" t="s">
        <v>475</v>
      </c>
      <c r="F1278" s="66" t="s">
        <v>307</v>
      </c>
      <c r="G1278" s="70" t="s">
        <v>467</v>
      </c>
      <c r="H1278" s="70" t="s">
        <v>466</v>
      </c>
      <c r="I1278" s="363">
        <v>3</v>
      </c>
      <c r="J1278" s="64"/>
      <c r="K1278" s="64"/>
      <c r="L1278" s="64"/>
    </row>
    <row r="1279" spans="1:12" x14ac:dyDescent="0.25">
      <c r="A1279" s="71">
        <v>620100</v>
      </c>
      <c r="B1279" s="71">
        <v>2007</v>
      </c>
      <c r="C1279" s="71" t="s">
        <v>904</v>
      </c>
      <c r="D1279" s="71" t="s">
        <v>476</v>
      </c>
      <c r="E1279" s="71" t="s">
        <v>475</v>
      </c>
      <c r="F1279" s="66" t="s">
        <v>307</v>
      </c>
      <c r="G1279" s="70" t="s">
        <v>467</v>
      </c>
      <c r="H1279" s="70" t="s">
        <v>466</v>
      </c>
      <c r="I1279" s="363">
        <v>3</v>
      </c>
      <c r="J1279" s="64"/>
      <c r="K1279" s="64"/>
      <c r="L1279" s="64"/>
    </row>
    <row r="1280" spans="1:12" x14ac:dyDescent="0.25">
      <c r="A1280" s="71">
        <v>620200</v>
      </c>
      <c r="B1280" s="71">
        <v>2007</v>
      </c>
      <c r="C1280" s="71" t="s">
        <v>903</v>
      </c>
      <c r="D1280" s="71" t="s">
        <v>476</v>
      </c>
      <c r="E1280" s="71" t="s">
        <v>475</v>
      </c>
      <c r="F1280" s="66" t="s">
        <v>307</v>
      </c>
      <c r="G1280" s="70" t="s">
        <v>467</v>
      </c>
      <c r="H1280" s="70" t="s">
        <v>466</v>
      </c>
      <c r="I1280" s="363">
        <v>3</v>
      </c>
      <c r="J1280" s="64"/>
      <c r="K1280" s="64"/>
      <c r="L1280" s="64"/>
    </row>
    <row r="1281" spans="1:12" x14ac:dyDescent="0.25">
      <c r="A1281" s="71">
        <v>620300</v>
      </c>
      <c r="B1281" s="71">
        <v>2007</v>
      </c>
      <c r="C1281" s="71" t="s">
        <v>902</v>
      </c>
      <c r="D1281" s="71" t="s">
        <v>476</v>
      </c>
      <c r="E1281" s="71" t="s">
        <v>475</v>
      </c>
      <c r="F1281" s="66" t="s">
        <v>307</v>
      </c>
      <c r="G1281" s="70" t="s">
        <v>467</v>
      </c>
      <c r="H1281" s="70" t="s">
        <v>466</v>
      </c>
      <c r="I1281" s="363">
        <v>3</v>
      </c>
      <c r="J1281" s="64"/>
      <c r="K1281" s="64"/>
      <c r="L1281" s="64"/>
    </row>
    <row r="1282" spans="1:12" x14ac:dyDescent="0.25">
      <c r="A1282" s="71">
        <v>620900</v>
      </c>
      <c r="B1282" s="71">
        <v>2007</v>
      </c>
      <c r="C1282" s="71" t="s">
        <v>901</v>
      </c>
      <c r="D1282" s="71" t="s">
        <v>476</v>
      </c>
      <c r="E1282" s="71" t="s">
        <v>475</v>
      </c>
      <c r="F1282" s="66" t="s">
        <v>307</v>
      </c>
      <c r="G1282" s="70" t="s">
        <v>467</v>
      </c>
      <c r="H1282" s="70" t="s">
        <v>466</v>
      </c>
      <c r="I1282" s="363">
        <v>3</v>
      </c>
      <c r="J1282" s="64"/>
      <c r="K1282" s="64"/>
      <c r="L1282" s="64"/>
    </row>
    <row r="1283" spans="1:12" x14ac:dyDescent="0.25">
      <c r="A1283" s="71">
        <v>620901</v>
      </c>
      <c r="B1283" s="71">
        <v>2007</v>
      </c>
      <c r="C1283" s="71" t="s">
        <v>900</v>
      </c>
      <c r="D1283" s="71" t="s">
        <v>476</v>
      </c>
      <c r="E1283" s="71" t="s">
        <v>475</v>
      </c>
      <c r="F1283" s="66" t="s">
        <v>307</v>
      </c>
      <c r="G1283" s="70" t="s">
        <v>467</v>
      </c>
      <c r="H1283" s="70" t="s">
        <v>466</v>
      </c>
      <c r="I1283" s="363">
        <v>3</v>
      </c>
      <c r="J1283" s="64"/>
      <c r="K1283" s="64"/>
      <c r="L1283" s="64"/>
    </row>
    <row r="1284" spans="1:12" x14ac:dyDescent="0.25">
      <c r="A1284" s="71">
        <v>620909</v>
      </c>
      <c r="B1284" s="71">
        <v>2007</v>
      </c>
      <c r="C1284" s="71" t="s">
        <v>899</v>
      </c>
      <c r="D1284" s="71" t="s">
        <v>476</v>
      </c>
      <c r="E1284" s="71" t="s">
        <v>475</v>
      </c>
      <c r="F1284" s="66" t="s">
        <v>307</v>
      </c>
      <c r="G1284" s="70" t="s">
        <v>467</v>
      </c>
      <c r="H1284" s="70" t="s">
        <v>466</v>
      </c>
      <c r="I1284" s="363">
        <v>3</v>
      </c>
      <c r="J1284" s="64"/>
      <c r="K1284" s="64"/>
      <c r="L1284" s="64"/>
    </row>
    <row r="1285" spans="1:12" x14ac:dyDescent="0.25">
      <c r="A1285" s="71">
        <v>630000</v>
      </c>
      <c r="B1285" s="71">
        <v>2007</v>
      </c>
      <c r="C1285" s="71" t="s">
        <v>898</v>
      </c>
      <c r="D1285" s="71" t="s">
        <v>476</v>
      </c>
      <c r="E1285" s="71" t="s">
        <v>475</v>
      </c>
      <c r="F1285" s="66" t="s">
        <v>307</v>
      </c>
      <c r="G1285" s="70" t="s">
        <v>467</v>
      </c>
      <c r="H1285" s="70" t="s">
        <v>466</v>
      </c>
      <c r="I1285" s="363">
        <v>3</v>
      </c>
      <c r="J1285" s="64"/>
      <c r="K1285" s="64"/>
      <c r="L1285" s="64"/>
    </row>
    <row r="1286" spans="1:12" x14ac:dyDescent="0.25">
      <c r="A1286" s="71">
        <v>631000</v>
      </c>
      <c r="B1286" s="71">
        <v>2007</v>
      </c>
      <c r="C1286" s="71" t="s">
        <v>897</v>
      </c>
      <c r="D1286" s="71" t="s">
        <v>476</v>
      </c>
      <c r="E1286" s="71" t="s">
        <v>475</v>
      </c>
      <c r="F1286" s="66" t="s">
        <v>307</v>
      </c>
      <c r="G1286" s="70" t="s">
        <v>467</v>
      </c>
      <c r="H1286" s="70" t="s">
        <v>466</v>
      </c>
      <c r="I1286" s="363">
        <v>3</v>
      </c>
      <c r="J1286" s="64"/>
      <c r="K1286" s="64"/>
      <c r="L1286" s="64"/>
    </row>
    <row r="1287" spans="1:12" x14ac:dyDescent="0.25">
      <c r="A1287" s="71">
        <v>631100</v>
      </c>
      <c r="B1287" s="71">
        <v>2007</v>
      </c>
      <c r="C1287" s="71" t="s">
        <v>896</v>
      </c>
      <c r="D1287" s="71" t="s">
        <v>476</v>
      </c>
      <c r="E1287" s="71" t="s">
        <v>475</v>
      </c>
      <c r="F1287" s="66" t="s">
        <v>307</v>
      </c>
      <c r="G1287" s="70" t="s">
        <v>467</v>
      </c>
      <c r="H1287" s="70" t="s">
        <v>466</v>
      </c>
      <c r="I1287" s="363">
        <v>3</v>
      </c>
      <c r="J1287" s="64"/>
      <c r="K1287" s="64"/>
      <c r="L1287" s="64"/>
    </row>
    <row r="1288" spans="1:12" x14ac:dyDescent="0.25">
      <c r="A1288" s="71">
        <v>631110</v>
      </c>
      <c r="B1288" s="71">
        <v>2007</v>
      </c>
      <c r="C1288" s="71" t="s">
        <v>895</v>
      </c>
      <c r="D1288" s="71" t="s">
        <v>476</v>
      </c>
      <c r="E1288" s="71" t="s">
        <v>475</v>
      </c>
      <c r="F1288" s="66" t="s">
        <v>307</v>
      </c>
      <c r="G1288" s="70" t="s">
        <v>467</v>
      </c>
      <c r="H1288" s="70" t="s">
        <v>466</v>
      </c>
      <c r="I1288" s="363">
        <v>3</v>
      </c>
      <c r="J1288" s="64"/>
      <c r="K1288" s="64"/>
      <c r="L1288" s="64"/>
    </row>
    <row r="1289" spans="1:12" x14ac:dyDescent="0.25">
      <c r="A1289" s="71">
        <v>631111</v>
      </c>
      <c r="B1289" s="71">
        <v>2007</v>
      </c>
      <c r="C1289" s="71" t="s">
        <v>894</v>
      </c>
      <c r="D1289" s="71" t="s">
        <v>476</v>
      </c>
      <c r="E1289" s="71" t="s">
        <v>475</v>
      </c>
      <c r="F1289" s="66" t="s">
        <v>307</v>
      </c>
      <c r="G1289" s="70" t="s">
        <v>467</v>
      </c>
      <c r="H1289" s="70" t="s">
        <v>466</v>
      </c>
      <c r="I1289" s="363">
        <v>3</v>
      </c>
      <c r="J1289" s="64"/>
      <c r="K1289" s="64"/>
      <c r="L1289" s="64"/>
    </row>
    <row r="1290" spans="1:12" x14ac:dyDescent="0.25">
      <c r="A1290" s="71">
        <v>631119</v>
      </c>
      <c r="B1290" s="71">
        <v>2007</v>
      </c>
      <c r="C1290" s="71" t="s">
        <v>893</v>
      </c>
      <c r="D1290" s="71" t="s">
        <v>476</v>
      </c>
      <c r="E1290" s="71" t="s">
        <v>475</v>
      </c>
      <c r="F1290" s="66" t="s">
        <v>307</v>
      </c>
      <c r="G1290" s="70" t="s">
        <v>467</v>
      </c>
      <c r="H1290" s="70" t="s">
        <v>466</v>
      </c>
      <c r="I1290" s="363">
        <v>3</v>
      </c>
      <c r="J1290" s="64"/>
      <c r="K1290" s="64"/>
      <c r="L1290" s="64"/>
    </row>
    <row r="1291" spans="1:12" x14ac:dyDescent="0.25">
      <c r="A1291" s="71">
        <v>631120</v>
      </c>
      <c r="B1291" s="71">
        <v>2007</v>
      </c>
      <c r="C1291" s="71" t="s">
        <v>892</v>
      </c>
      <c r="D1291" s="71" t="s">
        <v>476</v>
      </c>
      <c r="E1291" s="71" t="s">
        <v>475</v>
      </c>
      <c r="F1291" s="66" t="s">
        <v>307</v>
      </c>
      <c r="G1291" s="70" t="s">
        <v>467</v>
      </c>
      <c r="H1291" s="70" t="s">
        <v>466</v>
      </c>
      <c r="I1291" s="363">
        <v>3</v>
      </c>
      <c r="J1291" s="64"/>
      <c r="K1291" s="64"/>
      <c r="L1291" s="64"/>
    </row>
    <row r="1292" spans="1:12" x14ac:dyDescent="0.25">
      <c r="A1292" s="71">
        <v>631130</v>
      </c>
      <c r="B1292" s="71">
        <v>2007</v>
      </c>
      <c r="C1292" s="71" t="s">
        <v>891</v>
      </c>
      <c r="D1292" s="71" t="s">
        <v>476</v>
      </c>
      <c r="E1292" s="71" t="s">
        <v>475</v>
      </c>
      <c r="F1292" s="66" t="s">
        <v>307</v>
      </c>
      <c r="G1292" s="70" t="s">
        <v>467</v>
      </c>
      <c r="H1292" s="70" t="s">
        <v>466</v>
      </c>
      <c r="I1292" s="363">
        <v>3</v>
      </c>
      <c r="J1292" s="64"/>
      <c r="K1292" s="64"/>
      <c r="L1292" s="64"/>
    </row>
    <row r="1293" spans="1:12" x14ac:dyDescent="0.25">
      <c r="A1293" s="71">
        <v>631200</v>
      </c>
      <c r="B1293" s="71">
        <v>2007</v>
      </c>
      <c r="C1293" s="71" t="s">
        <v>890</v>
      </c>
      <c r="D1293" s="71" t="s">
        <v>476</v>
      </c>
      <c r="E1293" s="71" t="s">
        <v>475</v>
      </c>
      <c r="F1293" s="66" t="s">
        <v>307</v>
      </c>
      <c r="G1293" s="70" t="s">
        <v>467</v>
      </c>
      <c r="H1293" s="70" t="s">
        <v>466</v>
      </c>
      <c r="I1293" s="363">
        <v>3</v>
      </c>
      <c r="J1293" s="64"/>
      <c r="K1293" s="64"/>
      <c r="L1293" s="64"/>
    </row>
    <row r="1294" spans="1:12" x14ac:dyDescent="0.25">
      <c r="A1294" s="71">
        <v>639000</v>
      </c>
      <c r="B1294" s="71">
        <v>2007</v>
      </c>
      <c r="C1294" s="71" t="s">
        <v>889</v>
      </c>
      <c r="D1294" s="71" t="s">
        <v>476</v>
      </c>
      <c r="E1294" s="71" t="s">
        <v>475</v>
      </c>
      <c r="F1294" s="66" t="s">
        <v>307</v>
      </c>
      <c r="G1294" s="70" t="s">
        <v>467</v>
      </c>
      <c r="H1294" s="70" t="s">
        <v>466</v>
      </c>
      <c r="I1294" s="363">
        <v>3</v>
      </c>
      <c r="J1294" s="64"/>
      <c r="K1294" s="64"/>
      <c r="L1294" s="64"/>
    </row>
    <row r="1295" spans="1:12" x14ac:dyDescent="0.25">
      <c r="A1295" s="71">
        <v>639100</v>
      </c>
      <c r="B1295" s="71">
        <v>2007</v>
      </c>
      <c r="C1295" s="71" t="s">
        <v>888</v>
      </c>
      <c r="D1295" s="71" t="s">
        <v>476</v>
      </c>
      <c r="E1295" s="71" t="s">
        <v>475</v>
      </c>
      <c r="F1295" s="66" t="s">
        <v>307</v>
      </c>
      <c r="G1295" s="70" t="s">
        <v>467</v>
      </c>
      <c r="H1295" s="70" t="s">
        <v>466</v>
      </c>
      <c r="I1295" s="363">
        <v>3</v>
      </c>
      <c r="J1295" s="64"/>
      <c r="K1295" s="64"/>
      <c r="L1295" s="64"/>
    </row>
    <row r="1296" spans="1:12" x14ac:dyDescent="0.25">
      <c r="A1296" s="71">
        <v>639900</v>
      </c>
      <c r="B1296" s="71">
        <v>2007</v>
      </c>
      <c r="C1296" s="71" t="s">
        <v>887</v>
      </c>
      <c r="D1296" s="71" t="s">
        <v>476</v>
      </c>
      <c r="E1296" s="71" t="s">
        <v>475</v>
      </c>
      <c r="F1296" s="66" t="s">
        <v>307</v>
      </c>
      <c r="G1296" s="70" t="s">
        <v>467</v>
      </c>
      <c r="H1296" s="70" t="s">
        <v>466</v>
      </c>
      <c r="I1296" s="363">
        <v>3</v>
      </c>
      <c r="J1296" s="64"/>
      <c r="K1296" s="64"/>
      <c r="L1296" s="64"/>
    </row>
    <row r="1297" spans="1:12" x14ac:dyDescent="0.25">
      <c r="A1297" s="71">
        <v>640000</v>
      </c>
      <c r="B1297" s="71">
        <v>2007</v>
      </c>
      <c r="C1297" s="71" t="s">
        <v>886</v>
      </c>
      <c r="D1297" s="71" t="s">
        <v>469</v>
      </c>
      <c r="E1297" s="71" t="s">
        <v>468</v>
      </c>
      <c r="F1297" s="66" t="s">
        <v>307</v>
      </c>
      <c r="G1297" s="70" t="s">
        <v>467</v>
      </c>
      <c r="H1297" s="70" t="s">
        <v>466</v>
      </c>
      <c r="I1297" s="363">
        <v>3</v>
      </c>
      <c r="J1297" s="64"/>
      <c r="K1297" s="64"/>
      <c r="L1297" s="64"/>
    </row>
    <row r="1298" spans="1:12" x14ac:dyDescent="0.25">
      <c r="A1298" s="71">
        <v>641000</v>
      </c>
      <c r="B1298" s="71">
        <v>2007</v>
      </c>
      <c r="C1298" s="71" t="s">
        <v>885</v>
      </c>
      <c r="D1298" s="71" t="s">
        <v>469</v>
      </c>
      <c r="E1298" s="71" t="s">
        <v>468</v>
      </c>
      <c r="F1298" s="66" t="s">
        <v>307</v>
      </c>
      <c r="G1298" s="70" t="s">
        <v>467</v>
      </c>
      <c r="H1298" s="70" t="s">
        <v>466</v>
      </c>
      <c r="I1298" s="363">
        <v>3</v>
      </c>
      <c r="J1298" s="64"/>
      <c r="K1298" s="64"/>
      <c r="L1298" s="64"/>
    </row>
    <row r="1299" spans="1:12" x14ac:dyDescent="0.25">
      <c r="A1299" s="71">
        <v>641100</v>
      </c>
      <c r="B1299" s="71">
        <v>2007</v>
      </c>
      <c r="C1299" s="71" t="s">
        <v>884</v>
      </c>
      <c r="D1299" s="71" t="s">
        <v>469</v>
      </c>
      <c r="E1299" s="71" t="s">
        <v>468</v>
      </c>
      <c r="F1299" s="66" t="s">
        <v>307</v>
      </c>
      <c r="G1299" s="70" t="s">
        <v>467</v>
      </c>
      <c r="H1299" s="70" t="s">
        <v>466</v>
      </c>
      <c r="I1299" s="363">
        <v>3</v>
      </c>
      <c r="J1299" s="64"/>
      <c r="K1299" s="64"/>
      <c r="L1299" s="64"/>
    </row>
    <row r="1300" spans="1:12" x14ac:dyDescent="0.25">
      <c r="A1300" s="71">
        <v>641900</v>
      </c>
      <c r="B1300" s="71">
        <v>2007</v>
      </c>
      <c r="C1300" s="71" t="s">
        <v>883</v>
      </c>
      <c r="D1300" s="71" t="s">
        <v>469</v>
      </c>
      <c r="E1300" s="71" t="s">
        <v>468</v>
      </c>
      <c r="F1300" s="66" t="s">
        <v>307</v>
      </c>
      <c r="G1300" s="70" t="s">
        <v>467</v>
      </c>
      <c r="H1300" s="70" t="s">
        <v>466</v>
      </c>
      <c r="I1300" s="363">
        <v>3</v>
      </c>
      <c r="J1300" s="64"/>
      <c r="K1300" s="64"/>
      <c r="L1300" s="64"/>
    </row>
    <row r="1301" spans="1:12" x14ac:dyDescent="0.25">
      <c r="A1301" s="71">
        <v>641910</v>
      </c>
      <c r="B1301" s="71">
        <v>2007</v>
      </c>
      <c r="C1301" s="71" t="s">
        <v>882</v>
      </c>
      <c r="D1301" s="71" t="s">
        <v>469</v>
      </c>
      <c r="E1301" s="71" t="s">
        <v>468</v>
      </c>
      <c r="F1301" s="66" t="s">
        <v>307</v>
      </c>
      <c r="G1301" s="70" t="s">
        <v>467</v>
      </c>
      <c r="H1301" s="70" t="s">
        <v>466</v>
      </c>
      <c r="I1301" s="363">
        <v>3</v>
      </c>
      <c r="J1301" s="64"/>
      <c r="K1301" s="64"/>
      <c r="L1301" s="64"/>
    </row>
    <row r="1302" spans="1:12" x14ac:dyDescent="0.25">
      <c r="A1302" s="71">
        <v>641920</v>
      </c>
      <c r="B1302" s="71">
        <v>2007</v>
      </c>
      <c r="C1302" s="71" t="s">
        <v>881</v>
      </c>
      <c r="D1302" s="71" t="s">
        <v>469</v>
      </c>
      <c r="E1302" s="71" t="s">
        <v>468</v>
      </c>
      <c r="F1302" s="66" t="s">
        <v>307</v>
      </c>
      <c r="G1302" s="70" t="s">
        <v>467</v>
      </c>
      <c r="H1302" s="70" t="s">
        <v>466</v>
      </c>
      <c r="I1302" s="363">
        <v>3</v>
      </c>
      <c r="J1302" s="64"/>
      <c r="K1302" s="64"/>
      <c r="L1302" s="64"/>
    </row>
    <row r="1303" spans="1:12" x14ac:dyDescent="0.25">
      <c r="A1303" s="71">
        <v>641930</v>
      </c>
      <c r="B1303" s="71">
        <v>2007</v>
      </c>
      <c r="C1303" s="71" t="s">
        <v>880</v>
      </c>
      <c r="D1303" s="71" t="s">
        <v>469</v>
      </c>
      <c r="E1303" s="71" t="s">
        <v>468</v>
      </c>
      <c r="F1303" s="66" t="s">
        <v>307</v>
      </c>
      <c r="G1303" s="70" t="s">
        <v>467</v>
      </c>
      <c r="H1303" s="70" t="s">
        <v>466</v>
      </c>
      <c r="I1303" s="363">
        <v>3</v>
      </c>
      <c r="J1303" s="64"/>
      <c r="K1303" s="64"/>
      <c r="L1303" s="64"/>
    </row>
    <row r="1304" spans="1:12" x14ac:dyDescent="0.25">
      <c r="A1304" s="71">
        <v>641940</v>
      </c>
      <c r="B1304" s="71">
        <v>2007</v>
      </c>
      <c r="C1304" s="71" t="s">
        <v>879</v>
      </c>
      <c r="D1304" s="71" t="s">
        <v>469</v>
      </c>
      <c r="E1304" s="71" t="s">
        <v>468</v>
      </c>
      <c r="F1304" s="66" t="s">
        <v>307</v>
      </c>
      <c r="G1304" s="70" t="s">
        <v>467</v>
      </c>
      <c r="H1304" s="70" t="s">
        <v>466</v>
      </c>
      <c r="I1304" s="363">
        <v>3</v>
      </c>
      <c r="J1304" s="64"/>
      <c r="K1304" s="64"/>
      <c r="L1304" s="64"/>
    </row>
    <row r="1305" spans="1:12" x14ac:dyDescent="0.25">
      <c r="A1305" s="71">
        <v>642000</v>
      </c>
      <c r="B1305" s="71">
        <v>2007</v>
      </c>
      <c r="C1305" s="71" t="s">
        <v>878</v>
      </c>
      <c r="D1305" s="71" t="s">
        <v>469</v>
      </c>
      <c r="E1305" s="71" t="s">
        <v>468</v>
      </c>
      <c r="F1305" s="66" t="s">
        <v>307</v>
      </c>
      <c r="G1305" s="70" t="s">
        <v>467</v>
      </c>
      <c r="H1305" s="70" t="s">
        <v>466</v>
      </c>
      <c r="I1305" s="363">
        <v>3</v>
      </c>
      <c r="J1305" s="64"/>
      <c r="K1305" s="64"/>
      <c r="L1305" s="64"/>
    </row>
    <row r="1306" spans="1:12" x14ac:dyDescent="0.25">
      <c r="A1306" s="71">
        <v>643000</v>
      </c>
      <c r="B1306" s="71">
        <v>2007</v>
      </c>
      <c r="C1306" s="71" t="s">
        <v>877</v>
      </c>
      <c r="D1306" s="71" t="s">
        <v>469</v>
      </c>
      <c r="E1306" s="71" t="s">
        <v>468</v>
      </c>
      <c r="F1306" s="66" t="s">
        <v>307</v>
      </c>
      <c r="G1306" s="70" t="s">
        <v>467</v>
      </c>
      <c r="H1306" s="70" t="s">
        <v>466</v>
      </c>
      <c r="I1306" s="363">
        <v>3</v>
      </c>
      <c r="J1306" s="64"/>
      <c r="K1306" s="64"/>
      <c r="L1306" s="64"/>
    </row>
    <row r="1307" spans="1:12" x14ac:dyDescent="0.25">
      <c r="A1307" s="71">
        <v>643010</v>
      </c>
      <c r="B1307" s="71">
        <v>2007</v>
      </c>
      <c r="C1307" s="71" t="s">
        <v>876</v>
      </c>
      <c r="D1307" s="71" t="s">
        <v>469</v>
      </c>
      <c r="E1307" s="71" t="s">
        <v>468</v>
      </c>
      <c r="F1307" s="66" t="s">
        <v>307</v>
      </c>
      <c r="G1307" s="70" t="s">
        <v>467</v>
      </c>
      <c r="H1307" s="70" t="s">
        <v>466</v>
      </c>
      <c r="I1307" s="363">
        <v>3</v>
      </c>
      <c r="J1307" s="64"/>
      <c r="K1307" s="64"/>
      <c r="L1307" s="64"/>
    </row>
    <row r="1308" spans="1:12" x14ac:dyDescent="0.25">
      <c r="A1308" s="71">
        <v>643020</v>
      </c>
      <c r="B1308" s="71">
        <v>2007</v>
      </c>
      <c r="C1308" s="71" t="s">
        <v>875</v>
      </c>
      <c r="D1308" s="71" t="s">
        <v>469</v>
      </c>
      <c r="E1308" s="71" t="s">
        <v>468</v>
      </c>
      <c r="F1308" s="66" t="s">
        <v>307</v>
      </c>
      <c r="G1308" s="70" t="s">
        <v>467</v>
      </c>
      <c r="H1308" s="70" t="s">
        <v>466</v>
      </c>
      <c r="I1308" s="363">
        <v>3</v>
      </c>
      <c r="J1308" s="64"/>
      <c r="K1308" s="64"/>
      <c r="L1308" s="64"/>
    </row>
    <row r="1309" spans="1:12" x14ac:dyDescent="0.25">
      <c r="A1309" s="71">
        <v>649000</v>
      </c>
      <c r="B1309" s="71">
        <v>2007</v>
      </c>
      <c r="C1309" s="71" t="s">
        <v>874</v>
      </c>
      <c r="D1309" s="71" t="s">
        <v>469</v>
      </c>
      <c r="E1309" s="71" t="s">
        <v>468</v>
      </c>
      <c r="F1309" s="66" t="s">
        <v>307</v>
      </c>
      <c r="G1309" s="70" t="s">
        <v>467</v>
      </c>
      <c r="H1309" s="70" t="s">
        <v>466</v>
      </c>
      <c r="I1309" s="363">
        <v>3</v>
      </c>
      <c r="J1309" s="64"/>
      <c r="K1309" s="64"/>
      <c r="L1309" s="64"/>
    </row>
    <row r="1310" spans="1:12" x14ac:dyDescent="0.25">
      <c r="A1310" s="71">
        <v>649100</v>
      </c>
      <c r="B1310" s="71">
        <v>2007</v>
      </c>
      <c r="C1310" s="71" t="s">
        <v>873</v>
      </c>
      <c r="D1310" s="71" t="s">
        <v>469</v>
      </c>
      <c r="E1310" s="71" t="s">
        <v>468</v>
      </c>
      <c r="F1310" s="66" t="s">
        <v>307</v>
      </c>
      <c r="G1310" s="70" t="s">
        <v>467</v>
      </c>
      <c r="H1310" s="70" t="s">
        <v>466</v>
      </c>
      <c r="I1310" s="363">
        <v>3</v>
      </c>
      <c r="J1310" s="64"/>
      <c r="K1310" s="64"/>
      <c r="L1310" s="64"/>
    </row>
    <row r="1311" spans="1:12" x14ac:dyDescent="0.25">
      <c r="A1311" s="71">
        <v>649200</v>
      </c>
      <c r="B1311" s="71">
        <v>2007</v>
      </c>
      <c r="C1311" s="71" t="s">
        <v>872</v>
      </c>
      <c r="D1311" s="71" t="s">
        <v>469</v>
      </c>
      <c r="E1311" s="71" t="s">
        <v>468</v>
      </c>
      <c r="F1311" s="66" t="s">
        <v>307</v>
      </c>
      <c r="G1311" s="70" t="s">
        <v>467</v>
      </c>
      <c r="H1311" s="70" t="s">
        <v>466</v>
      </c>
      <c r="I1311" s="363">
        <v>3</v>
      </c>
      <c r="J1311" s="64"/>
      <c r="K1311" s="64"/>
      <c r="L1311" s="64"/>
    </row>
    <row r="1312" spans="1:12" x14ac:dyDescent="0.25">
      <c r="A1312" s="71">
        <v>649201</v>
      </c>
      <c r="B1312" s="71">
        <v>2007</v>
      </c>
      <c r="C1312" s="71" t="s">
        <v>871</v>
      </c>
      <c r="D1312" s="71" t="s">
        <v>469</v>
      </c>
      <c r="E1312" s="71" t="s">
        <v>468</v>
      </c>
      <c r="F1312" s="66" t="s">
        <v>307</v>
      </c>
      <c r="G1312" s="70" t="s">
        <v>467</v>
      </c>
      <c r="H1312" s="70" t="s">
        <v>466</v>
      </c>
      <c r="I1312" s="363">
        <v>3</v>
      </c>
      <c r="J1312" s="64"/>
      <c r="K1312" s="64"/>
      <c r="L1312" s="64"/>
    </row>
    <row r="1313" spans="1:12" x14ac:dyDescent="0.25">
      <c r="A1313" s="71">
        <v>649209</v>
      </c>
      <c r="B1313" s="71">
        <v>2007</v>
      </c>
      <c r="C1313" s="71" t="s">
        <v>870</v>
      </c>
      <c r="D1313" s="71" t="s">
        <v>469</v>
      </c>
      <c r="E1313" s="71" t="s">
        <v>468</v>
      </c>
      <c r="F1313" s="66" t="s">
        <v>307</v>
      </c>
      <c r="G1313" s="70" t="s">
        <v>467</v>
      </c>
      <c r="H1313" s="70" t="s">
        <v>466</v>
      </c>
      <c r="I1313" s="363">
        <v>3</v>
      </c>
      <c r="J1313" s="64"/>
      <c r="K1313" s="64"/>
      <c r="L1313" s="64"/>
    </row>
    <row r="1314" spans="1:12" x14ac:dyDescent="0.25">
      <c r="A1314" s="71">
        <v>649900</v>
      </c>
      <c r="B1314" s="71">
        <v>2007</v>
      </c>
      <c r="C1314" s="71" t="s">
        <v>869</v>
      </c>
      <c r="D1314" s="71" t="s">
        <v>469</v>
      </c>
      <c r="E1314" s="71" t="s">
        <v>468</v>
      </c>
      <c r="F1314" s="66" t="s">
        <v>307</v>
      </c>
      <c r="G1314" s="70" t="s">
        <v>467</v>
      </c>
      <c r="H1314" s="70" t="s">
        <v>466</v>
      </c>
      <c r="I1314" s="363">
        <v>3</v>
      </c>
      <c r="J1314" s="64"/>
      <c r="K1314" s="64"/>
      <c r="L1314" s="64"/>
    </row>
    <row r="1315" spans="1:12" x14ac:dyDescent="0.25">
      <c r="A1315" s="71">
        <v>649910</v>
      </c>
      <c r="B1315" s="71">
        <v>2007</v>
      </c>
      <c r="C1315" s="71" t="s">
        <v>868</v>
      </c>
      <c r="D1315" s="71" t="s">
        <v>469</v>
      </c>
      <c r="E1315" s="71" t="s">
        <v>468</v>
      </c>
      <c r="F1315" s="66" t="s">
        <v>307</v>
      </c>
      <c r="G1315" s="70" t="s">
        <v>467</v>
      </c>
      <c r="H1315" s="70" t="s">
        <v>466</v>
      </c>
      <c r="I1315" s="363">
        <v>3</v>
      </c>
      <c r="J1315" s="64"/>
      <c r="K1315" s="64"/>
      <c r="L1315" s="64"/>
    </row>
    <row r="1316" spans="1:12" x14ac:dyDescent="0.25">
      <c r="A1316" s="71">
        <v>649920</v>
      </c>
      <c r="B1316" s="71">
        <v>2007</v>
      </c>
      <c r="C1316" s="71" t="s">
        <v>867</v>
      </c>
      <c r="D1316" s="71" t="s">
        <v>469</v>
      </c>
      <c r="E1316" s="71" t="s">
        <v>468</v>
      </c>
      <c r="F1316" s="66" t="s">
        <v>307</v>
      </c>
      <c r="G1316" s="70" t="s">
        <v>467</v>
      </c>
      <c r="H1316" s="70" t="s">
        <v>466</v>
      </c>
      <c r="I1316" s="363">
        <v>3</v>
      </c>
      <c r="J1316" s="64"/>
      <c r="K1316" s="64"/>
      <c r="L1316" s="64"/>
    </row>
    <row r="1317" spans="1:12" x14ac:dyDescent="0.25">
      <c r="A1317" s="71">
        <v>649930</v>
      </c>
      <c r="B1317" s="71">
        <v>2007</v>
      </c>
      <c r="C1317" s="71" t="s">
        <v>866</v>
      </c>
      <c r="D1317" s="71" t="s">
        <v>469</v>
      </c>
      <c r="E1317" s="71" t="s">
        <v>468</v>
      </c>
      <c r="F1317" s="66" t="s">
        <v>307</v>
      </c>
      <c r="G1317" s="70" t="s">
        <v>467</v>
      </c>
      <c r="H1317" s="70" t="s">
        <v>466</v>
      </c>
      <c r="I1317" s="363">
        <v>3</v>
      </c>
      <c r="J1317" s="64"/>
      <c r="K1317" s="64"/>
      <c r="L1317" s="64"/>
    </row>
    <row r="1318" spans="1:12" x14ac:dyDescent="0.25">
      <c r="A1318" s="71">
        <v>649940</v>
      </c>
      <c r="B1318" s="71">
        <v>2007</v>
      </c>
      <c r="C1318" s="71" t="s">
        <v>865</v>
      </c>
      <c r="D1318" s="71" t="s">
        <v>469</v>
      </c>
      <c r="E1318" s="71" t="s">
        <v>468</v>
      </c>
      <c r="F1318" s="66" t="s">
        <v>307</v>
      </c>
      <c r="G1318" s="70" t="s">
        <v>467</v>
      </c>
      <c r="H1318" s="70" t="s">
        <v>466</v>
      </c>
      <c r="I1318" s="363">
        <v>3</v>
      </c>
      <c r="J1318" s="64"/>
      <c r="K1318" s="64"/>
      <c r="L1318" s="64"/>
    </row>
    <row r="1319" spans="1:12" x14ac:dyDescent="0.25">
      <c r="A1319" s="71">
        <v>649950</v>
      </c>
      <c r="B1319" s="71">
        <v>2007</v>
      </c>
      <c r="C1319" s="71" t="s">
        <v>864</v>
      </c>
      <c r="D1319" s="71" t="s">
        <v>469</v>
      </c>
      <c r="E1319" s="71" t="s">
        <v>468</v>
      </c>
      <c r="F1319" s="66" t="s">
        <v>307</v>
      </c>
      <c r="G1319" s="70" t="s">
        <v>467</v>
      </c>
      <c r="H1319" s="70" t="s">
        <v>466</v>
      </c>
      <c r="I1319" s="363">
        <v>3</v>
      </c>
      <c r="J1319" s="64"/>
      <c r="K1319" s="64"/>
      <c r="L1319" s="64"/>
    </row>
    <row r="1320" spans="1:12" x14ac:dyDescent="0.25">
      <c r="A1320" s="71">
        <v>649960</v>
      </c>
      <c r="B1320" s="71">
        <v>2007</v>
      </c>
      <c r="C1320" s="71" t="s">
        <v>863</v>
      </c>
      <c r="D1320" s="71" t="s">
        <v>469</v>
      </c>
      <c r="E1320" s="71" t="s">
        <v>468</v>
      </c>
      <c r="F1320" s="66" t="s">
        <v>307</v>
      </c>
      <c r="G1320" s="70" t="s">
        <v>467</v>
      </c>
      <c r="H1320" s="70" t="s">
        <v>466</v>
      </c>
      <c r="I1320" s="363">
        <v>3</v>
      </c>
      <c r="J1320" s="64"/>
      <c r="K1320" s="64"/>
      <c r="L1320" s="64"/>
    </row>
    <row r="1321" spans="1:12" x14ac:dyDescent="0.25">
      <c r="A1321" s="71">
        <v>650000</v>
      </c>
      <c r="B1321" s="71">
        <v>2007</v>
      </c>
      <c r="C1321" s="71" t="s">
        <v>862</v>
      </c>
      <c r="D1321" s="71" t="s">
        <v>469</v>
      </c>
      <c r="E1321" s="71" t="s">
        <v>468</v>
      </c>
      <c r="F1321" s="66" t="s">
        <v>307</v>
      </c>
      <c r="G1321" s="70" t="s">
        <v>467</v>
      </c>
      <c r="H1321" s="70" t="s">
        <v>466</v>
      </c>
      <c r="I1321" s="363">
        <v>3</v>
      </c>
      <c r="J1321" s="64"/>
      <c r="K1321" s="64"/>
      <c r="L1321" s="64"/>
    </row>
    <row r="1322" spans="1:12" x14ac:dyDescent="0.25">
      <c r="A1322" s="71">
        <v>651000</v>
      </c>
      <c r="B1322" s="71">
        <v>2007</v>
      </c>
      <c r="C1322" s="71" t="s">
        <v>861</v>
      </c>
      <c r="D1322" s="71" t="s">
        <v>469</v>
      </c>
      <c r="E1322" s="71" t="s">
        <v>468</v>
      </c>
      <c r="F1322" s="66" t="s">
        <v>307</v>
      </c>
      <c r="G1322" s="70" t="s">
        <v>467</v>
      </c>
      <c r="H1322" s="70" t="s">
        <v>466</v>
      </c>
      <c r="I1322" s="363">
        <v>3</v>
      </c>
      <c r="J1322" s="64"/>
      <c r="K1322" s="64"/>
      <c r="L1322" s="64"/>
    </row>
    <row r="1323" spans="1:12" x14ac:dyDescent="0.25">
      <c r="A1323" s="71">
        <v>651100</v>
      </c>
      <c r="B1323" s="71">
        <v>2007</v>
      </c>
      <c r="C1323" s="71" t="s">
        <v>860</v>
      </c>
      <c r="D1323" s="71" t="s">
        <v>469</v>
      </c>
      <c r="E1323" s="71" t="s">
        <v>468</v>
      </c>
      <c r="F1323" s="66" t="s">
        <v>307</v>
      </c>
      <c r="G1323" s="70" t="s">
        <v>467</v>
      </c>
      <c r="H1323" s="70" t="s">
        <v>466</v>
      </c>
      <c r="I1323" s="363">
        <v>3</v>
      </c>
      <c r="J1323" s="64"/>
      <c r="K1323" s="64"/>
      <c r="L1323" s="64"/>
    </row>
    <row r="1324" spans="1:12" x14ac:dyDescent="0.25">
      <c r="A1324" s="71">
        <v>651200</v>
      </c>
      <c r="B1324" s="71">
        <v>2007</v>
      </c>
      <c r="C1324" s="71" t="s">
        <v>859</v>
      </c>
      <c r="D1324" s="71" t="s">
        <v>469</v>
      </c>
      <c r="E1324" s="71" t="s">
        <v>468</v>
      </c>
      <c r="F1324" s="66" t="s">
        <v>307</v>
      </c>
      <c r="G1324" s="70" t="s">
        <v>467</v>
      </c>
      <c r="H1324" s="70" t="s">
        <v>466</v>
      </c>
      <c r="I1324" s="363">
        <v>3</v>
      </c>
      <c r="J1324" s="64"/>
      <c r="K1324" s="64"/>
      <c r="L1324" s="64"/>
    </row>
    <row r="1325" spans="1:12" x14ac:dyDescent="0.25">
      <c r="A1325" s="71">
        <v>652000</v>
      </c>
      <c r="B1325" s="71">
        <v>2007</v>
      </c>
      <c r="C1325" s="71" t="s">
        <v>858</v>
      </c>
      <c r="D1325" s="71" t="s">
        <v>469</v>
      </c>
      <c r="E1325" s="71" t="s">
        <v>468</v>
      </c>
      <c r="F1325" s="66" t="s">
        <v>307</v>
      </c>
      <c r="G1325" s="70" t="s">
        <v>467</v>
      </c>
      <c r="H1325" s="70" t="s">
        <v>466</v>
      </c>
      <c r="I1325" s="363">
        <v>3</v>
      </c>
      <c r="J1325" s="64"/>
      <c r="K1325" s="64"/>
      <c r="L1325" s="64"/>
    </row>
    <row r="1326" spans="1:12" x14ac:dyDescent="0.25">
      <c r="A1326" s="71">
        <v>653000</v>
      </c>
      <c r="B1326" s="71">
        <v>2007</v>
      </c>
      <c r="C1326" s="71" t="s">
        <v>857</v>
      </c>
      <c r="D1326" s="71" t="s">
        <v>469</v>
      </c>
      <c r="E1326" s="71" t="s">
        <v>468</v>
      </c>
      <c r="F1326" s="66" t="s">
        <v>307</v>
      </c>
      <c r="G1326" s="70" t="s">
        <v>467</v>
      </c>
      <c r="H1326" s="70" t="s">
        <v>466</v>
      </c>
      <c r="I1326" s="363">
        <v>3</v>
      </c>
      <c r="J1326" s="64"/>
      <c r="K1326" s="64"/>
      <c r="L1326" s="64"/>
    </row>
    <row r="1327" spans="1:12" x14ac:dyDescent="0.25">
      <c r="A1327" s="71">
        <v>653010</v>
      </c>
      <c r="B1327" s="71">
        <v>2007</v>
      </c>
      <c r="C1327" s="71" t="s">
        <v>856</v>
      </c>
      <c r="D1327" s="71" t="s">
        <v>469</v>
      </c>
      <c r="E1327" s="71" t="s">
        <v>468</v>
      </c>
      <c r="F1327" s="66" t="s">
        <v>307</v>
      </c>
      <c r="G1327" s="70" t="s">
        <v>467</v>
      </c>
      <c r="H1327" s="70" t="s">
        <v>466</v>
      </c>
      <c r="I1327" s="363">
        <v>3</v>
      </c>
      <c r="J1327" s="64"/>
      <c r="K1327" s="64"/>
      <c r="L1327" s="64"/>
    </row>
    <row r="1328" spans="1:12" x14ac:dyDescent="0.25">
      <c r="A1328" s="71">
        <v>653020</v>
      </c>
      <c r="B1328" s="71">
        <v>2007</v>
      </c>
      <c r="C1328" s="71" t="s">
        <v>855</v>
      </c>
      <c r="D1328" s="71" t="s">
        <v>469</v>
      </c>
      <c r="E1328" s="71" t="s">
        <v>468</v>
      </c>
      <c r="F1328" s="66" t="s">
        <v>307</v>
      </c>
      <c r="G1328" s="70" t="s">
        <v>467</v>
      </c>
      <c r="H1328" s="70" t="s">
        <v>466</v>
      </c>
      <c r="I1328" s="363">
        <v>3</v>
      </c>
      <c r="J1328" s="64"/>
      <c r="K1328" s="64"/>
      <c r="L1328" s="64"/>
    </row>
    <row r="1329" spans="1:12" x14ac:dyDescent="0.25">
      <c r="A1329" s="71">
        <v>653030</v>
      </c>
      <c r="B1329" s="71">
        <v>2007</v>
      </c>
      <c r="C1329" s="71" t="s">
        <v>854</v>
      </c>
      <c r="D1329" s="71" t="s">
        <v>469</v>
      </c>
      <c r="E1329" s="71" t="s">
        <v>468</v>
      </c>
      <c r="F1329" s="66" t="s">
        <v>307</v>
      </c>
      <c r="G1329" s="70" t="s">
        <v>467</v>
      </c>
      <c r="H1329" s="70" t="s">
        <v>466</v>
      </c>
      <c r="I1329" s="363">
        <v>3</v>
      </c>
      <c r="J1329" s="64"/>
      <c r="K1329" s="64"/>
      <c r="L1329" s="64"/>
    </row>
    <row r="1330" spans="1:12" s="491" customFormat="1" x14ac:dyDescent="0.25">
      <c r="A1330" s="486">
        <v>660000</v>
      </c>
      <c r="B1330" s="486">
        <v>2007</v>
      </c>
      <c r="C1330" s="486" t="s">
        <v>853</v>
      </c>
      <c r="D1330" s="486" t="s">
        <v>3475</v>
      </c>
      <c r="E1330" s="486" t="s">
        <v>468</v>
      </c>
      <c r="F1330" s="487" t="s">
        <v>307</v>
      </c>
      <c r="G1330" s="488" t="s">
        <v>467</v>
      </c>
      <c r="H1330" s="488" t="s">
        <v>466</v>
      </c>
      <c r="I1330" s="489">
        <v>3</v>
      </c>
      <c r="J1330" s="490"/>
      <c r="K1330" s="490"/>
      <c r="L1330" s="490"/>
    </row>
    <row r="1331" spans="1:12" s="491" customFormat="1" x14ac:dyDescent="0.25">
      <c r="A1331" s="486">
        <v>661000</v>
      </c>
      <c r="B1331" s="486">
        <v>2007</v>
      </c>
      <c r="C1331" s="486" t="s">
        <v>852</v>
      </c>
      <c r="D1331" s="486" t="s">
        <v>3475</v>
      </c>
      <c r="E1331" s="486" t="s">
        <v>468</v>
      </c>
      <c r="F1331" s="487" t="s">
        <v>307</v>
      </c>
      <c r="G1331" s="488" t="s">
        <v>467</v>
      </c>
      <c r="H1331" s="488" t="s">
        <v>466</v>
      </c>
      <c r="I1331" s="489">
        <v>3</v>
      </c>
      <c r="J1331" s="490"/>
      <c r="K1331" s="490"/>
      <c r="L1331" s="490"/>
    </row>
    <row r="1332" spans="1:12" s="491" customFormat="1" x14ac:dyDescent="0.25">
      <c r="A1332" s="486">
        <v>661100</v>
      </c>
      <c r="B1332" s="486">
        <v>2007</v>
      </c>
      <c r="C1332" s="486" t="s">
        <v>851</v>
      </c>
      <c r="D1332" s="486" t="s">
        <v>3475</v>
      </c>
      <c r="E1332" s="486" t="s">
        <v>468</v>
      </c>
      <c r="F1332" s="487" t="s">
        <v>307</v>
      </c>
      <c r="G1332" s="488" t="s">
        <v>467</v>
      </c>
      <c r="H1332" s="488" t="s">
        <v>466</v>
      </c>
      <c r="I1332" s="489">
        <v>3</v>
      </c>
      <c r="J1332" s="490"/>
      <c r="K1332" s="490"/>
      <c r="L1332" s="490"/>
    </row>
    <row r="1333" spans="1:12" s="491" customFormat="1" x14ac:dyDescent="0.25">
      <c r="A1333" s="486">
        <v>661200</v>
      </c>
      <c r="B1333" s="486">
        <v>2007</v>
      </c>
      <c r="C1333" s="486" t="s">
        <v>850</v>
      </c>
      <c r="D1333" s="486" t="s">
        <v>3475</v>
      </c>
      <c r="E1333" s="486" t="s">
        <v>468</v>
      </c>
      <c r="F1333" s="487" t="s">
        <v>307</v>
      </c>
      <c r="G1333" s="488" t="s">
        <v>467</v>
      </c>
      <c r="H1333" s="488" t="s">
        <v>466</v>
      </c>
      <c r="I1333" s="489">
        <v>3</v>
      </c>
      <c r="J1333" s="490"/>
      <c r="K1333" s="490"/>
      <c r="L1333" s="490"/>
    </row>
    <row r="1334" spans="1:12" s="491" customFormat="1" x14ac:dyDescent="0.25">
      <c r="A1334" s="486">
        <v>661900</v>
      </c>
      <c r="B1334" s="486">
        <v>2007</v>
      </c>
      <c r="C1334" s="486" t="s">
        <v>849</v>
      </c>
      <c r="D1334" s="486" t="s">
        <v>3475</v>
      </c>
      <c r="E1334" s="486" t="s">
        <v>468</v>
      </c>
      <c r="F1334" s="487" t="s">
        <v>307</v>
      </c>
      <c r="G1334" s="488" t="s">
        <v>467</v>
      </c>
      <c r="H1334" s="488" t="s">
        <v>466</v>
      </c>
      <c r="I1334" s="489">
        <v>3</v>
      </c>
      <c r="J1334" s="490"/>
      <c r="K1334" s="490"/>
      <c r="L1334" s="490"/>
    </row>
    <row r="1335" spans="1:12" s="491" customFormat="1" x14ac:dyDescent="0.25">
      <c r="A1335" s="486">
        <v>661910</v>
      </c>
      <c r="B1335" s="486">
        <v>2007</v>
      </c>
      <c r="C1335" s="486" t="s">
        <v>848</v>
      </c>
      <c r="D1335" s="486" t="s">
        <v>3475</v>
      </c>
      <c r="E1335" s="486" t="s">
        <v>468</v>
      </c>
      <c r="F1335" s="487" t="s">
        <v>307</v>
      </c>
      <c r="G1335" s="488" t="s">
        <v>467</v>
      </c>
      <c r="H1335" s="488" t="s">
        <v>466</v>
      </c>
      <c r="I1335" s="489">
        <v>3</v>
      </c>
      <c r="J1335" s="490"/>
      <c r="K1335" s="490"/>
      <c r="L1335" s="490"/>
    </row>
    <row r="1336" spans="1:12" s="491" customFormat="1" x14ac:dyDescent="0.25">
      <c r="A1336" s="486">
        <v>661920</v>
      </c>
      <c r="B1336" s="486">
        <v>2007</v>
      </c>
      <c r="C1336" s="486" t="s">
        <v>847</v>
      </c>
      <c r="D1336" s="486" t="s">
        <v>3476</v>
      </c>
      <c r="E1336" s="486" t="s">
        <v>468</v>
      </c>
      <c r="F1336" s="487" t="s">
        <v>307</v>
      </c>
      <c r="G1336" s="488" t="s">
        <v>467</v>
      </c>
      <c r="H1336" s="488" t="s">
        <v>466</v>
      </c>
      <c r="I1336" s="489">
        <v>3</v>
      </c>
      <c r="J1336" s="490"/>
      <c r="K1336" s="490"/>
      <c r="L1336" s="490"/>
    </row>
    <row r="1337" spans="1:12" s="491" customFormat="1" x14ac:dyDescent="0.25">
      <c r="A1337" s="486">
        <v>661921</v>
      </c>
      <c r="B1337" s="486">
        <v>2007</v>
      </c>
      <c r="C1337" s="486" t="s">
        <v>846</v>
      </c>
      <c r="D1337" s="486" t="s">
        <v>3476</v>
      </c>
      <c r="E1337" s="486" t="s">
        <v>468</v>
      </c>
      <c r="F1337" s="487" t="s">
        <v>307</v>
      </c>
      <c r="G1337" s="488" t="s">
        <v>467</v>
      </c>
      <c r="H1337" s="488" t="s">
        <v>466</v>
      </c>
      <c r="I1337" s="489">
        <v>3</v>
      </c>
      <c r="J1337" s="490"/>
      <c r="K1337" s="490"/>
      <c r="L1337" s="490"/>
    </row>
    <row r="1338" spans="1:12" s="491" customFormat="1" x14ac:dyDescent="0.25">
      <c r="A1338" s="486">
        <v>661922</v>
      </c>
      <c r="B1338" s="486">
        <v>2007</v>
      </c>
      <c r="C1338" s="486" t="s">
        <v>845</v>
      </c>
      <c r="D1338" s="486" t="s">
        <v>3476</v>
      </c>
      <c r="E1338" s="486" t="s">
        <v>468</v>
      </c>
      <c r="F1338" s="487" t="s">
        <v>307</v>
      </c>
      <c r="G1338" s="488" t="s">
        <v>467</v>
      </c>
      <c r="H1338" s="488" t="s">
        <v>466</v>
      </c>
      <c r="I1338" s="489">
        <v>3</v>
      </c>
      <c r="J1338" s="490"/>
      <c r="K1338" s="490"/>
      <c r="L1338" s="490"/>
    </row>
    <row r="1339" spans="1:12" s="491" customFormat="1" x14ac:dyDescent="0.25">
      <c r="A1339" s="486">
        <v>661930</v>
      </c>
      <c r="B1339" s="486">
        <v>2007</v>
      </c>
      <c r="C1339" s="486" t="s">
        <v>844</v>
      </c>
      <c r="D1339" s="486" t="s">
        <v>3475</v>
      </c>
      <c r="E1339" s="486" t="s">
        <v>468</v>
      </c>
      <c r="F1339" s="487" t="s">
        <v>307</v>
      </c>
      <c r="G1339" s="488" t="s">
        <v>467</v>
      </c>
      <c r="H1339" s="488" t="s">
        <v>466</v>
      </c>
      <c r="I1339" s="489">
        <v>3</v>
      </c>
      <c r="J1339" s="490"/>
      <c r="K1339" s="490"/>
      <c r="L1339" s="490"/>
    </row>
    <row r="1340" spans="1:12" s="491" customFormat="1" x14ac:dyDescent="0.25">
      <c r="A1340" s="486">
        <v>661940</v>
      </c>
      <c r="B1340" s="486">
        <v>2007</v>
      </c>
      <c r="C1340" s="486" t="s">
        <v>843</v>
      </c>
      <c r="D1340" s="486" t="s">
        <v>3475</v>
      </c>
      <c r="E1340" s="486" t="s">
        <v>468</v>
      </c>
      <c r="F1340" s="487" t="s">
        <v>307</v>
      </c>
      <c r="G1340" s="488" t="s">
        <v>467</v>
      </c>
      <c r="H1340" s="488" t="s">
        <v>466</v>
      </c>
      <c r="I1340" s="489">
        <v>3</v>
      </c>
      <c r="J1340" s="490"/>
      <c r="K1340" s="490"/>
      <c r="L1340" s="490"/>
    </row>
    <row r="1341" spans="1:12" s="491" customFormat="1" x14ac:dyDescent="0.25">
      <c r="A1341" s="486">
        <v>661950</v>
      </c>
      <c r="B1341" s="486">
        <v>2007</v>
      </c>
      <c r="C1341" s="486" t="s">
        <v>842</v>
      </c>
      <c r="D1341" s="486" t="s">
        <v>3475</v>
      </c>
      <c r="E1341" s="486" t="s">
        <v>468</v>
      </c>
      <c r="F1341" s="487" t="s">
        <v>307</v>
      </c>
      <c r="G1341" s="488" t="s">
        <v>467</v>
      </c>
      <c r="H1341" s="488" t="s">
        <v>466</v>
      </c>
      <c r="I1341" s="489">
        <v>3</v>
      </c>
      <c r="J1341" s="490"/>
      <c r="K1341" s="490"/>
      <c r="L1341" s="490"/>
    </row>
    <row r="1342" spans="1:12" s="491" customFormat="1" x14ac:dyDescent="0.25">
      <c r="A1342" s="486">
        <v>662000</v>
      </c>
      <c r="B1342" s="486">
        <v>2007</v>
      </c>
      <c r="C1342" s="486" t="s">
        <v>841</v>
      </c>
      <c r="D1342" s="486" t="s">
        <v>3475</v>
      </c>
      <c r="E1342" s="486" t="s">
        <v>468</v>
      </c>
      <c r="F1342" s="487" t="s">
        <v>307</v>
      </c>
      <c r="G1342" s="488" t="s">
        <v>467</v>
      </c>
      <c r="H1342" s="488" t="s">
        <v>466</v>
      </c>
      <c r="I1342" s="489">
        <v>3</v>
      </c>
      <c r="J1342" s="490"/>
      <c r="K1342" s="490"/>
      <c r="L1342" s="490"/>
    </row>
    <row r="1343" spans="1:12" s="491" customFormat="1" x14ac:dyDescent="0.25">
      <c r="A1343" s="486">
        <v>662100</v>
      </c>
      <c r="B1343" s="486">
        <v>2007</v>
      </c>
      <c r="C1343" s="486" t="s">
        <v>840</v>
      </c>
      <c r="D1343" s="486" t="s">
        <v>3476</v>
      </c>
      <c r="E1343" s="486" t="s">
        <v>468</v>
      </c>
      <c r="F1343" s="487" t="s">
        <v>307</v>
      </c>
      <c r="G1343" s="488" t="s">
        <v>467</v>
      </c>
      <c r="H1343" s="488" t="s">
        <v>466</v>
      </c>
      <c r="I1343" s="489">
        <v>3</v>
      </c>
      <c r="J1343" s="490"/>
      <c r="K1343" s="490"/>
      <c r="L1343" s="490"/>
    </row>
    <row r="1344" spans="1:12" s="491" customFormat="1" x14ac:dyDescent="0.25">
      <c r="A1344" s="486">
        <v>662200</v>
      </c>
      <c r="B1344" s="486">
        <v>2007</v>
      </c>
      <c r="C1344" s="486" t="s">
        <v>839</v>
      </c>
      <c r="D1344" s="486" t="s">
        <v>3475</v>
      </c>
      <c r="E1344" s="486" t="s">
        <v>468</v>
      </c>
      <c r="F1344" s="487" t="s">
        <v>307</v>
      </c>
      <c r="G1344" s="488" t="s">
        <v>467</v>
      </c>
      <c r="H1344" s="488" t="s">
        <v>466</v>
      </c>
      <c r="I1344" s="489">
        <v>3</v>
      </c>
      <c r="J1344" s="490"/>
      <c r="K1344" s="490"/>
      <c r="L1344" s="490"/>
    </row>
    <row r="1345" spans="1:12" s="491" customFormat="1" x14ac:dyDescent="0.25">
      <c r="A1345" s="486">
        <v>662201</v>
      </c>
      <c r="B1345" s="486">
        <v>2007</v>
      </c>
      <c r="C1345" s="486" t="s">
        <v>838</v>
      </c>
      <c r="D1345" s="486" t="s">
        <v>3475</v>
      </c>
      <c r="E1345" s="486" t="s">
        <v>468</v>
      </c>
      <c r="F1345" s="487" t="s">
        <v>307</v>
      </c>
      <c r="G1345" s="488" t="s">
        <v>467</v>
      </c>
      <c r="H1345" s="488" t="s">
        <v>466</v>
      </c>
      <c r="I1345" s="489">
        <v>3</v>
      </c>
      <c r="J1345" s="490"/>
      <c r="K1345" s="490"/>
      <c r="L1345" s="490"/>
    </row>
    <row r="1346" spans="1:12" s="491" customFormat="1" x14ac:dyDescent="0.25">
      <c r="A1346" s="486">
        <v>662202</v>
      </c>
      <c r="B1346" s="486">
        <v>2007</v>
      </c>
      <c r="C1346" s="486" t="s">
        <v>837</v>
      </c>
      <c r="D1346" s="486" t="s">
        <v>3475</v>
      </c>
      <c r="E1346" s="486" t="s">
        <v>468</v>
      </c>
      <c r="F1346" s="487" t="s">
        <v>307</v>
      </c>
      <c r="G1346" s="488" t="s">
        <v>467</v>
      </c>
      <c r="H1346" s="488" t="s">
        <v>466</v>
      </c>
      <c r="I1346" s="489">
        <v>3</v>
      </c>
      <c r="J1346" s="490"/>
      <c r="K1346" s="490"/>
      <c r="L1346" s="490"/>
    </row>
    <row r="1347" spans="1:12" s="491" customFormat="1" x14ac:dyDescent="0.25">
      <c r="A1347" s="486">
        <v>662203</v>
      </c>
      <c r="B1347" s="486">
        <v>2007</v>
      </c>
      <c r="C1347" s="486" t="s">
        <v>836</v>
      </c>
      <c r="D1347" s="486" t="s">
        <v>3475</v>
      </c>
      <c r="E1347" s="486" t="s">
        <v>468</v>
      </c>
      <c r="F1347" s="487" t="s">
        <v>307</v>
      </c>
      <c r="G1347" s="488" t="s">
        <v>467</v>
      </c>
      <c r="H1347" s="488" t="s">
        <v>466</v>
      </c>
      <c r="I1347" s="489">
        <v>3</v>
      </c>
      <c r="J1347" s="490"/>
      <c r="K1347" s="490"/>
      <c r="L1347" s="490"/>
    </row>
    <row r="1348" spans="1:12" s="491" customFormat="1" x14ac:dyDescent="0.25">
      <c r="A1348" s="486">
        <v>662204</v>
      </c>
      <c r="B1348" s="486">
        <v>2007</v>
      </c>
      <c r="C1348" s="486" t="s">
        <v>835</v>
      </c>
      <c r="D1348" s="486" t="s">
        <v>3475</v>
      </c>
      <c r="E1348" s="486" t="s">
        <v>468</v>
      </c>
      <c r="F1348" s="487" t="s">
        <v>307</v>
      </c>
      <c r="G1348" s="488" t="s">
        <v>467</v>
      </c>
      <c r="H1348" s="488" t="s">
        <v>466</v>
      </c>
      <c r="I1348" s="489">
        <v>3</v>
      </c>
      <c r="J1348" s="490"/>
      <c r="K1348" s="490"/>
      <c r="L1348" s="490"/>
    </row>
    <row r="1349" spans="1:12" s="491" customFormat="1" x14ac:dyDescent="0.25">
      <c r="A1349" s="486">
        <v>662900</v>
      </c>
      <c r="B1349" s="486">
        <v>2007</v>
      </c>
      <c r="C1349" s="486" t="s">
        <v>833</v>
      </c>
      <c r="D1349" s="486" t="s">
        <v>3475</v>
      </c>
      <c r="E1349" s="486" t="s">
        <v>468</v>
      </c>
      <c r="F1349" s="487" t="s">
        <v>307</v>
      </c>
      <c r="G1349" s="488" t="s">
        <v>467</v>
      </c>
      <c r="H1349" s="488" t="s">
        <v>466</v>
      </c>
      <c r="I1349" s="489">
        <v>3</v>
      </c>
      <c r="J1349" s="490"/>
      <c r="K1349" s="490"/>
      <c r="L1349" s="490"/>
    </row>
    <row r="1350" spans="1:12" s="491" customFormat="1" x14ac:dyDescent="0.25">
      <c r="A1350" s="486">
        <v>662901</v>
      </c>
      <c r="B1350" s="486">
        <v>2007</v>
      </c>
      <c r="C1350" s="486" t="s">
        <v>834</v>
      </c>
      <c r="D1350" s="486" t="s">
        <v>3475</v>
      </c>
      <c r="E1350" s="486" t="s">
        <v>468</v>
      </c>
      <c r="F1350" s="487" t="s">
        <v>307</v>
      </c>
      <c r="G1350" s="488" t="s">
        <v>467</v>
      </c>
      <c r="H1350" s="488" t="s">
        <v>466</v>
      </c>
      <c r="I1350" s="489">
        <v>3</v>
      </c>
      <c r="J1350" s="490"/>
      <c r="K1350" s="490"/>
      <c r="L1350" s="490"/>
    </row>
    <row r="1351" spans="1:12" s="491" customFormat="1" x14ac:dyDescent="0.25">
      <c r="A1351" s="486">
        <v>662909</v>
      </c>
      <c r="B1351" s="486">
        <v>2007</v>
      </c>
      <c r="C1351" s="486" t="s">
        <v>833</v>
      </c>
      <c r="D1351" s="486" t="s">
        <v>3475</v>
      </c>
      <c r="E1351" s="486" t="s">
        <v>468</v>
      </c>
      <c r="F1351" s="487" t="s">
        <v>307</v>
      </c>
      <c r="G1351" s="488" t="s">
        <v>467</v>
      </c>
      <c r="H1351" s="488" t="s">
        <v>466</v>
      </c>
      <c r="I1351" s="489">
        <v>3</v>
      </c>
      <c r="J1351" s="490"/>
      <c r="K1351" s="490"/>
      <c r="L1351" s="490"/>
    </row>
    <row r="1352" spans="1:12" x14ac:dyDescent="0.25">
      <c r="A1352" s="71">
        <v>663000</v>
      </c>
      <c r="B1352" s="71">
        <v>2007</v>
      </c>
      <c r="C1352" s="71" t="s">
        <v>832</v>
      </c>
      <c r="D1352" s="71" t="s">
        <v>469</v>
      </c>
      <c r="E1352" s="71" t="s">
        <v>468</v>
      </c>
      <c r="F1352" s="66" t="s">
        <v>307</v>
      </c>
      <c r="G1352" s="70" t="s">
        <v>467</v>
      </c>
      <c r="H1352" s="70" t="s">
        <v>466</v>
      </c>
      <c r="I1352" s="363">
        <v>3</v>
      </c>
      <c r="J1352" s="64"/>
      <c r="K1352" s="64"/>
      <c r="L1352" s="64"/>
    </row>
    <row r="1353" spans="1:12" x14ac:dyDescent="0.25">
      <c r="A1353" s="71">
        <v>680000</v>
      </c>
      <c r="B1353" s="71">
        <v>2007</v>
      </c>
      <c r="C1353" s="71" t="s">
        <v>831</v>
      </c>
      <c r="D1353" s="71" t="s">
        <v>476</v>
      </c>
      <c r="E1353" s="71" t="s">
        <v>475</v>
      </c>
      <c r="F1353" s="66" t="s">
        <v>307</v>
      </c>
      <c r="G1353" s="70" t="s">
        <v>467</v>
      </c>
      <c r="H1353" s="70" t="s">
        <v>466</v>
      </c>
      <c r="I1353" s="363">
        <v>3</v>
      </c>
      <c r="J1353" s="64"/>
      <c r="K1353" s="64"/>
      <c r="L1353" s="64"/>
    </row>
    <row r="1354" spans="1:12" x14ac:dyDescent="0.25">
      <c r="A1354" s="71">
        <v>681000</v>
      </c>
      <c r="B1354" s="71">
        <v>2007</v>
      </c>
      <c r="C1354" s="71" t="s">
        <v>830</v>
      </c>
      <c r="D1354" s="71" t="s">
        <v>476</v>
      </c>
      <c r="E1354" s="71" t="s">
        <v>475</v>
      </c>
      <c r="F1354" s="66" t="s">
        <v>307</v>
      </c>
      <c r="G1354" s="70" t="s">
        <v>467</v>
      </c>
      <c r="H1354" s="70" t="s">
        <v>466</v>
      </c>
      <c r="I1354" s="363">
        <v>3</v>
      </c>
      <c r="J1354" s="64"/>
      <c r="K1354" s="64"/>
      <c r="L1354" s="64"/>
    </row>
    <row r="1355" spans="1:12" x14ac:dyDescent="0.25">
      <c r="A1355" s="71">
        <v>682000</v>
      </c>
      <c r="B1355" s="71">
        <v>2007</v>
      </c>
      <c r="C1355" s="71" t="s">
        <v>829</v>
      </c>
      <c r="D1355" s="71" t="s">
        <v>476</v>
      </c>
      <c r="E1355" s="71" t="s">
        <v>475</v>
      </c>
      <c r="F1355" s="66" t="s">
        <v>307</v>
      </c>
      <c r="G1355" s="70" t="s">
        <v>467</v>
      </c>
      <c r="H1355" s="70" t="s">
        <v>466</v>
      </c>
      <c r="I1355" s="363">
        <v>3</v>
      </c>
      <c r="J1355" s="64"/>
      <c r="K1355" s="64"/>
      <c r="L1355" s="64"/>
    </row>
    <row r="1356" spans="1:12" x14ac:dyDescent="0.25">
      <c r="A1356" s="71">
        <v>682001</v>
      </c>
      <c r="B1356" s="71">
        <v>2007</v>
      </c>
      <c r="C1356" s="71" t="s">
        <v>828</v>
      </c>
      <c r="D1356" s="71" t="s">
        <v>476</v>
      </c>
      <c r="E1356" s="71" t="s">
        <v>475</v>
      </c>
      <c r="F1356" s="66" t="s">
        <v>307</v>
      </c>
      <c r="G1356" s="70" t="s">
        <v>467</v>
      </c>
      <c r="H1356" s="70" t="s">
        <v>466</v>
      </c>
      <c r="I1356" s="363">
        <v>3</v>
      </c>
      <c r="J1356" s="64"/>
      <c r="K1356" s="64"/>
      <c r="L1356" s="64"/>
    </row>
    <row r="1357" spans="1:12" x14ac:dyDescent="0.25">
      <c r="A1357" s="71">
        <v>682002</v>
      </c>
      <c r="B1357" s="71">
        <v>2007</v>
      </c>
      <c r="C1357" s="71" t="s">
        <v>827</v>
      </c>
      <c r="D1357" s="71" t="s">
        <v>476</v>
      </c>
      <c r="E1357" s="71" t="s">
        <v>475</v>
      </c>
      <c r="F1357" s="66" t="s">
        <v>307</v>
      </c>
      <c r="G1357" s="70" t="s">
        <v>467</v>
      </c>
      <c r="H1357" s="70" t="s">
        <v>466</v>
      </c>
      <c r="I1357" s="363">
        <v>3</v>
      </c>
      <c r="J1357" s="64"/>
      <c r="K1357" s="64"/>
      <c r="L1357" s="64"/>
    </row>
    <row r="1358" spans="1:12" x14ac:dyDescent="0.25">
      <c r="A1358" s="71">
        <v>683000</v>
      </c>
      <c r="B1358" s="71">
        <v>2007</v>
      </c>
      <c r="C1358" s="71" t="s">
        <v>826</v>
      </c>
      <c r="D1358" s="71" t="s">
        <v>476</v>
      </c>
      <c r="E1358" s="71" t="s">
        <v>475</v>
      </c>
      <c r="F1358" s="66" t="s">
        <v>307</v>
      </c>
      <c r="G1358" s="70" t="s">
        <v>467</v>
      </c>
      <c r="H1358" s="70" t="s">
        <v>466</v>
      </c>
      <c r="I1358" s="363">
        <v>3</v>
      </c>
      <c r="J1358" s="64"/>
      <c r="K1358" s="64"/>
      <c r="L1358" s="64"/>
    </row>
    <row r="1359" spans="1:12" x14ac:dyDescent="0.25">
      <c r="A1359" s="71">
        <v>683100</v>
      </c>
      <c r="B1359" s="71">
        <v>2007</v>
      </c>
      <c r="C1359" s="71" t="s">
        <v>825</v>
      </c>
      <c r="D1359" s="71" t="s">
        <v>476</v>
      </c>
      <c r="E1359" s="71" t="s">
        <v>475</v>
      </c>
      <c r="F1359" s="66" t="s">
        <v>307</v>
      </c>
      <c r="G1359" s="70" t="s">
        <v>467</v>
      </c>
      <c r="H1359" s="70" t="s">
        <v>466</v>
      </c>
      <c r="I1359" s="363">
        <v>3</v>
      </c>
      <c r="J1359" s="64"/>
      <c r="K1359" s="64"/>
      <c r="L1359" s="64"/>
    </row>
    <row r="1360" spans="1:12" x14ac:dyDescent="0.25">
      <c r="A1360" s="71">
        <v>683200</v>
      </c>
      <c r="B1360" s="71">
        <v>2007</v>
      </c>
      <c r="C1360" s="71" t="s">
        <v>824</v>
      </c>
      <c r="D1360" s="71" t="s">
        <v>476</v>
      </c>
      <c r="E1360" s="71" t="s">
        <v>475</v>
      </c>
      <c r="F1360" s="66" t="s">
        <v>307</v>
      </c>
      <c r="G1360" s="70" t="s">
        <v>467</v>
      </c>
      <c r="H1360" s="70" t="s">
        <v>466</v>
      </c>
      <c r="I1360" s="363">
        <v>3</v>
      </c>
      <c r="J1360" s="64"/>
      <c r="K1360" s="64"/>
      <c r="L1360" s="64"/>
    </row>
    <row r="1361" spans="1:12" x14ac:dyDescent="0.25">
      <c r="A1361" s="71">
        <v>690000</v>
      </c>
      <c r="B1361" s="71">
        <v>2007</v>
      </c>
      <c r="C1361" s="71" t="s">
        <v>823</v>
      </c>
      <c r="D1361" s="71" t="s">
        <v>476</v>
      </c>
      <c r="E1361" s="71" t="s">
        <v>475</v>
      </c>
      <c r="F1361" s="66" t="s">
        <v>307</v>
      </c>
      <c r="G1361" s="70" t="s">
        <v>467</v>
      </c>
      <c r="H1361" s="70" t="s">
        <v>466</v>
      </c>
      <c r="I1361" s="363">
        <v>3</v>
      </c>
      <c r="J1361" s="64"/>
      <c r="K1361" s="64"/>
      <c r="L1361" s="64"/>
    </row>
    <row r="1362" spans="1:12" x14ac:dyDescent="0.25">
      <c r="A1362" s="71">
        <v>691000</v>
      </c>
      <c r="B1362" s="71">
        <v>2007</v>
      </c>
      <c r="C1362" s="71" t="s">
        <v>822</v>
      </c>
      <c r="D1362" s="71" t="s">
        <v>476</v>
      </c>
      <c r="E1362" s="71" t="s">
        <v>475</v>
      </c>
      <c r="F1362" s="66" t="s">
        <v>307</v>
      </c>
      <c r="G1362" s="70" t="s">
        <v>467</v>
      </c>
      <c r="H1362" s="70" t="s">
        <v>466</v>
      </c>
      <c r="I1362" s="363">
        <v>3</v>
      </c>
      <c r="J1362" s="64"/>
      <c r="K1362" s="64"/>
      <c r="L1362" s="64"/>
    </row>
    <row r="1363" spans="1:12" x14ac:dyDescent="0.25">
      <c r="A1363" s="71">
        <v>691010</v>
      </c>
      <c r="B1363" s="71">
        <v>2007</v>
      </c>
      <c r="C1363" s="71" t="s">
        <v>821</v>
      </c>
      <c r="D1363" s="71" t="s">
        <v>476</v>
      </c>
      <c r="E1363" s="71" t="s">
        <v>475</v>
      </c>
      <c r="F1363" s="66" t="s">
        <v>307</v>
      </c>
      <c r="G1363" s="70" t="s">
        <v>467</v>
      </c>
      <c r="H1363" s="70" t="s">
        <v>466</v>
      </c>
      <c r="I1363" s="363">
        <v>3</v>
      </c>
      <c r="J1363" s="64"/>
      <c r="K1363" s="64"/>
      <c r="L1363" s="64"/>
    </row>
    <row r="1364" spans="1:12" x14ac:dyDescent="0.25">
      <c r="A1364" s="71">
        <v>691020</v>
      </c>
      <c r="B1364" s="71">
        <v>2007</v>
      </c>
      <c r="C1364" s="71" t="s">
        <v>820</v>
      </c>
      <c r="D1364" s="71" t="s">
        <v>476</v>
      </c>
      <c r="E1364" s="71" t="s">
        <v>475</v>
      </c>
      <c r="F1364" s="66" t="s">
        <v>307</v>
      </c>
      <c r="G1364" s="70" t="s">
        <v>467</v>
      </c>
      <c r="H1364" s="70" t="s">
        <v>466</v>
      </c>
      <c r="I1364" s="363">
        <v>3</v>
      </c>
      <c r="J1364" s="64"/>
      <c r="K1364" s="64"/>
      <c r="L1364" s="64"/>
    </row>
    <row r="1365" spans="1:12" x14ac:dyDescent="0.25">
      <c r="A1365" s="71">
        <v>692000</v>
      </c>
      <c r="B1365" s="71">
        <v>2007</v>
      </c>
      <c r="C1365" s="71" t="s">
        <v>819</v>
      </c>
      <c r="D1365" s="71" t="s">
        <v>476</v>
      </c>
      <c r="E1365" s="71" t="s">
        <v>475</v>
      </c>
      <c r="F1365" s="66" t="s">
        <v>307</v>
      </c>
      <c r="G1365" s="70" t="s">
        <v>467</v>
      </c>
      <c r="H1365" s="70" t="s">
        <v>466</v>
      </c>
      <c r="I1365" s="363">
        <v>3</v>
      </c>
      <c r="J1365" s="64"/>
      <c r="K1365" s="64"/>
      <c r="L1365" s="64"/>
    </row>
    <row r="1366" spans="1:12" x14ac:dyDescent="0.25">
      <c r="A1366" s="71">
        <v>692010</v>
      </c>
      <c r="B1366" s="71">
        <v>2007</v>
      </c>
      <c r="C1366" s="71" t="s">
        <v>818</v>
      </c>
      <c r="D1366" s="71" t="s">
        <v>476</v>
      </c>
      <c r="E1366" s="71" t="s">
        <v>475</v>
      </c>
      <c r="F1366" s="66" t="s">
        <v>307</v>
      </c>
      <c r="G1366" s="70" t="s">
        <v>467</v>
      </c>
      <c r="H1366" s="70" t="s">
        <v>466</v>
      </c>
      <c r="I1366" s="363">
        <v>3</v>
      </c>
      <c r="J1366" s="64"/>
      <c r="K1366" s="64"/>
      <c r="L1366" s="64"/>
    </row>
    <row r="1367" spans="1:12" x14ac:dyDescent="0.25">
      <c r="A1367" s="71">
        <v>692011</v>
      </c>
      <c r="B1367" s="71">
        <v>2007</v>
      </c>
      <c r="C1367" s="71" t="s">
        <v>817</v>
      </c>
      <c r="D1367" s="71" t="s">
        <v>476</v>
      </c>
      <c r="E1367" s="71" t="s">
        <v>475</v>
      </c>
      <c r="F1367" s="66" t="s">
        <v>307</v>
      </c>
      <c r="G1367" s="70" t="s">
        <v>467</v>
      </c>
      <c r="H1367" s="70" t="s">
        <v>466</v>
      </c>
      <c r="I1367" s="363">
        <v>3</v>
      </c>
      <c r="J1367" s="64"/>
      <c r="K1367" s="64"/>
      <c r="L1367" s="64"/>
    </row>
    <row r="1368" spans="1:12" x14ac:dyDescent="0.25">
      <c r="A1368" s="71">
        <v>692012</v>
      </c>
      <c r="B1368" s="71">
        <v>2007</v>
      </c>
      <c r="C1368" s="71" t="s">
        <v>816</v>
      </c>
      <c r="D1368" s="71" t="s">
        <v>476</v>
      </c>
      <c r="E1368" s="71" t="s">
        <v>475</v>
      </c>
      <c r="F1368" s="66" t="s">
        <v>307</v>
      </c>
      <c r="G1368" s="70" t="s">
        <v>467</v>
      </c>
      <c r="H1368" s="70" t="s">
        <v>466</v>
      </c>
      <c r="I1368" s="363">
        <v>3</v>
      </c>
      <c r="J1368" s="64"/>
      <c r="K1368" s="64"/>
      <c r="L1368" s="64"/>
    </row>
    <row r="1369" spans="1:12" x14ac:dyDescent="0.25">
      <c r="A1369" s="71">
        <v>692013</v>
      </c>
      <c r="B1369" s="71">
        <v>2007</v>
      </c>
      <c r="C1369" s="71" t="s">
        <v>815</v>
      </c>
      <c r="D1369" s="71" t="s">
        <v>476</v>
      </c>
      <c r="E1369" s="71" t="s">
        <v>475</v>
      </c>
      <c r="F1369" s="66" t="s">
        <v>307</v>
      </c>
      <c r="G1369" s="70" t="s">
        <v>467</v>
      </c>
      <c r="H1369" s="70" t="s">
        <v>466</v>
      </c>
      <c r="I1369" s="363">
        <v>3</v>
      </c>
      <c r="J1369" s="64"/>
      <c r="K1369" s="64"/>
      <c r="L1369" s="64"/>
    </row>
    <row r="1370" spans="1:12" x14ac:dyDescent="0.25">
      <c r="A1370" s="71">
        <v>692014</v>
      </c>
      <c r="B1370" s="71">
        <v>2007</v>
      </c>
      <c r="C1370" s="71" t="s">
        <v>814</v>
      </c>
      <c r="D1370" s="71" t="s">
        <v>476</v>
      </c>
      <c r="E1370" s="71" t="s">
        <v>475</v>
      </c>
      <c r="F1370" s="66" t="s">
        <v>307</v>
      </c>
      <c r="G1370" s="70" t="s">
        <v>467</v>
      </c>
      <c r="H1370" s="70" t="s">
        <v>466</v>
      </c>
      <c r="I1370" s="363">
        <v>3</v>
      </c>
      <c r="J1370" s="64"/>
      <c r="K1370" s="64"/>
      <c r="L1370" s="64"/>
    </row>
    <row r="1371" spans="1:12" x14ac:dyDescent="0.25">
      <c r="A1371" s="71">
        <v>692015</v>
      </c>
      <c r="B1371" s="71">
        <v>2007</v>
      </c>
      <c r="C1371" s="71" t="s">
        <v>813</v>
      </c>
      <c r="D1371" s="71" t="s">
        <v>476</v>
      </c>
      <c r="E1371" s="71" t="s">
        <v>475</v>
      </c>
      <c r="F1371" s="66" t="s">
        <v>307</v>
      </c>
      <c r="G1371" s="70" t="s">
        <v>467</v>
      </c>
      <c r="H1371" s="70" t="s">
        <v>466</v>
      </c>
      <c r="I1371" s="363">
        <v>3</v>
      </c>
      <c r="J1371" s="64"/>
      <c r="K1371" s="64"/>
      <c r="L1371" s="64"/>
    </row>
    <row r="1372" spans="1:12" x14ac:dyDescent="0.25">
      <c r="A1372" s="71">
        <v>692020</v>
      </c>
      <c r="B1372" s="71">
        <v>2007</v>
      </c>
      <c r="C1372" s="71" t="s">
        <v>812</v>
      </c>
      <c r="D1372" s="71" t="s">
        <v>476</v>
      </c>
      <c r="E1372" s="71" t="s">
        <v>475</v>
      </c>
      <c r="F1372" s="66" t="s">
        <v>307</v>
      </c>
      <c r="G1372" s="70" t="s">
        <v>467</v>
      </c>
      <c r="H1372" s="70" t="s">
        <v>466</v>
      </c>
      <c r="I1372" s="363">
        <v>3</v>
      </c>
      <c r="J1372" s="64"/>
      <c r="K1372" s="64"/>
      <c r="L1372" s="64"/>
    </row>
    <row r="1373" spans="1:12" x14ac:dyDescent="0.25">
      <c r="A1373" s="71">
        <v>692030</v>
      </c>
      <c r="B1373" s="71">
        <v>2007</v>
      </c>
      <c r="C1373" s="71" t="s">
        <v>811</v>
      </c>
      <c r="D1373" s="71" t="s">
        <v>476</v>
      </c>
      <c r="E1373" s="71" t="s">
        <v>475</v>
      </c>
      <c r="F1373" s="66" t="s">
        <v>307</v>
      </c>
      <c r="G1373" s="70" t="s">
        <v>467</v>
      </c>
      <c r="H1373" s="70" t="s">
        <v>466</v>
      </c>
      <c r="I1373" s="363">
        <v>3</v>
      </c>
      <c r="J1373" s="64"/>
      <c r="K1373" s="64"/>
      <c r="L1373" s="64"/>
    </row>
    <row r="1374" spans="1:12" x14ac:dyDescent="0.25">
      <c r="A1374" s="71">
        <v>700000</v>
      </c>
      <c r="B1374" s="71">
        <v>2007</v>
      </c>
      <c r="C1374" s="71" t="s">
        <v>810</v>
      </c>
      <c r="D1374" s="71" t="s">
        <v>476</v>
      </c>
      <c r="E1374" s="71" t="s">
        <v>475</v>
      </c>
      <c r="F1374" s="66" t="s">
        <v>307</v>
      </c>
      <c r="G1374" s="70" t="s">
        <v>467</v>
      </c>
      <c r="H1374" s="70" t="s">
        <v>466</v>
      </c>
      <c r="I1374" s="363">
        <v>3</v>
      </c>
      <c r="J1374" s="64"/>
      <c r="K1374" s="64"/>
      <c r="L1374" s="64"/>
    </row>
    <row r="1375" spans="1:12" x14ac:dyDescent="0.25">
      <c r="A1375" s="71">
        <v>701000</v>
      </c>
      <c r="B1375" s="71">
        <v>2007</v>
      </c>
      <c r="C1375" s="71" t="s">
        <v>809</v>
      </c>
      <c r="D1375" s="71" t="s">
        <v>476</v>
      </c>
      <c r="E1375" s="71" t="s">
        <v>475</v>
      </c>
      <c r="F1375" s="66" t="s">
        <v>307</v>
      </c>
      <c r="G1375" s="70" t="s">
        <v>467</v>
      </c>
      <c r="H1375" s="70" t="s">
        <v>466</v>
      </c>
      <c r="I1375" s="363">
        <v>3</v>
      </c>
      <c r="J1375" s="64"/>
      <c r="K1375" s="64"/>
      <c r="L1375" s="64"/>
    </row>
    <row r="1376" spans="1:12" x14ac:dyDescent="0.25">
      <c r="A1376" s="71">
        <v>702000</v>
      </c>
      <c r="B1376" s="71">
        <v>2007</v>
      </c>
      <c r="C1376" s="71" t="s">
        <v>808</v>
      </c>
      <c r="D1376" s="71" t="s">
        <v>476</v>
      </c>
      <c r="E1376" s="71" t="s">
        <v>475</v>
      </c>
      <c r="F1376" s="66" t="s">
        <v>307</v>
      </c>
      <c r="G1376" s="70" t="s">
        <v>467</v>
      </c>
      <c r="H1376" s="70" t="s">
        <v>466</v>
      </c>
      <c r="I1376" s="363">
        <v>3</v>
      </c>
      <c r="J1376" s="64"/>
      <c r="K1376" s="64"/>
      <c r="L1376" s="64"/>
    </row>
    <row r="1377" spans="1:12" x14ac:dyDescent="0.25">
      <c r="A1377" s="71">
        <v>702100</v>
      </c>
      <c r="B1377" s="71">
        <v>2007</v>
      </c>
      <c r="C1377" s="71" t="s">
        <v>807</v>
      </c>
      <c r="D1377" s="71" t="s">
        <v>476</v>
      </c>
      <c r="E1377" s="71" t="s">
        <v>475</v>
      </c>
      <c r="F1377" s="66" t="s">
        <v>307</v>
      </c>
      <c r="G1377" s="70" t="s">
        <v>467</v>
      </c>
      <c r="H1377" s="70" t="s">
        <v>466</v>
      </c>
      <c r="I1377" s="363">
        <v>3</v>
      </c>
      <c r="J1377" s="64"/>
      <c r="K1377" s="64"/>
      <c r="L1377" s="64"/>
    </row>
    <row r="1378" spans="1:12" x14ac:dyDescent="0.25">
      <c r="A1378" s="71">
        <v>702200</v>
      </c>
      <c r="B1378" s="71">
        <v>2007</v>
      </c>
      <c r="C1378" s="71" t="s">
        <v>806</v>
      </c>
      <c r="D1378" s="71" t="s">
        <v>476</v>
      </c>
      <c r="E1378" s="71" t="s">
        <v>475</v>
      </c>
      <c r="F1378" s="66" t="s">
        <v>307</v>
      </c>
      <c r="G1378" s="70" t="s">
        <v>467</v>
      </c>
      <c r="H1378" s="70" t="s">
        <v>466</v>
      </c>
      <c r="I1378" s="363">
        <v>3</v>
      </c>
      <c r="J1378" s="64"/>
      <c r="K1378" s="64"/>
      <c r="L1378" s="64"/>
    </row>
    <row r="1379" spans="1:12" x14ac:dyDescent="0.25">
      <c r="A1379" s="71">
        <v>702201</v>
      </c>
      <c r="B1379" s="71">
        <v>2007</v>
      </c>
      <c r="C1379" s="71" t="s">
        <v>805</v>
      </c>
      <c r="D1379" s="71" t="s">
        <v>476</v>
      </c>
      <c r="E1379" s="71" t="s">
        <v>475</v>
      </c>
      <c r="F1379" s="66" t="s">
        <v>307</v>
      </c>
      <c r="G1379" s="70" t="s">
        <v>467</v>
      </c>
      <c r="H1379" s="70" t="s">
        <v>466</v>
      </c>
      <c r="I1379" s="363">
        <v>3</v>
      </c>
      <c r="J1379" s="64"/>
      <c r="K1379" s="64"/>
      <c r="L1379" s="64"/>
    </row>
    <row r="1380" spans="1:12" x14ac:dyDescent="0.25">
      <c r="A1380" s="71">
        <v>702209</v>
      </c>
      <c r="B1380" s="71">
        <v>2007</v>
      </c>
      <c r="C1380" s="71" t="s">
        <v>804</v>
      </c>
      <c r="D1380" s="71" t="s">
        <v>476</v>
      </c>
      <c r="E1380" s="71" t="s">
        <v>475</v>
      </c>
      <c r="F1380" s="66" t="s">
        <v>307</v>
      </c>
      <c r="G1380" s="70" t="s">
        <v>467</v>
      </c>
      <c r="H1380" s="70" t="s">
        <v>466</v>
      </c>
      <c r="I1380" s="363">
        <v>3</v>
      </c>
      <c r="J1380" s="64"/>
      <c r="K1380" s="64"/>
      <c r="L1380" s="64"/>
    </row>
    <row r="1381" spans="1:12" x14ac:dyDescent="0.25">
      <c r="A1381" s="71">
        <v>710000</v>
      </c>
      <c r="B1381" s="71">
        <v>2007</v>
      </c>
      <c r="C1381" s="71" t="s">
        <v>803</v>
      </c>
      <c r="D1381" s="71" t="s">
        <v>476</v>
      </c>
      <c r="E1381" s="71" t="s">
        <v>475</v>
      </c>
      <c r="F1381" s="66" t="s">
        <v>307</v>
      </c>
      <c r="G1381" s="70" t="s">
        <v>467</v>
      </c>
      <c r="H1381" s="70" t="s">
        <v>466</v>
      </c>
      <c r="I1381" s="363">
        <v>3</v>
      </c>
      <c r="J1381" s="64"/>
      <c r="K1381" s="64"/>
      <c r="L1381" s="64"/>
    </row>
    <row r="1382" spans="1:12" x14ac:dyDescent="0.25">
      <c r="A1382" s="71">
        <v>711000</v>
      </c>
      <c r="B1382" s="71">
        <v>2007</v>
      </c>
      <c r="C1382" s="71" t="s">
        <v>802</v>
      </c>
      <c r="D1382" s="71" t="s">
        <v>476</v>
      </c>
      <c r="E1382" s="71" t="s">
        <v>475</v>
      </c>
      <c r="F1382" s="66" t="s">
        <v>307</v>
      </c>
      <c r="G1382" s="70" t="s">
        <v>467</v>
      </c>
      <c r="H1382" s="70" t="s">
        <v>466</v>
      </c>
      <c r="I1382" s="363">
        <v>3</v>
      </c>
      <c r="J1382" s="64"/>
      <c r="K1382" s="64"/>
      <c r="L1382" s="64"/>
    </row>
    <row r="1383" spans="1:12" x14ac:dyDescent="0.25">
      <c r="A1383" s="71">
        <v>711100</v>
      </c>
      <c r="B1383" s="71">
        <v>2007</v>
      </c>
      <c r="C1383" s="71" t="s">
        <v>801</v>
      </c>
      <c r="D1383" s="71" t="s">
        <v>476</v>
      </c>
      <c r="E1383" s="71" t="s">
        <v>475</v>
      </c>
      <c r="F1383" s="66" t="s">
        <v>307</v>
      </c>
      <c r="G1383" s="70" t="s">
        <v>467</v>
      </c>
      <c r="H1383" s="70" t="s">
        <v>466</v>
      </c>
      <c r="I1383" s="363">
        <v>3</v>
      </c>
      <c r="J1383" s="64"/>
      <c r="K1383" s="64"/>
      <c r="L1383" s="64"/>
    </row>
    <row r="1384" spans="1:12" x14ac:dyDescent="0.25">
      <c r="A1384" s="71">
        <v>711200</v>
      </c>
      <c r="B1384" s="71">
        <v>2007</v>
      </c>
      <c r="C1384" s="71" t="s">
        <v>800</v>
      </c>
      <c r="D1384" s="71" t="s">
        <v>476</v>
      </c>
      <c r="E1384" s="71" t="s">
        <v>475</v>
      </c>
      <c r="F1384" s="66" t="s">
        <v>307</v>
      </c>
      <c r="G1384" s="70" t="s">
        <v>467</v>
      </c>
      <c r="H1384" s="70" t="s">
        <v>466</v>
      </c>
      <c r="I1384" s="363">
        <v>3</v>
      </c>
      <c r="J1384" s="64"/>
      <c r="K1384" s="64"/>
      <c r="L1384" s="64"/>
    </row>
    <row r="1385" spans="1:12" x14ac:dyDescent="0.25">
      <c r="A1385" s="71">
        <v>711210</v>
      </c>
      <c r="B1385" s="71">
        <v>2007</v>
      </c>
      <c r="C1385" s="71" t="s">
        <v>799</v>
      </c>
      <c r="D1385" s="71" t="s">
        <v>476</v>
      </c>
      <c r="E1385" s="71" t="s">
        <v>475</v>
      </c>
      <c r="F1385" s="66" t="s">
        <v>307</v>
      </c>
      <c r="G1385" s="70" t="s">
        <v>467</v>
      </c>
      <c r="H1385" s="70" t="s">
        <v>466</v>
      </c>
      <c r="I1385" s="363">
        <v>3</v>
      </c>
      <c r="J1385" s="64"/>
      <c r="K1385" s="64"/>
      <c r="L1385" s="64"/>
    </row>
    <row r="1386" spans="1:12" x14ac:dyDescent="0.25">
      <c r="A1386" s="71">
        <v>711220</v>
      </c>
      <c r="B1386" s="71">
        <v>2007</v>
      </c>
      <c r="C1386" s="71" t="s">
        <v>798</v>
      </c>
      <c r="D1386" s="71" t="s">
        <v>476</v>
      </c>
      <c r="E1386" s="71" t="s">
        <v>475</v>
      </c>
      <c r="F1386" s="66" t="s">
        <v>307</v>
      </c>
      <c r="G1386" s="70" t="s">
        <v>467</v>
      </c>
      <c r="H1386" s="70" t="s">
        <v>466</v>
      </c>
      <c r="I1386" s="363">
        <v>3</v>
      </c>
      <c r="J1386" s="64"/>
      <c r="K1386" s="64"/>
      <c r="L1386" s="64"/>
    </row>
    <row r="1387" spans="1:12" x14ac:dyDescent="0.25">
      <c r="A1387" s="71">
        <v>711230</v>
      </c>
      <c r="B1387" s="71">
        <v>2007</v>
      </c>
      <c r="C1387" s="71" t="s">
        <v>797</v>
      </c>
      <c r="D1387" s="71" t="s">
        <v>476</v>
      </c>
      <c r="E1387" s="71" t="s">
        <v>475</v>
      </c>
      <c r="F1387" s="66" t="s">
        <v>307</v>
      </c>
      <c r="G1387" s="70" t="s">
        <v>467</v>
      </c>
      <c r="H1387" s="70" t="s">
        <v>466</v>
      </c>
      <c r="I1387" s="363">
        <v>3</v>
      </c>
      <c r="J1387" s="64"/>
      <c r="K1387" s="64"/>
      <c r="L1387" s="64"/>
    </row>
    <row r="1388" spans="1:12" x14ac:dyDescent="0.25">
      <c r="A1388" s="71">
        <v>711240</v>
      </c>
      <c r="B1388" s="71">
        <v>2007</v>
      </c>
      <c r="C1388" s="71" t="s">
        <v>796</v>
      </c>
      <c r="D1388" s="71" t="s">
        <v>476</v>
      </c>
      <c r="E1388" s="71" t="s">
        <v>475</v>
      </c>
      <c r="F1388" s="66" t="s">
        <v>307</v>
      </c>
      <c r="G1388" s="70" t="s">
        <v>467</v>
      </c>
      <c r="H1388" s="70" t="s">
        <v>466</v>
      </c>
      <c r="I1388" s="363">
        <v>3</v>
      </c>
      <c r="J1388" s="64"/>
      <c r="K1388" s="64"/>
      <c r="L1388" s="64"/>
    </row>
    <row r="1389" spans="1:12" x14ac:dyDescent="0.25">
      <c r="A1389" s="71">
        <v>711250</v>
      </c>
      <c r="B1389" s="71">
        <v>2007</v>
      </c>
      <c r="C1389" s="71" t="s">
        <v>795</v>
      </c>
      <c r="D1389" s="71" t="s">
        <v>476</v>
      </c>
      <c r="E1389" s="71" t="s">
        <v>475</v>
      </c>
      <c r="F1389" s="66" t="s">
        <v>307</v>
      </c>
      <c r="G1389" s="70" t="s">
        <v>467</v>
      </c>
      <c r="H1389" s="70" t="s">
        <v>466</v>
      </c>
      <c r="I1389" s="363">
        <v>3</v>
      </c>
      <c r="J1389" s="64"/>
      <c r="K1389" s="64"/>
      <c r="L1389" s="64"/>
    </row>
    <row r="1390" spans="1:12" x14ac:dyDescent="0.25">
      <c r="A1390" s="71">
        <v>712000</v>
      </c>
      <c r="B1390" s="71">
        <v>2007</v>
      </c>
      <c r="C1390" s="71" t="s">
        <v>794</v>
      </c>
      <c r="D1390" s="71" t="s">
        <v>476</v>
      </c>
      <c r="E1390" s="71" t="s">
        <v>475</v>
      </c>
      <c r="F1390" s="66" t="s">
        <v>307</v>
      </c>
      <c r="G1390" s="70" t="s">
        <v>467</v>
      </c>
      <c r="H1390" s="70" t="s">
        <v>466</v>
      </c>
      <c r="I1390" s="363">
        <v>3</v>
      </c>
      <c r="J1390" s="64"/>
      <c r="K1390" s="64"/>
      <c r="L1390" s="64"/>
    </row>
    <row r="1391" spans="1:12" x14ac:dyDescent="0.25">
      <c r="A1391" s="71">
        <v>712010</v>
      </c>
      <c r="B1391" s="71">
        <v>2007</v>
      </c>
      <c r="C1391" s="71" t="s">
        <v>793</v>
      </c>
      <c r="D1391" s="71" t="s">
        <v>476</v>
      </c>
      <c r="E1391" s="71" t="s">
        <v>475</v>
      </c>
      <c r="F1391" s="66" t="s">
        <v>307</v>
      </c>
      <c r="G1391" s="70" t="s">
        <v>467</v>
      </c>
      <c r="H1391" s="70" t="s">
        <v>466</v>
      </c>
      <c r="I1391" s="363">
        <v>3</v>
      </c>
      <c r="J1391" s="64"/>
      <c r="K1391" s="64"/>
      <c r="L1391" s="64"/>
    </row>
    <row r="1392" spans="1:12" x14ac:dyDescent="0.25">
      <c r="A1392" s="71">
        <v>712020</v>
      </c>
      <c r="B1392" s="71">
        <v>2007</v>
      </c>
      <c r="C1392" s="71" t="s">
        <v>792</v>
      </c>
      <c r="D1392" s="71" t="s">
        <v>476</v>
      </c>
      <c r="E1392" s="71" t="s">
        <v>475</v>
      </c>
      <c r="F1392" s="66" t="s">
        <v>307</v>
      </c>
      <c r="G1392" s="70" t="s">
        <v>467</v>
      </c>
      <c r="H1392" s="70" t="s">
        <v>466</v>
      </c>
      <c r="I1392" s="363">
        <v>3</v>
      </c>
      <c r="J1392" s="64"/>
      <c r="K1392" s="64"/>
      <c r="L1392" s="64"/>
    </row>
    <row r="1393" spans="1:12" x14ac:dyDescent="0.25">
      <c r="A1393" s="71">
        <v>712021</v>
      </c>
      <c r="B1393" s="71">
        <v>2007</v>
      </c>
      <c r="C1393" s="71" t="s">
        <v>792</v>
      </c>
      <c r="D1393" s="71" t="s">
        <v>476</v>
      </c>
      <c r="E1393" s="71" t="s">
        <v>475</v>
      </c>
      <c r="F1393" s="66" t="s">
        <v>307</v>
      </c>
      <c r="G1393" s="70" t="s">
        <v>467</v>
      </c>
      <c r="H1393" s="70" t="s">
        <v>466</v>
      </c>
      <c r="I1393" s="363">
        <v>3</v>
      </c>
      <c r="J1393" s="64"/>
      <c r="K1393" s="64"/>
      <c r="L1393" s="64"/>
    </row>
    <row r="1394" spans="1:12" x14ac:dyDescent="0.25">
      <c r="A1394" s="71">
        <v>712022</v>
      </c>
      <c r="B1394" s="71">
        <v>2007</v>
      </c>
      <c r="C1394" s="71" t="s">
        <v>791</v>
      </c>
      <c r="D1394" s="71" t="s">
        <v>476</v>
      </c>
      <c r="E1394" s="71" t="s">
        <v>475</v>
      </c>
      <c r="F1394" s="66" t="s">
        <v>307</v>
      </c>
      <c r="G1394" s="70" t="s">
        <v>467</v>
      </c>
      <c r="H1394" s="70" t="s">
        <v>466</v>
      </c>
      <c r="I1394" s="363">
        <v>3</v>
      </c>
      <c r="J1394" s="64"/>
      <c r="K1394" s="64"/>
      <c r="L1394" s="64"/>
    </row>
    <row r="1395" spans="1:12" x14ac:dyDescent="0.25">
      <c r="A1395" s="71">
        <v>720000</v>
      </c>
      <c r="B1395" s="71">
        <v>2007</v>
      </c>
      <c r="C1395" s="71" t="s">
        <v>790</v>
      </c>
      <c r="D1395" s="71" t="s">
        <v>476</v>
      </c>
      <c r="E1395" s="71" t="s">
        <v>475</v>
      </c>
      <c r="F1395" s="66" t="s">
        <v>307</v>
      </c>
      <c r="G1395" s="70" t="s">
        <v>467</v>
      </c>
      <c r="H1395" s="70" t="s">
        <v>466</v>
      </c>
      <c r="I1395" s="363">
        <v>3</v>
      </c>
      <c r="J1395" s="64"/>
      <c r="K1395" s="64"/>
      <c r="L1395" s="64"/>
    </row>
    <row r="1396" spans="1:12" x14ac:dyDescent="0.25">
      <c r="A1396" s="71">
        <v>721000</v>
      </c>
      <c r="B1396" s="71">
        <v>2007</v>
      </c>
      <c r="C1396" s="71" t="s">
        <v>789</v>
      </c>
      <c r="D1396" s="71" t="s">
        <v>476</v>
      </c>
      <c r="E1396" s="71" t="s">
        <v>475</v>
      </c>
      <c r="F1396" s="66" t="s">
        <v>307</v>
      </c>
      <c r="G1396" s="70" t="s">
        <v>467</v>
      </c>
      <c r="H1396" s="70" t="s">
        <v>466</v>
      </c>
      <c r="I1396" s="363">
        <v>3</v>
      </c>
      <c r="J1396" s="64"/>
      <c r="K1396" s="64"/>
      <c r="L1396" s="64"/>
    </row>
    <row r="1397" spans="1:12" x14ac:dyDescent="0.25">
      <c r="A1397" s="71">
        <v>721100</v>
      </c>
      <c r="B1397" s="71">
        <v>2007</v>
      </c>
      <c r="C1397" s="71" t="s">
        <v>788</v>
      </c>
      <c r="D1397" s="71" t="s">
        <v>476</v>
      </c>
      <c r="E1397" s="71" t="s">
        <v>475</v>
      </c>
      <c r="F1397" s="66" t="s">
        <v>307</v>
      </c>
      <c r="G1397" s="70" t="s">
        <v>467</v>
      </c>
      <c r="H1397" s="70" t="s">
        <v>466</v>
      </c>
      <c r="I1397" s="363">
        <v>3</v>
      </c>
      <c r="J1397" s="64"/>
      <c r="K1397" s="64"/>
      <c r="L1397" s="64"/>
    </row>
    <row r="1398" spans="1:12" x14ac:dyDescent="0.25">
      <c r="A1398" s="71">
        <v>721900</v>
      </c>
      <c r="B1398" s="71">
        <v>2007</v>
      </c>
      <c r="C1398" s="71" t="s">
        <v>787</v>
      </c>
      <c r="D1398" s="71" t="s">
        <v>476</v>
      </c>
      <c r="E1398" s="71" t="s">
        <v>475</v>
      </c>
      <c r="F1398" s="66" t="s">
        <v>307</v>
      </c>
      <c r="G1398" s="70" t="s">
        <v>467</v>
      </c>
      <c r="H1398" s="70" t="s">
        <v>466</v>
      </c>
      <c r="I1398" s="363">
        <v>3</v>
      </c>
      <c r="J1398" s="64"/>
      <c r="K1398" s="64"/>
      <c r="L1398" s="64"/>
    </row>
    <row r="1399" spans="1:12" x14ac:dyDescent="0.25">
      <c r="A1399" s="71">
        <v>721901</v>
      </c>
      <c r="B1399" s="71">
        <v>2007</v>
      </c>
      <c r="C1399" s="71" t="s">
        <v>786</v>
      </c>
      <c r="D1399" s="71" t="s">
        <v>476</v>
      </c>
      <c r="E1399" s="71" t="s">
        <v>475</v>
      </c>
      <c r="F1399" s="66" t="s">
        <v>307</v>
      </c>
      <c r="G1399" s="70" t="s">
        <v>467</v>
      </c>
      <c r="H1399" s="70" t="s">
        <v>466</v>
      </c>
      <c r="I1399" s="363">
        <v>3</v>
      </c>
      <c r="J1399" s="64"/>
      <c r="K1399" s="64"/>
      <c r="L1399" s="64"/>
    </row>
    <row r="1400" spans="1:12" x14ac:dyDescent="0.25">
      <c r="A1400" s="71">
        <v>721909</v>
      </c>
      <c r="B1400" s="71">
        <v>2007</v>
      </c>
      <c r="C1400" s="71" t="s">
        <v>785</v>
      </c>
      <c r="D1400" s="71" t="s">
        <v>476</v>
      </c>
      <c r="E1400" s="71" t="s">
        <v>475</v>
      </c>
      <c r="F1400" s="66" t="s">
        <v>307</v>
      </c>
      <c r="G1400" s="70" t="s">
        <v>467</v>
      </c>
      <c r="H1400" s="70" t="s">
        <v>466</v>
      </c>
      <c r="I1400" s="363">
        <v>3</v>
      </c>
      <c r="J1400" s="64"/>
      <c r="K1400" s="64"/>
      <c r="L1400" s="64"/>
    </row>
    <row r="1401" spans="1:12" x14ac:dyDescent="0.25">
      <c r="A1401" s="71">
        <v>722000</v>
      </c>
      <c r="B1401" s="71">
        <v>2007</v>
      </c>
      <c r="C1401" s="71" t="s">
        <v>784</v>
      </c>
      <c r="D1401" s="71" t="s">
        <v>476</v>
      </c>
      <c r="E1401" s="71" t="s">
        <v>475</v>
      </c>
      <c r="F1401" s="66" t="s">
        <v>307</v>
      </c>
      <c r="G1401" s="70" t="s">
        <v>467</v>
      </c>
      <c r="H1401" s="70" t="s">
        <v>466</v>
      </c>
      <c r="I1401" s="363">
        <v>3</v>
      </c>
      <c r="J1401" s="64"/>
      <c r="K1401" s="64"/>
      <c r="L1401" s="64"/>
    </row>
    <row r="1402" spans="1:12" x14ac:dyDescent="0.25">
      <c r="A1402" s="71">
        <v>730000</v>
      </c>
      <c r="B1402" s="71">
        <v>2007</v>
      </c>
      <c r="C1402" s="71" t="s">
        <v>783</v>
      </c>
      <c r="D1402" s="71" t="s">
        <v>476</v>
      </c>
      <c r="E1402" s="71" t="s">
        <v>475</v>
      </c>
      <c r="F1402" s="66" t="s">
        <v>307</v>
      </c>
      <c r="G1402" s="70" t="s">
        <v>467</v>
      </c>
      <c r="H1402" s="70" t="s">
        <v>466</v>
      </c>
      <c r="I1402" s="363">
        <v>3</v>
      </c>
      <c r="J1402" s="64"/>
      <c r="K1402" s="64"/>
      <c r="L1402" s="64"/>
    </row>
    <row r="1403" spans="1:12" x14ac:dyDescent="0.25">
      <c r="A1403" s="71">
        <v>731000</v>
      </c>
      <c r="B1403" s="71">
        <v>2007</v>
      </c>
      <c r="C1403" s="71" t="s">
        <v>782</v>
      </c>
      <c r="D1403" s="71" t="s">
        <v>476</v>
      </c>
      <c r="E1403" s="71" t="s">
        <v>475</v>
      </c>
      <c r="F1403" s="66" t="s">
        <v>307</v>
      </c>
      <c r="G1403" s="70" t="s">
        <v>467</v>
      </c>
      <c r="H1403" s="70" t="s">
        <v>466</v>
      </c>
      <c r="I1403" s="363">
        <v>3</v>
      </c>
      <c r="J1403" s="64"/>
      <c r="K1403" s="64"/>
      <c r="L1403" s="64"/>
    </row>
    <row r="1404" spans="1:12" x14ac:dyDescent="0.25">
      <c r="A1404" s="71">
        <v>731100</v>
      </c>
      <c r="B1404" s="71">
        <v>2007</v>
      </c>
      <c r="C1404" s="71" t="s">
        <v>781</v>
      </c>
      <c r="D1404" s="71" t="s">
        <v>476</v>
      </c>
      <c r="E1404" s="71" t="s">
        <v>475</v>
      </c>
      <c r="F1404" s="66" t="s">
        <v>307</v>
      </c>
      <c r="G1404" s="70" t="s">
        <v>467</v>
      </c>
      <c r="H1404" s="70" t="s">
        <v>466</v>
      </c>
      <c r="I1404" s="363">
        <v>3</v>
      </c>
      <c r="J1404" s="64"/>
      <c r="K1404" s="64"/>
      <c r="L1404" s="64"/>
    </row>
    <row r="1405" spans="1:12" x14ac:dyDescent="0.25">
      <c r="A1405" s="71">
        <v>731101</v>
      </c>
      <c r="B1405" s="71">
        <v>2007</v>
      </c>
      <c r="C1405" s="71" t="s">
        <v>780</v>
      </c>
      <c r="D1405" s="71" t="s">
        <v>476</v>
      </c>
      <c r="E1405" s="71" t="s">
        <v>475</v>
      </c>
      <c r="F1405" s="66" t="s">
        <v>307</v>
      </c>
      <c r="G1405" s="70" t="s">
        <v>467</v>
      </c>
      <c r="H1405" s="70" t="s">
        <v>466</v>
      </c>
      <c r="I1405" s="363">
        <v>3</v>
      </c>
      <c r="J1405" s="64"/>
      <c r="K1405" s="64"/>
      <c r="L1405" s="64"/>
    </row>
    <row r="1406" spans="1:12" x14ac:dyDescent="0.25">
      <c r="A1406" s="71">
        <v>731102</v>
      </c>
      <c r="B1406" s="71">
        <v>2007</v>
      </c>
      <c r="C1406" s="71" t="s">
        <v>779</v>
      </c>
      <c r="D1406" s="71" t="s">
        <v>476</v>
      </c>
      <c r="E1406" s="71" t="s">
        <v>475</v>
      </c>
      <c r="F1406" s="66" t="s">
        <v>307</v>
      </c>
      <c r="G1406" s="70" t="s">
        <v>467</v>
      </c>
      <c r="H1406" s="70" t="s">
        <v>466</v>
      </c>
      <c r="I1406" s="363">
        <v>3</v>
      </c>
      <c r="J1406" s="64"/>
      <c r="K1406" s="64"/>
      <c r="L1406" s="64"/>
    </row>
    <row r="1407" spans="1:12" x14ac:dyDescent="0.25">
      <c r="A1407" s="71">
        <v>731200</v>
      </c>
      <c r="B1407" s="71">
        <v>2007</v>
      </c>
      <c r="C1407" s="71" t="s">
        <v>778</v>
      </c>
      <c r="D1407" s="71" t="s">
        <v>476</v>
      </c>
      <c r="E1407" s="71" t="s">
        <v>475</v>
      </c>
      <c r="F1407" s="66" t="s">
        <v>307</v>
      </c>
      <c r="G1407" s="70" t="s">
        <v>467</v>
      </c>
      <c r="H1407" s="70" t="s">
        <v>466</v>
      </c>
      <c r="I1407" s="363">
        <v>3</v>
      </c>
      <c r="J1407" s="64"/>
      <c r="K1407" s="64"/>
      <c r="L1407" s="64"/>
    </row>
    <row r="1408" spans="1:12" x14ac:dyDescent="0.25">
      <c r="A1408" s="71">
        <v>732000</v>
      </c>
      <c r="B1408" s="71">
        <v>2007</v>
      </c>
      <c r="C1408" s="71" t="s">
        <v>777</v>
      </c>
      <c r="D1408" s="71" t="s">
        <v>476</v>
      </c>
      <c r="E1408" s="71" t="s">
        <v>475</v>
      </c>
      <c r="F1408" s="66" t="s">
        <v>307</v>
      </c>
      <c r="G1408" s="70" t="s">
        <v>467</v>
      </c>
      <c r="H1408" s="70" t="s">
        <v>466</v>
      </c>
      <c r="I1408" s="363">
        <v>3</v>
      </c>
      <c r="J1408" s="64"/>
      <c r="K1408" s="64"/>
      <c r="L1408" s="64"/>
    </row>
    <row r="1409" spans="1:12" x14ac:dyDescent="0.25">
      <c r="A1409" s="71">
        <v>740000</v>
      </c>
      <c r="B1409" s="71">
        <v>2007</v>
      </c>
      <c r="C1409" s="71" t="s">
        <v>776</v>
      </c>
      <c r="D1409" s="71" t="s">
        <v>476</v>
      </c>
      <c r="E1409" s="71" t="s">
        <v>475</v>
      </c>
      <c r="F1409" s="66" t="s">
        <v>307</v>
      </c>
      <c r="G1409" s="70" t="s">
        <v>467</v>
      </c>
      <c r="H1409" s="70" t="s">
        <v>466</v>
      </c>
      <c r="I1409" s="363">
        <v>3</v>
      </c>
      <c r="J1409" s="64"/>
      <c r="K1409" s="64"/>
      <c r="L1409" s="64"/>
    </row>
    <row r="1410" spans="1:12" x14ac:dyDescent="0.25">
      <c r="A1410" s="71">
        <v>741000</v>
      </c>
      <c r="B1410" s="71">
        <v>2007</v>
      </c>
      <c r="C1410" s="71" t="s">
        <v>775</v>
      </c>
      <c r="D1410" s="71" t="s">
        <v>476</v>
      </c>
      <c r="E1410" s="71" t="s">
        <v>475</v>
      </c>
      <c r="F1410" s="66" t="s">
        <v>307</v>
      </c>
      <c r="G1410" s="70" t="s">
        <v>467</v>
      </c>
      <c r="H1410" s="70" t="s">
        <v>466</v>
      </c>
      <c r="I1410" s="363">
        <v>3</v>
      </c>
      <c r="J1410" s="64"/>
      <c r="K1410" s="64"/>
      <c r="L1410" s="64"/>
    </row>
    <row r="1411" spans="1:12" x14ac:dyDescent="0.25">
      <c r="A1411" s="71">
        <v>741010</v>
      </c>
      <c r="B1411" s="71">
        <v>2007</v>
      </c>
      <c r="C1411" s="71" t="s">
        <v>774</v>
      </c>
      <c r="D1411" s="71" t="s">
        <v>476</v>
      </c>
      <c r="E1411" s="71" t="s">
        <v>475</v>
      </c>
      <c r="F1411" s="66" t="s">
        <v>307</v>
      </c>
      <c r="G1411" s="70" t="s">
        <v>467</v>
      </c>
      <c r="H1411" s="70" t="s">
        <v>466</v>
      </c>
      <c r="I1411" s="363">
        <v>3</v>
      </c>
      <c r="J1411" s="64"/>
      <c r="K1411" s="64"/>
      <c r="L1411" s="64"/>
    </row>
    <row r="1412" spans="1:12" x14ac:dyDescent="0.25">
      <c r="A1412" s="71">
        <v>741020</v>
      </c>
      <c r="B1412" s="71">
        <v>2007</v>
      </c>
      <c r="C1412" s="71" t="s">
        <v>773</v>
      </c>
      <c r="D1412" s="71" t="s">
        <v>476</v>
      </c>
      <c r="E1412" s="71" t="s">
        <v>475</v>
      </c>
      <c r="F1412" s="66" t="s">
        <v>307</v>
      </c>
      <c r="G1412" s="70" t="s">
        <v>467</v>
      </c>
      <c r="H1412" s="70" t="s">
        <v>466</v>
      </c>
      <c r="I1412" s="363">
        <v>3</v>
      </c>
      <c r="J1412" s="64"/>
      <c r="K1412" s="64"/>
      <c r="L1412" s="64"/>
    </row>
    <row r="1413" spans="1:12" x14ac:dyDescent="0.25">
      <c r="A1413" s="71">
        <v>741021</v>
      </c>
      <c r="B1413" s="71">
        <v>2007</v>
      </c>
      <c r="C1413" s="71" t="s">
        <v>772</v>
      </c>
      <c r="D1413" s="71" t="s">
        <v>476</v>
      </c>
      <c r="E1413" s="71" t="s">
        <v>475</v>
      </c>
      <c r="F1413" s="66" t="s">
        <v>307</v>
      </c>
      <c r="G1413" s="70" t="s">
        <v>467</v>
      </c>
      <c r="H1413" s="70" t="s">
        <v>466</v>
      </c>
      <c r="I1413" s="363">
        <v>3</v>
      </c>
      <c r="J1413" s="64"/>
      <c r="K1413" s="64"/>
      <c r="L1413" s="64"/>
    </row>
    <row r="1414" spans="1:12" x14ac:dyDescent="0.25">
      <c r="A1414" s="71">
        <v>741029</v>
      </c>
      <c r="B1414" s="71">
        <v>2007</v>
      </c>
      <c r="C1414" s="71" t="s">
        <v>771</v>
      </c>
      <c r="D1414" s="71" t="s">
        <v>476</v>
      </c>
      <c r="E1414" s="71" t="s">
        <v>475</v>
      </c>
      <c r="F1414" s="66" t="s">
        <v>307</v>
      </c>
      <c r="G1414" s="70" t="s">
        <v>467</v>
      </c>
      <c r="H1414" s="70" t="s">
        <v>466</v>
      </c>
      <c r="I1414" s="363">
        <v>3</v>
      </c>
      <c r="J1414" s="64"/>
      <c r="K1414" s="64"/>
      <c r="L1414" s="64"/>
    </row>
    <row r="1415" spans="1:12" x14ac:dyDescent="0.25">
      <c r="A1415" s="71">
        <v>741030</v>
      </c>
      <c r="B1415" s="71">
        <v>2007</v>
      </c>
      <c r="C1415" s="71" t="s">
        <v>770</v>
      </c>
      <c r="D1415" s="71" t="s">
        <v>476</v>
      </c>
      <c r="E1415" s="71" t="s">
        <v>475</v>
      </c>
      <c r="F1415" s="66" t="s">
        <v>307</v>
      </c>
      <c r="G1415" s="70" t="s">
        <v>467</v>
      </c>
      <c r="H1415" s="70" t="s">
        <v>466</v>
      </c>
      <c r="I1415" s="363">
        <v>3</v>
      </c>
      <c r="J1415" s="64"/>
      <c r="K1415" s="64"/>
      <c r="L1415" s="64"/>
    </row>
    <row r="1416" spans="1:12" x14ac:dyDescent="0.25">
      <c r="A1416" s="71">
        <v>741090</v>
      </c>
      <c r="B1416" s="71">
        <v>2007</v>
      </c>
      <c r="C1416" s="71" t="s">
        <v>769</v>
      </c>
      <c r="D1416" s="71" t="s">
        <v>476</v>
      </c>
      <c r="E1416" s="71" t="s">
        <v>475</v>
      </c>
      <c r="F1416" s="66" t="s">
        <v>307</v>
      </c>
      <c r="G1416" s="70" t="s">
        <v>467</v>
      </c>
      <c r="H1416" s="70" t="s">
        <v>466</v>
      </c>
      <c r="I1416" s="363">
        <v>3</v>
      </c>
      <c r="J1416" s="64"/>
      <c r="K1416" s="64"/>
      <c r="L1416" s="64"/>
    </row>
    <row r="1417" spans="1:12" x14ac:dyDescent="0.25">
      <c r="A1417" s="71">
        <v>742000</v>
      </c>
      <c r="B1417" s="71">
        <v>2007</v>
      </c>
      <c r="C1417" s="71" t="s">
        <v>768</v>
      </c>
      <c r="D1417" s="71" t="s">
        <v>476</v>
      </c>
      <c r="E1417" s="71" t="s">
        <v>475</v>
      </c>
      <c r="F1417" s="66" t="s">
        <v>307</v>
      </c>
      <c r="G1417" s="70" t="s">
        <v>467</v>
      </c>
      <c r="H1417" s="70" t="s">
        <v>466</v>
      </c>
      <c r="I1417" s="363">
        <v>3</v>
      </c>
      <c r="J1417" s="64"/>
      <c r="K1417" s="64"/>
      <c r="L1417" s="64"/>
    </row>
    <row r="1418" spans="1:12" x14ac:dyDescent="0.25">
      <c r="A1418" s="71">
        <v>742010</v>
      </c>
      <c r="B1418" s="71">
        <v>2007</v>
      </c>
      <c r="C1418" s="71" t="s">
        <v>767</v>
      </c>
      <c r="D1418" s="71" t="s">
        <v>476</v>
      </c>
      <c r="E1418" s="71" t="s">
        <v>475</v>
      </c>
      <c r="F1418" s="66" t="s">
        <v>307</v>
      </c>
      <c r="G1418" s="70" t="s">
        <v>467</v>
      </c>
      <c r="H1418" s="70" t="s">
        <v>466</v>
      </c>
      <c r="I1418" s="363">
        <v>3</v>
      </c>
      <c r="J1418" s="64"/>
      <c r="K1418" s="64"/>
      <c r="L1418" s="64"/>
    </row>
    <row r="1419" spans="1:12" x14ac:dyDescent="0.25">
      <c r="A1419" s="71">
        <v>742011</v>
      </c>
      <c r="B1419" s="71">
        <v>2007</v>
      </c>
      <c r="C1419" s="71" t="s">
        <v>766</v>
      </c>
      <c r="D1419" s="71" t="s">
        <v>476</v>
      </c>
      <c r="E1419" s="71" t="s">
        <v>475</v>
      </c>
      <c r="F1419" s="66" t="s">
        <v>307</v>
      </c>
      <c r="G1419" s="70" t="s">
        <v>467</v>
      </c>
      <c r="H1419" s="70" t="s">
        <v>466</v>
      </c>
      <c r="I1419" s="363">
        <v>3</v>
      </c>
      <c r="J1419" s="64"/>
      <c r="K1419" s="64"/>
      <c r="L1419" s="64"/>
    </row>
    <row r="1420" spans="1:12" x14ac:dyDescent="0.25">
      <c r="A1420" s="71">
        <v>742012</v>
      </c>
      <c r="B1420" s="71">
        <v>2007</v>
      </c>
      <c r="C1420" s="71" t="s">
        <v>765</v>
      </c>
      <c r="D1420" s="71" t="s">
        <v>476</v>
      </c>
      <c r="E1420" s="71" t="s">
        <v>475</v>
      </c>
      <c r="F1420" s="66" t="s">
        <v>307</v>
      </c>
      <c r="G1420" s="70" t="s">
        <v>467</v>
      </c>
      <c r="H1420" s="70" t="s">
        <v>466</v>
      </c>
      <c r="I1420" s="363">
        <v>3</v>
      </c>
      <c r="J1420" s="64"/>
      <c r="K1420" s="64"/>
      <c r="L1420" s="64"/>
    </row>
    <row r="1421" spans="1:12" x14ac:dyDescent="0.25">
      <c r="A1421" s="71">
        <v>742019</v>
      </c>
      <c r="B1421" s="71">
        <v>2007</v>
      </c>
      <c r="C1421" s="71" t="s">
        <v>764</v>
      </c>
      <c r="D1421" s="71" t="s">
        <v>476</v>
      </c>
      <c r="E1421" s="71" t="s">
        <v>475</v>
      </c>
      <c r="F1421" s="66" t="s">
        <v>307</v>
      </c>
      <c r="G1421" s="70" t="s">
        <v>467</v>
      </c>
      <c r="H1421" s="70" t="s">
        <v>466</v>
      </c>
      <c r="I1421" s="363">
        <v>3</v>
      </c>
      <c r="J1421" s="64"/>
      <c r="K1421" s="64"/>
      <c r="L1421" s="64"/>
    </row>
    <row r="1422" spans="1:12" x14ac:dyDescent="0.25">
      <c r="A1422" s="71">
        <v>742020</v>
      </c>
      <c r="B1422" s="71">
        <v>2007</v>
      </c>
      <c r="C1422" s="71" t="s">
        <v>763</v>
      </c>
      <c r="D1422" s="71" t="s">
        <v>476</v>
      </c>
      <c r="E1422" s="71" t="s">
        <v>475</v>
      </c>
      <c r="F1422" s="66" t="s">
        <v>307</v>
      </c>
      <c r="G1422" s="70" t="s">
        <v>467</v>
      </c>
      <c r="H1422" s="70" t="s">
        <v>466</v>
      </c>
      <c r="I1422" s="363">
        <v>3</v>
      </c>
      <c r="J1422" s="64"/>
      <c r="K1422" s="64"/>
      <c r="L1422" s="64"/>
    </row>
    <row r="1423" spans="1:12" x14ac:dyDescent="0.25">
      <c r="A1423" s="71">
        <v>743000</v>
      </c>
      <c r="B1423" s="71">
        <v>2007</v>
      </c>
      <c r="C1423" s="71" t="s">
        <v>762</v>
      </c>
      <c r="D1423" s="71" t="s">
        <v>476</v>
      </c>
      <c r="E1423" s="71" t="s">
        <v>475</v>
      </c>
      <c r="F1423" s="66" t="s">
        <v>307</v>
      </c>
      <c r="G1423" s="70" t="s">
        <v>467</v>
      </c>
      <c r="H1423" s="70" t="s">
        <v>466</v>
      </c>
      <c r="I1423" s="363">
        <v>3</v>
      </c>
      <c r="J1423" s="64"/>
      <c r="K1423" s="64"/>
      <c r="L1423" s="64"/>
    </row>
    <row r="1424" spans="1:12" x14ac:dyDescent="0.25">
      <c r="A1424" s="71">
        <v>749000</v>
      </c>
      <c r="B1424" s="71">
        <v>2007</v>
      </c>
      <c r="C1424" s="71" t="s">
        <v>761</v>
      </c>
      <c r="D1424" s="71" t="s">
        <v>476</v>
      </c>
      <c r="E1424" s="71" t="s">
        <v>475</v>
      </c>
      <c r="F1424" s="66" t="s">
        <v>307</v>
      </c>
      <c r="G1424" s="70" t="s">
        <v>467</v>
      </c>
      <c r="H1424" s="70" t="s">
        <v>466</v>
      </c>
      <c r="I1424" s="363">
        <v>3</v>
      </c>
      <c r="J1424" s="64"/>
      <c r="K1424" s="64"/>
      <c r="L1424" s="64"/>
    </row>
    <row r="1425" spans="1:12" x14ac:dyDescent="0.25">
      <c r="A1425" s="71">
        <v>749010</v>
      </c>
      <c r="B1425" s="71">
        <v>2007</v>
      </c>
      <c r="C1425" s="71" t="s">
        <v>760</v>
      </c>
      <c r="D1425" s="71" t="s">
        <v>476</v>
      </c>
      <c r="E1425" s="71" t="s">
        <v>475</v>
      </c>
      <c r="F1425" s="66" t="s">
        <v>307</v>
      </c>
      <c r="G1425" s="70" t="s">
        <v>467</v>
      </c>
      <c r="H1425" s="70" t="s">
        <v>466</v>
      </c>
      <c r="I1425" s="363">
        <v>3</v>
      </c>
      <c r="J1425" s="64"/>
      <c r="K1425" s="64"/>
      <c r="L1425" s="64"/>
    </row>
    <row r="1426" spans="1:12" x14ac:dyDescent="0.25">
      <c r="A1426" s="71">
        <v>749011</v>
      </c>
      <c r="B1426" s="71">
        <v>2007</v>
      </c>
      <c r="C1426" s="71" t="s">
        <v>759</v>
      </c>
      <c r="D1426" s="71" t="s">
        <v>476</v>
      </c>
      <c r="E1426" s="71" t="s">
        <v>475</v>
      </c>
      <c r="F1426" s="66" t="s">
        <v>307</v>
      </c>
      <c r="G1426" s="70" t="s">
        <v>467</v>
      </c>
      <c r="H1426" s="70" t="s">
        <v>466</v>
      </c>
      <c r="I1426" s="363">
        <v>3</v>
      </c>
      <c r="J1426" s="64"/>
      <c r="K1426" s="64"/>
      <c r="L1426" s="64"/>
    </row>
    <row r="1427" spans="1:12" x14ac:dyDescent="0.25">
      <c r="A1427" s="71">
        <v>749012</v>
      </c>
      <c r="B1427" s="71">
        <v>2007</v>
      </c>
      <c r="C1427" s="71" t="s">
        <v>758</v>
      </c>
      <c r="D1427" s="71" t="s">
        <v>476</v>
      </c>
      <c r="E1427" s="71" t="s">
        <v>475</v>
      </c>
      <c r="F1427" s="66" t="s">
        <v>307</v>
      </c>
      <c r="G1427" s="70" t="s">
        <v>467</v>
      </c>
      <c r="H1427" s="70" t="s">
        <v>466</v>
      </c>
      <c r="I1427" s="363">
        <v>3</v>
      </c>
      <c r="J1427" s="64"/>
      <c r="K1427" s="64"/>
      <c r="L1427" s="64"/>
    </row>
    <row r="1428" spans="1:12" x14ac:dyDescent="0.25">
      <c r="A1428" s="71">
        <v>749020</v>
      </c>
      <c r="B1428" s="71">
        <v>2007</v>
      </c>
      <c r="C1428" s="71" t="s">
        <v>757</v>
      </c>
      <c r="D1428" s="71" t="s">
        <v>476</v>
      </c>
      <c r="E1428" s="71" t="s">
        <v>475</v>
      </c>
      <c r="F1428" s="66" t="s">
        <v>307</v>
      </c>
      <c r="G1428" s="70" t="s">
        <v>467</v>
      </c>
      <c r="H1428" s="70" t="s">
        <v>466</v>
      </c>
      <c r="I1428" s="363">
        <v>3</v>
      </c>
      <c r="J1428" s="64"/>
      <c r="K1428" s="64"/>
      <c r="L1428" s="64"/>
    </row>
    <row r="1429" spans="1:12" x14ac:dyDescent="0.25">
      <c r="A1429" s="71">
        <v>749021</v>
      </c>
      <c r="B1429" s="71">
        <v>2007</v>
      </c>
      <c r="C1429" s="71" t="s">
        <v>756</v>
      </c>
      <c r="D1429" s="71" t="s">
        <v>476</v>
      </c>
      <c r="E1429" s="71" t="s">
        <v>475</v>
      </c>
      <c r="F1429" s="66" t="s">
        <v>307</v>
      </c>
      <c r="G1429" s="70" t="s">
        <v>467</v>
      </c>
      <c r="H1429" s="70" t="s">
        <v>466</v>
      </c>
      <c r="I1429" s="363">
        <v>3</v>
      </c>
      <c r="J1429" s="64"/>
      <c r="K1429" s="64"/>
      <c r="L1429" s="64"/>
    </row>
    <row r="1430" spans="1:12" x14ac:dyDescent="0.25">
      <c r="A1430" s="71">
        <v>749029</v>
      </c>
      <c r="B1430" s="71">
        <v>2007</v>
      </c>
      <c r="C1430" s="71" t="s">
        <v>755</v>
      </c>
      <c r="D1430" s="71" t="s">
        <v>476</v>
      </c>
      <c r="E1430" s="71" t="s">
        <v>475</v>
      </c>
      <c r="F1430" s="66" t="s">
        <v>307</v>
      </c>
      <c r="G1430" s="70" t="s">
        <v>467</v>
      </c>
      <c r="H1430" s="70" t="s">
        <v>466</v>
      </c>
      <c r="I1430" s="363">
        <v>3</v>
      </c>
      <c r="J1430" s="64"/>
      <c r="K1430" s="64"/>
      <c r="L1430" s="64"/>
    </row>
    <row r="1431" spans="1:12" x14ac:dyDescent="0.25">
      <c r="A1431" s="71">
        <v>749090</v>
      </c>
      <c r="B1431" s="71">
        <v>2007</v>
      </c>
      <c r="C1431" s="71" t="s">
        <v>754</v>
      </c>
      <c r="D1431" s="71" t="s">
        <v>476</v>
      </c>
      <c r="E1431" s="71" t="s">
        <v>475</v>
      </c>
      <c r="F1431" s="66" t="s">
        <v>307</v>
      </c>
      <c r="G1431" s="70" t="s">
        <v>467</v>
      </c>
      <c r="H1431" s="70" t="s">
        <v>466</v>
      </c>
      <c r="I1431" s="363">
        <v>3</v>
      </c>
      <c r="J1431" s="64"/>
      <c r="K1431" s="64"/>
      <c r="L1431" s="64"/>
    </row>
    <row r="1432" spans="1:12" x14ac:dyDescent="0.25">
      <c r="A1432" s="71">
        <v>749091</v>
      </c>
      <c r="B1432" s="71">
        <v>2007</v>
      </c>
      <c r="C1432" s="71" t="s">
        <v>753</v>
      </c>
      <c r="D1432" s="71" t="s">
        <v>476</v>
      </c>
      <c r="E1432" s="71" t="s">
        <v>475</v>
      </c>
      <c r="F1432" s="66" t="s">
        <v>307</v>
      </c>
      <c r="G1432" s="70" t="s">
        <v>467</v>
      </c>
      <c r="H1432" s="70" t="s">
        <v>466</v>
      </c>
      <c r="I1432" s="363">
        <v>3</v>
      </c>
      <c r="J1432" s="64"/>
      <c r="K1432" s="64"/>
      <c r="L1432" s="64"/>
    </row>
    <row r="1433" spans="1:12" x14ac:dyDescent="0.25">
      <c r="A1433" s="71">
        <v>749092</v>
      </c>
      <c r="B1433" s="71">
        <v>2007</v>
      </c>
      <c r="C1433" s="71" t="s">
        <v>752</v>
      </c>
      <c r="D1433" s="71" t="s">
        <v>476</v>
      </c>
      <c r="E1433" s="71" t="s">
        <v>475</v>
      </c>
      <c r="F1433" s="66" t="s">
        <v>307</v>
      </c>
      <c r="G1433" s="70" t="s">
        <v>467</v>
      </c>
      <c r="H1433" s="70" t="s">
        <v>466</v>
      </c>
      <c r="I1433" s="363">
        <v>3</v>
      </c>
      <c r="J1433" s="64"/>
      <c r="K1433" s="64"/>
      <c r="L1433" s="64"/>
    </row>
    <row r="1434" spans="1:12" x14ac:dyDescent="0.25">
      <c r="A1434" s="71">
        <v>749093</v>
      </c>
      <c r="B1434" s="71">
        <v>2007</v>
      </c>
      <c r="C1434" s="71" t="s">
        <v>751</v>
      </c>
      <c r="D1434" s="71" t="s">
        <v>476</v>
      </c>
      <c r="E1434" s="71" t="s">
        <v>475</v>
      </c>
      <c r="F1434" s="66" t="s">
        <v>307</v>
      </c>
      <c r="G1434" s="70" t="s">
        <v>467</v>
      </c>
      <c r="H1434" s="70" t="s">
        <v>466</v>
      </c>
      <c r="I1434" s="363">
        <v>3</v>
      </c>
      <c r="J1434" s="64"/>
      <c r="K1434" s="64"/>
      <c r="L1434" s="64"/>
    </row>
    <row r="1435" spans="1:12" x14ac:dyDescent="0.25">
      <c r="A1435" s="71">
        <v>749094</v>
      </c>
      <c r="B1435" s="71">
        <v>2007</v>
      </c>
      <c r="C1435" s="71" t="s">
        <v>750</v>
      </c>
      <c r="D1435" s="71" t="s">
        <v>476</v>
      </c>
      <c r="E1435" s="71" t="s">
        <v>475</v>
      </c>
      <c r="F1435" s="66" t="s">
        <v>307</v>
      </c>
      <c r="G1435" s="70" t="s">
        <v>467</v>
      </c>
      <c r="H1435" s="70" t="s">
        <v>466</v>
      </c>
      <c r="I1435" s="363">
        <v>3</v>
      </c>
      <c r="J1435" s="64"/>
      <c r="K1435" s="64"/>
      <c r="L1435" s="64"/>
    </row>
    <row r="1436" spans="1:12" x14ac:dyDescent="0.25">
      <c r="A1436" s="71">
        <v>749099</v>
      </c>
      <c r="B1436" s="71">
        <v>2007</v>
      </c>
      <c r="C1436" s="71" t="s">
        <v>749</v>
      </c>
      <c r="D1436" s="71" t="s">
        <v>476</v>
      </c>
      <c r="E1436" s="71" t="s">
        <v>475</v>
      </c>
      <c r="F1436" s="66" t="s">
        <v>307</v>
      </c>
      <c r="G1436" s="70" t="s">
        <v>467</v>
      </c>
      <c r="H1436" s="70" t="s">
        <v>466</v>
      </c>
      <c r="I1436" s="363">
        <v>3</v>
      </c>
      <c r="J1436" s="64"/>
      <c r="K1436" s="64"/>
      <c r="L1436" s="64"/>
    </row>
    <row r="1437" spans="1:12" x14ac:dyDescent="0.25">
      <c r="A1437" s="71">
        <v>750000</v>
      </c>
      <c r="B1437" s="71">
        <v>2007</v>
      </c>
      <c r="C1437" s="71" t="s">
        <v>748</v>
      </c>
      <c r="D1437" s="71" t="s">
        <v>476</v>
      </c>
      <c r="E1437" s="71" t="s">
        <v>475</v>
      </c>
      <c r="F1437" s="66" t="s">
        <v>307</v>
      </c>
      <c r="G1437" s="70" t="s">
        <v>467</v>
      </c>
      <c r="H1437" s="70" t="s">
        <v>466</v>
      </c>
      <c r="I1437" s="363">
        <v>3</v>
      </c>
      <c r="J1437" s="64"/>
      <c r="K1437" s="64"/>
      <c r="L1437" s="64"/>
    </row>
    <row r="1438" spans="1:12" x14ac:dyDescent="0.25">
      <c r="A1438" s="71">
        <v>770000</v>
      </c>
      <c r="B1438" s="71">
        <v>2007</v>
      </c>
      <c r="C1438" s="71" t="s">
        <v>747</v>
      </c>
      <c r="D1438" s="71" t="s">
        <v>476</v>
      </c>
      <c r="E1438" s="71" t="s">
        <v>475</v>
      </c>
      <c r="F1438" s="66" t="s">
        <v>307</v>
      </c>
      <c r="G1438" s="70" t="s">
        <v>467</v>
      </c>
      <c r="H1438" s="70" t="s">
        <v>466</v>
      </c>
      <c r="I1438" s="363">
        <v>3</v>
      </c>
      <c r="J1438" s="64"/>
      <c r="K1438" s="64"/>
      <c r="L1438" s="64"/>
    </row>
    <row r="1439" spans="1:12" x14ac:dyDescent="0.25">
      <c r="A1439" s="71">
        <v>771000</v>
      </c>
      <c r="B1439" s="71">
        <v>2007</v>
      </c>
      <c r="C1439" s="71" t="s">
        <v>746</v>
      </c>
      <c r="D1439" s="71" t="s">
        <v>476</v>
      </c>
      <c r="E1439" s="71" t="s">
        <v>475</v>
      </c>
      <c r="F1439" s="66" t="s">
        <v>307</v>
      </c>
      <c r="G1439" s="70" t="s">
        <v>467</v>
      </c>
      <c r="H1439" s="70" t="s">
        <v>466</v>
      </c>
      <c r="I1439" s="363">
        <v>3</v>
      </c>
      <c r="J1439" s="64"/>
      <c r="K1439" s="64"/>
      <c r="L1439" s="64"/>
    </row>
    <row r="1440" spans="1:12" x14ac:dyDescent="0.25">
      <c r="A1440" s="71">
        <v>771100</v>
      </c>
      <c r="B1440" s="71">
        <v>2007</v>
      </c>
      <c r="C1440" s="71" t="s">
        <v>745</v>
      </c>
      <c r="D1440" s="71" t="s">
        <v>476</v>
      </c>
      <c r="E1440" s="71" t="s">
        <v>475</v>
      </c>
      <c r="F1440" s="66" t="s">
        <v>307</v>
      </c>
      <c r="G1440" s="70" t="s">
        <v>467</v>
      </c>
      <c r="H1440" s="70" t="s">
        <v>466</v>
      </c>
      <c r="I1440" s="363">
        <v>3</v>
      </c>
      <c r="J1440" s="64"/>
      <c r="K1440" s="64"/>
      <c r="L1440" s="64"/>
    </row>
    <row r="1441" spans="1:12" x14ac:dyDescent="0.25">
      <c r="A1441" s="71">
        <v>771200</v>
      </c>
      <c r="B1441" s="71">
        <v>2007</v>
      </c>
      <c r="C1441" s="71" t="s">
        <v>744</v>
      </c>
      <c r="D1441" s="71" t="s">
        <v>476</v>
      </c>
      <c r="E1441" s="71" t="s">
        <v>475</v>
      </c>
      <c r="F1441" s="66" t="s">
        <v>307</v>
      </c>
      <c r="G1441" s="70" t="s">
        <v>467</v>
      </c>
      <c r="H1441" s="70" t="s">
        <v>466</v>
      </c>
      <c r="I1441" s="363">
        <v>3</v>
      </c>
      <c r="J1441" s="64"/>
      <c r="K1441" s="64"/>
      <c r="L1441" s="64"/>
    </row>
    <row r="1442" spans="1:12" x14ac:dyDescent="0.25">
      <c r="A1442" s="71">
        <v>772000</v>
      </c>
      <c r="B1442" s="71">
        <v>2007</v>
      </c>
      <c r="C1442" s="71" t="s">
        <v>743</v>
      </c>
      <c r="D1442" s="71" t="s">
        <v>476</v>
      </c>
      <c r="E1442" s="71" t="s">
        <v>475</v>
      </c>
      <c r="F1442" s="66" t="s">
        <v>307</v>
      </c>
      <c r="G1442" s="70" t="s">
        <v>467</v>
      </c>
      <c r="H1442" s="70" t="s">
        <v>466</v>
      </c>
      <c r="I1442" s="363">
        <v>3</v>
      </c>
      <c r="J1442" s="64"/>
      <c r="K1442" s="64"/>
      <c r="L1442" s="64"/>
    </row>
    <row r="1443" spans="1:12" x14ac:dyDescent="0.25">
      <c r="A1443" s="71">
        <v>772100</v>
      </c>
      <c r="B1443" s="71">
        <v>2007</v>
      </c>
      <c r="C1443" s="71" t="s">
        <v>742</v>
      </c>
      <c r="D1443" s="71" t="s">
        <v>476</v>
      </c>
      <c r="E1443" s="71" t="s">
        <v>475</v>
      </c>
      <c r="F1443" s="66" t="s">
        <v>307</v>
      </c>
      <c r="G1443" s="70" t="s">
        <v>467</v>
      </c>
      <c r="H1443" s="70" t="s">
        <v>466</v>
      </c>
      <c r="I1443" s="363">
        <v>3</v>
      </c>
      <c r="J1443" s="64"/>
      <c r="K1443" s="64"/>
      <c r="L1443" s="64"/>
    </row>
    <row r="1444" spans="1:12" x14ac:dyDescent="0.25">
      <c r="A1444" s="71">
        <v>772101</v>
      </c>
      <c r="B1444" s="71">
        <v>2007</v>
      </c>
      <c r="C1444" s="71" t="s">
        <v>741</v>
      </c>
      <c r="D1444" s="71" t="s">
        <v>476</v>
      </c>
      <c r="E1444" s="71" t="s">
        <v>475</v>
      </c>
      <c r="F1444" s="66" t="s">
        <v>307</v>
      </c>
      <c r="G1444" s="70" t="s">
        <v>467</v>
      </c>
      <c r="H1444" s="70" t="s">
        <v>466</v>
      </c>
      <c r="I1444" s="363">
        <v>3</v>
      </c>
      <c r="J1444" s="64"/>
      <c r="K1444" s="64"/>
      <c r="L1444" s="64"/>
    </row>
    <row r="1445" spans="1:12" x14ac:dyDescent="0.25">
      <c r="A1445" s="71">
        <v>772102</v>
      </c>
      <c r="B1445" s="71">
        <v>2007</v>
      </c>
      <c r="C1445" s="71" t="s">
        <v>740</v>
      </c>
      <c r="D1445" s="71" t="s">
        <v>476</v>
      </c>
      <c r="E1445" s="71" t="s">
        <v>475</v>
      </c>
      <c r="F1445" s="66" t="s">
        <v>307</v>
      </c>
      <c r="G1445" s="70" t="s">
        <v>467</v>
      </c>
      <c r="H1445" s="70" t="s">
        <v>466</v>
      </c>
      <c r="I1445" s="363">
        <v>3</v>
      </c>
      <c r="J1445" s="64"/>
      <c r="K1445" s="64"/>
      <c r="L1445" s="64"/>
    </row>
    <row r="1446" spans="1:12" x14ac:dyDescent="0.25">
      <c r="A1446" s="71">
        <v>772109</v>
      </c>
      <c r="B1446" s="71">
        <v>2007</v>
      </c>
      <c r="C1446" s="71" t="s">
        <v>739</v>
      </c>
      <c r="D1446" s="71" t="s">
        <v>476</v>
      </c>
      <c r="E1446" s="71" t="s">
        <v>475</v>
      </c>
      <c r="F1446" s="66" t="s">
        <v>307</v>
      </c>
      <c r="G1446" s="70" t="s">
        <v>467</v>
      </c>
      <c r="H1446" s="70" t="s">
        <v>466</v>
      </c>
      <c r="I1446" s="363">
        <v>3</v>
      </c>
      <c r="J1446" s="64"/>
      <c r="K1446" s="64"/>
      <c r="L1446" s="64"/>
    </row>
    <row r="1447" spans="1:12" x14ac:dyDescent="0.25">
      <c r="A1447" s="71">
        <v>772200</v>
      </c>
      <c r="B1447" s="71">
        <v>2007</v>
      </c>
      <c r="C1447" s="71" t="s">
        <v>738</v>
      </c>
      <c r="D1447" s="71" t="s">
        <v>476</v>
      </c>
      <c r="E1447" s="71" t="s">
        <v>475</v>
      </c>
      <c r="F1447" s="66" t="s">
        <v>307</v>
      </c>
      <c r="G1447" s="70" t="s">
        <v>467</v>
      </c>
      <c r="H1447" s="70" t="s">
        <v>466</v>
      </c>
      <c r="I1447" s="363">
        <v>3</v>
      </c>
      <c r="J1447" s="64"/>
      <c r="K1447" s="64"/>
      <c r="L1447" s="64"/>
    </row>
    <row r="1448" spans="1:12" x14ac:dyDescent="0.25">
      <c r="A1448" s="71">
        <v>772900</v>
      </c>
      <c r="B1448" s="71">
        <v>2007</v>
      </c>
      <c r="C1448" s="71" t="s">
        <v>737</v>
      </c>
      <c r="D1448" s="71" t="s">
        <v>476</v>
      </c>
      <c r="E1448" s="71" t="s">
        <v>475</v>
      </c>
      <c r="F1448" s="66" t="s">
        <v>307</v>
      </c>
      <c r="G1448" s="70" t="s">
        <v>467</v>
      </c>
      <c r="H1448" s="70" t="s">
        <v>466</v>
      </c>
      <c r="I1448" s="363">
        <v>3</v>
      </c>
      <c r="J1448" s="64"/>
      <c r="K1448" s="64"/>
      <c r="L1448" s="64"/>
    </row>
    <row r="1449" spans="1:12" x14ac:dyDescent="0.25">
      <c r="A1449" s="71">
        <v>772910</v>
      </c>
      <c r="B1449" s="71">
        <v>2007</v>
      </c>
      <c r="C1449" s="71" t="s">
        <v>736</v>
      </c>
      <c r="D1449" s="71" t="s">
        <v>476</v>
      </c>
      <c r="E1449" s="71" t="s">
        <v>475</v>
      </c>
      <c r="F1449" s="66" t="s">
        <v>307</v>
      </c>
      <c r="G1449" s="70" t="s">
        <v>467</v>
      </c>
      <c r="H1449" s="70" t="s">
        <v>466</v>
      </c>
      <c r="I1449" s="363">
        <v>3</v>
      </c>
      <c r="J1449" s="64"/>
      <c r="K1449" s="64"/>
      <c r="L1449" s="64"/>
    </row>
    <row r="1450" spans="1:12" x14ac:dyDescent="0.25">
      <c r="A1450" s="71">
        <v>772990</v>
      </c>
      <c r="B1450" s="71">
        <v>2007</v>
      </c>
      <c r="C1450" s="71" t="s">
        <v>735</v>
      </c>
      <c r="D1450" s="71" t="s">
        <v>476</v>
      </c>
      <c r="E1450" s="71" t="s">
        <v>475</v>
      </c>
      <c r="F1450" s="66" t="s">
        <v>307</v>
      </c>
      <c r="G1450" s="70" t="s">
        <v>467</v>
      </c>
      <c r="H1450" s="70" t="s">
        <v>466</v>
      </c>
      <c r="I1450" s="363">
        <v>3</v>
      </c>
      <c r="J1450" s="64"/>
      <c r="K1450" s="64"/>
      <c r="L1450" s="64"/>
    </row>
    <row r="1451" spans="1:12" x14ac:dyDescent="0.25">
      <c r="A1451" s="71">
        <v>773000</v>
      </c>
      <c r="B1451" s="71">
        <v>2007</v>
      </c>
      <c r="C1451" s="71" t="s">
        <v>734</v>
      </c>
      <c r="D1451" s="71" t="s">
        <v>476</v>
      </c>
      <c r="E1451" s="71" t="s">
        <v>475</v>
      </c>
      <c r="F1451" s="66" t="s">
        <v>307</v>
      </c>
      <c r="G1451" s="70" t="s">
        <v>467</v>
      </c>
      <c r="H1451" s="70" t="s">
        <v>466</v>
      </c>
      <c r="I1451" s="363">
        <v>3</v>
      </c>
      <c r="J1451" s="64"/>
      <c r="K1451" s="64"/>
      <c r="L1451" s="64"/>
    </row>
    <row r="1452" spans="1:12" x14ac:dyDescent="0.25">
      <c r="A1452" s="71">
        <v>773100</v>
      </c>
      <c r="B1452" s="71">
        <v>2007</v>
      </c>
      <c r="C1452" s="71" t="s">
        <v>733</v>
      </c>
      <c r="D1452" s="71" t="s">
        <v>476</v>
      </c>
      <c r="E1452" s="71" t="s">
        <v>475</v>
      </c>
      <c r="F1452" s="66" t="s">
        <v>307</v>
      </c>
      <c r="G1452" s="70" t="s">
        <v>467</v>
      </c>
      <c r="H1452" s="70" t="s">
        <v>466</v>
      </c>
      <c r="I1452" s="363">
        <v>3</v>
      </c>
      <c r="J1452" s="64"/>
      <c r="K1452" s="64"/>
      <c r="L1452" s="64"/>
    </row>
    <row r="1453" spans="1:12" x14ac:dyDescent="0.25">
      <c r="A1453" s="71">
        <v>773200</v>
      </c>
      <c r="B1453" s="71">
        <v>2007</v>
      </c>
      <c r="C1453" s="71" t="s">
        <v>732</v>
      </c>
      <c r="D1453" s="71" t="s">
        <v>476</v>
      </c>
      <c r="E1453" s="71" t="s">
        <v>475</v>
      </c>
      <c r="F1453" s="66" t="s">
        <v>307</v>
      </c>
      <c r="G1453" s="70" t="s">
        <v>467</v>
      </c>
      <c r="H1453" s="70" t="s">
        <v>466</v>
      </c>
      <c r="I1453" s="363">
        <v>3</v>
      </c>
      <c r="J1453" s="64"/>
      <c r="K1453" s="64"/>
      <c r="L1453" s="64"/>
    </row>
    <row r="1454" spans="1:12" x14ac:dyDescent="0.25">
      <c r="A1454" s="71">
        <v>773300</v>
      </c>
      <c r="B1454" s="71">
        <v>2007</v>
      </c>
      <c r="C1454" s="71" t="s">
        <v>731</v>
      </c>
      <c r="D1454" s="71" t="s">
        <v>476</v>
      </c>
      <c r="E1454" s="71" t="s">
        <v>475</v>
      </c>
      <c r="F1454" s="66" t="s">
        <v>307</v>
      </c>
      <c r="G1454" s="70" t="s">
        <v>467</v>
      </c>
      <c r="H1454" s="70" t="s">
        <v>466</v>
      </c>
      <c r="I1454" s="363">
        <v>3</v>
      </c>
      <c r="J1454" s="64"/>
      <c r="K1454" s="64"/>
      <c r="L1454" s="64"/>
    </row>
    <row r="1455" spans="1:12" x14ac:dyDescent="0.25">
      <c r="A1455" s="71">
        <v>773400</v>
      </c>
      <c r="B1455" s="71">
        <v>2007</v>
      </c>
      <c r="C1455" s="71" t="s">
        <v>730</v>
      </c>
      <c r="D1455" s="71" t="s">
        <v>476</v>
      </c>
      <c r="E1455" s="71" t="s">
        <v>475</v>
      </c>
      <c r="F1455" s="66" t="s">
        <v>307</v>
      </c>
      <c r="G1455" s="70" t="s">
        <v>467</v>
      </c>
      <c r="H1455" s="70" t="s">
        <v>466</v>
      </c>
      <c r="I1455" s="363">
        <v>3</v>
      </c>
      <c r="J1455" s="64"/>
      <c r="K1455" s="64"/>
      <c r="L1455" s="64"/>
    </row>
    <row r="1456" spans="1:12" x14ac:dyDescent="0.25">
      <c r="A1456" s="71">
        <v>773500</v>
      </c>
      <c r="B1456" s="71">
        <v>2007</v>
      </c>
      <c r="C1456" s="71" t="s">
        <v>729</v>
      </c>
      <c r="D1456" s="71" t="s">
        <v>476</v>
      </c>
      <c r="E1456" s="71" t="s">
        <v>475</v>
      </c>
      <c r="F1456" s="66" t="s">
        <v>307</v>
      </c>
      <c r="G1456" s="70" t="s">
        <v>467</v>
      </c>
      <c r="H1456" s="70" t="s">
        <v>466</v>
      </c>
      <c r="I1456" s="363">
        <v>3</v>
      </c>
      <c r="J1456" s="64"/>
      <c r="K1456" s="64"/>
      <c r="L1456" s="64"/>
    </row>
    <row r="1457" spans="1:12" x14ac:dyDescent="0.25">
      <c r="A1457" s="71">
        <v>773900</v>
      </c>
      <c r="B1457" s="71">
        <v>2007</v>
      </c>
      <c r="C1457" s="71" t="s">
        <v>728</v>
      </c>
      <c r="D1457" s="71" t="s">
        <v>476</v>
      </c>
      <c r="E1457" s="71" t="s">
        <v>475</v>
      </c>
      <c r="F1457" s="66" t="s">
        <v>307</v>
      </c>
      <c r="G1457" s="70" t="s">
        <v>467</v>
      </c>
      <c r="H1457" s="70" t="s">
        <v>466</v>
      </c>
      <c r="I1457" s="363">
        <v>3</v>
      </c>
      <c r="J1457" s="64"/>
      <c r="K1457" s="64"/>
      <c r="L1457" s="64"/>
    </row>
    <row r="1458" spans="1:12" x14ac:dyDescent="0.25">
      <c r="A1458" s="71">
        <v>773910</v>
      </c>
      <c r="B1458" s="71">
        <v>2007</v>
      </c>
      <c r="C1458" s="71" t="s">
        <v>727</v>
      </c>
      <c r="D1458" s="71" t="s">
        <v>476</v>
      </c>
      <c r="E1458" s="71" t="s">
        <v>475</v>
      </c>
      <c r="F1458" s="66" t="s">
        <v>307</v>
      </c>
      <c r="G1458" s="70" t="s">
        <v>467</v>
      </c>
      <c r="H1458" s="70" t="s">
        <v>466</v>
      </c>
      <c r="I1458" s="363">
        <v>3</v>
      </c>
      <c r="J1458" s="64"/>
      <c r="K1458" s="64"/>
      <c r="L1458" s="64"/>
    </row>
    <row r="1459" spans="1:12" x14ac:dyDescent="0.25">
      <c r="A1459" s="71">
        <v>773990</v>
      </c>
      <c r="B1459" s="71">
        <v>2007</v>
      </c>
      <c r="C1459" s="71" t="s">
        <v>726</v>
      </c>
      <c r="D1459" s="71" t="s">
        <v>476</v>
      </c>
      <c r="E1459" s="71" t="s">
        <v>475</v>
      </c>
      <c r="F1459" s="66" t="s">
        <v>307</v>
      </c>
      <c r="G1459" s="70" t="s">
        <v>467</v>
      </c>
      <c r="H1459" s="70" t="s">
        <v>466</v>
      </c>
      <c r="I1459" s="363">
        <v>3</v>
      </c>
      <c r="J1459" s="64"/>
      <c r="K1459" s="64"/>
      <c r="L1459" s="64"/>
    </row>
    <row r="1460" spans="1:12" x14ac:dyDescent="0.25">
      <c r="A1460" s="71">
        <v>773991</v>
      </c>
      <c r="B1460" s="71">
        <v>2007</v>
      </c>
      <c r="C1460" s="71" t="s">
        <v>725</v>
      </c>
      <c r="D1460" s="71" t="s">
        <v>476</v>
      </c>
      <c r="E1460" s="71" t="s">
        <v>475</v>
      </c>
      <c r="F1460" s="66" t="s">
        <v>307</v>
      </c>
      <c r="G1460" s="70" t="s">
        <v>467</v>
      </c>
      <c r="H1460" s="70" t="s">
        <v>466</v>
      </c>
      <c r="I1460" s="363">
        <v>3</v>
      </c>
      <c r="J1460" s="64"/>
      <c r="K1460" s="64"/>
      <c r="L1460" s="64"/>
    </row>
    <row r="1461" spans="1:12" x14ac:dyDescent="0.25">
      <c r="A1461" s="71">
        <v>773992</v>
      </c>
      <c r="B1461" s="71">
        <v>2007</v>
      </c>
      <c r="C1461" s="71" t="s">
        <v>724</v>
      </c>
      <c r="D1461" s="71" t="s">
        <v>476</v>
      </c>
      <c r="E1461" s="71" t="s">
        <v>475</v>
      </c>
      <c r="F1461" s="66" t="s">
        <v>307</v>
      </c>
      <c r="G1461" s="70" t="s">
        <v>467</v>
      </c>
      <c r="H1461" s="70" t="s">
        <v>466</v>
      </c>
      <c r="I1461" s="363">
        <v>3</v>
      </c>
      <c r="J1461" s="64"/>
      <c r="K1461" s="64"/>
      <c r="L1461" s="64"/>
    </row>
    <row r="1462" spans="1:12" x14ac:dyDescent="0.25">
      <c r="A1462" s="71">
        <v>773993</v>
      </c>
      <c r="B1462" s="71">
        <v>2007</v>
      </c>
      <c r="C1462" s="71" t="s">
        <v>723</v>
      </c>
      <c r="D1462" s="71" t="s">
        <v>476</v>
      </c>
      <c r="E1462" s="71" t="s">
        <v>475</v>
      </c>
      <c r="F1462" s="66" t="s">
        <v>307</v>
      </c>
      <c r="G1462" s="70" t="s">
        <v>467</v>
      </c>
      <c r="H1462" s="70" t="s">
        <v>466</v>
      </c>
      <c r="I1462" s="363">
        <v>3</v>
      </c>
      <c r="J1462" s="64"/>
      <c r="K1462" s="64"/>
      <c r="L1462" s="64"/>
    </row>
    <row r="1463" spans="1:12" x14ac:dyDescent="0.25">
      <c r="A1463" s="71">
        <v>773994</v>
      </c>
      <c r="B1463" s="71">
        <v>2007</v>
      </c>
      <c r="C1463" s="71" t="s">
        <v>722</v>
      </c>
      <c r="D1463" s="71" t="s">
        <v>476</v>
      </c>
      <c r="E1463" s="71" t="s">
        <v>475</v>
      </c>
      <c r="F1463" s="66" t="s">
        <v>307</v>
      </c>
      <c r="G1463" s="70" t="s">
        <v>467</v>
      </c>
      <c r="H1463" s="70" t="s">
        <v>466</v>
      </c>
      <c r="I1463" s="363">
        <v>3</v>
      </c>
      <c r="J1463" s="64"/>
      <c r="K1463" s="64"/>
      <c r="L1463" s="64"/>
    </row>
    <row r="1464" spans="1:12" x14ac:dyDescent="0.25">
      <c r="A1464" s="71">
        <v>773999</v>
      </c>
      <c r="B1464" s="71">
        <v>2007</v>
      </c>
      <c r="C1464" s="71" t="s">
        <v>721</v>
      </c>
      <c r="D1464" s="71" t="s">
        <v>476</v>
      </c>
      <c r="E1464" s="71" t="s">
        <v>475</v>
      </c>
      <c r="F1464" s="66" t="s">
        <v>307</v>
      </c>
      <c r="G1464" s="70" t="s">
        <v>467</v>
      </c>
      <c r="H1464" s="70" t="s">
        <v>466</v>
      </c>
      <c r="I1464" s="363">
        <v>3</v>
      </c>
      <c r="J1464" s="64"/>
      <c r="K1464" s="64"/>
      <c r="L1464" s="64"/>
    </row>
    <row r="1465" spans="1:12" x14ac:dyDescent="0.25">
      <c r="A1465" s="71">
        <v>774000</v>
      </c>
      <c r="B1465" s="71">
        <v>2007</v>
      </c>
      <c r="C1465" s="71" t="s">
        <v>720</v>
      </c>
      <c r="D1465" s="71" t="s">
        <v>476</v>
      </c>
      <c r="E1465" s="71" t="s">
        <v>475</v>
      </c>
      <c r="F1465" s="66" t="s">
        <v>307</v>
      </c>
      <c r="G1465" s="70" t="s">
        <v>467</v>
      </c>
      <c r="H1465" s="70" t="s">
        <v>466</v>
      </c>
      <c r="I1465" s="363">
        <v>3</v>
      </c>
      <c r="J1465" s="64"/>
      <c r="K1465" s="64"/>
      <c r="L1465" s="64"/>
    </row>
    <row r="1466" spans="1:12" x14ac:dyDescent="0.25">
      <c r="A1466" s="71">
        <v>780000</v>
      </c>
      <c r="B1466" s="71">
        <v>2007</v>
      </c>
      <c r="C1466" s="71" t="s">
        <v>719</v>
      </c>
      <c r="D1466" s="71" t="s">
        <v>476</v>
      </c>
      <c r="E1466" s="71" t="s">
        <v>475</v>
      </c>
      <c r="F1466" s="66" t="s">
        <v>307</v>
      </c>
      <c r="G1466" s="70" t="s">
        <v>467</v>
      </c>
      <c r="H1466" s="70" t="s">
        <v>466</v>
      </c>
      <c r="I1466" s="363">
        <v>3</v>
      </c>
      <c r="J1466" s="64"/>
      <c r="K1466" s="64"/>
      <c r="L1466" s="64"/>
    </row>
    <row r="1467" spans="1:12" x14ac:dyDescent="0.25">
      <c r="A1467" s="71">
        <v>781000</v>
      </c>
      <c r="B1467" s="71">
        <v>2007</v>
      </c>
      <c r="C1467" s="71" t="s">
        <v>718</v>
      </c>
      <c r="D1467" s="71" t="s">
        <v>476</v>
      </c>
      <c r="E1467" s="71" t="s">
        <v>475</v>
      </c>
      <c r="F1467" s="66" t="s">
        <v>307</v>
      </c>
      <c r="G1467" s="70" t="s">
        <v>467</v>
      </c>
      <c r="H1467" s="70" t="s">
        <v>466</v>
      </c>
      <c r="I1467" s="363">
        <v>3</v>
      </c>
      <c r="J1467" s="64"/>
      <c r="K1467" s="64"/>
      <c r="L1467" s="64"/>
    </row>
    <row r="1468" spans="1:12" x14ac:dyDescent="0.25">
      <c r="A1468" s="71">
        <v>782000</v>
      </c>
      <c r="B1468" s="71">
        <v>2007</v>
      </c>
      <c r="C1468" s="71" t="s">
        <v>717</v>
      </c>
      <c r="D1468" s="71" t="s">
        <v>476</v>
      </c>
      <c r="E1468" s="71" t="s">
        <v>475</v>
      </c>
      <c r="F1468" s="66" t="s">
        <v>307</v>
      </c>
      <c r="G1468" s="70" t="s">
        <v>467</v>
      </c>
      <c r="H1468" s="70" t="s">
        <v>466</v>
      </c>
      <c r="I1468" s="363">
        <v>3</v>
      </c>
      <c r="J1468" s="64"/>
      <c r="K1468" s="64"/>
      <c r="L1468" s="64"/>
    </row>
    <row r="1469" spans="1:12" x14ac:dyDescent="0.25">
      <c r="A1469" s="71">
        <v>783000</v>
      </c>
      <c r="B1469" s="71">
        <v>2007</v>
      </c>
      <c r="C1469" s="71" t="s">
        <v>716</v>
      </c>
      <c r="D1469" s="71" t="s">
        <v>476</v>
      </c>
      <c r="E1469" s="71" t="s">
        <v>475</v>
      </c>
      <c r="F1469" s="66" t="s">
        <v>307</v>
      </c>
      <c r="G1469" s="70" t="s">
        <v>467</v>
      </c>
      <c r="H1469" s="70" t="s">
        <v>466</v>
      </c>
      <c r="I1469" s="363">
        <v>3</v>
      </c>
      <c r="J1469" s="64"/>
      <c r="K1469" s="64"/>
      <c r="L1469" s="64"/>
    </row>
    <row r="1470" spans="1:12" x14ac:dyDescent="0.25">
      <c r="A1470" s="71">
        <v>790000</v>
      </c>
      <c r="B1470" s="71">
        <v>2007</v>
      </c>
      <c r="C1470" s="71" t="s">
        <v>715</v>
      </c>
      <c r="D1470" s="71" t="s">
        <v>476</v>
      </c>
      <c r="E1470" s="71" t="s">
        <v>475</v>
      </c>
      <c r="F1470" s="66" t="s">
        <v>307</v>
      </c>
      <c r="G1470" s="70" t="s">
        <v>467</v>
      </c>
      <c r="H1470" s="70" t="s">
        <v>466</v>
      </c>
      <c r="I1470" s="363">
        <v>3</v>
      </c>
      <c r="J1470" s="64"/>
      <c r="K1470" s="64"/>
      <c r="L1470" s="64"/>
    </row>
    <row r="1471" spans="1:12" x14ac:dyDescent="0.25">
      <c r="A1471" s="71">
        <v>791000</v>
      </c>
      <c r="B1471" s="71">
        <v>2007</v>
      </c>
      <c r="C1471" s="71" t="s">
        <v>714</v>
      </c>
      <c r="D1471" s="71" t="s">
        <v>476</v>
      </c>
      <c r="E1471" s="71" t="s">
        <v>475</v>
      </c>
      <c r="F1471" s="66" t="s">
        <v>307</v>
      </c>
      <c r="G1471" s="70" t="s">
        <v>467</v>
      </c>
      <c r="H1471" s="70" t="s">
        <v>466</v>
      </c>
      <c r="I1471" s="363">
        <v>3</v>
      </c>
      <c r="J1471" s="64"/>
      <c r="K1471" s="64"/>
      <c r="L1471" s="64"/>
    </row>
    <row r="1472" spans="1:12" x14ac:dyDescent="0.25">
      <c r="A1472" s="71">
        <v>791100</v>
      </c>
      <c r="B1472" s="71">
        <v>2007</v>
      </c>
      <c r="C1472" s="71" t="s">
        <v>713</v>
      </c>
      <c r="D1472" s="71" t="s">
        <v>476</v>
      </c>
      <c r="E1472" s="71" t="s">
        <v>475</v>
      </c>
      <c r="F1472" s="66" t="s">
        <v>307</v>
      </c>
      <c r="G1472" s="70" t="s">
        <v>467</v>
      </c>
      <c r="H1472" s="70" t="s">
        <v>466</v>
      </c>
      <c r="I1472" s="363">
        <v>3</v>
      </c>
      <c r="J1472" s="64"/>
      <c r="K1472" s="64"/>
      <c r="L1472" s="64"/>
    </row>
    <row r="1473" spans="1:12" x14ac:dyDescent="0.25">
      <c r="A1473" s="71">
        <v>791200</v>
      </c>
      <c r="B1473" s="71">
        <v>2007</v>
      </c>
      <c r="C1473" s="71" t="s">
        <v>712</v>
      </c>
      <c r="D1473" s="71" t="s">
        <v>476</v>
      </c>
      <c r="E1473" s="71" t="s">
        <v>475</v>
      </c>
      <c r="F1473" s="66" t="s">
        <v>307</v>
      </c>
      <c r="G1473" s="70" t="s">
        <v>467</v>
      </c>
      <c r="H1473" s="70" t="s">
        <v>466</v>
      </c>
      <c r="I1473" s="363">
        <v>3</v>
      </c>
      <c r="J1473" s="64"/>
      <c r="K1473" s="64"/>
      <c r="L1473" s="64"/>
    </row>
    <row r="1474" spans="1:12" x14ac:dyDescent="0.25">
      <c r="A1474" s="71">
        <v>799000</v>
      </c>
      <c r="B1474" s="71">
        <v>2007</v>
      </c>
      <c r="C1474" s="71" t="s">
        <v>711</v>
      </c>
      <c r="D1474" s="71" t="s">
        <v>476</v>
      </c>
      <c r="E1474" s="71" t="s">
        <v>475</v>
      </c>
      <c r="F1474" s="66" t="s">
        <v>307</v>
      </c>
      <c r="G1474" s="70" t="s">
        <v>467</v>
      </c>
      <c r="H1474" s="70" t="s">
        <v>466</v>
      </c>
      <c r="I1474" s="363">
        <v>3</v>
      </c>
      <c r="J1474" s="64"/>
      <c r="K1474" s="64"/>
      <c r="L1474" s="64"/>
    </row>
    <row r="1475" spans="1:12" x14ac:dyDescent="0.25">
      <c r="A1475" s="71">
        <v>799010</v>
      </c>
      <c r="B1475" s="71">
        <v>2007</v>
      </c>
      <c r="C1475" s="71" t="s">
        <v>710</v>
      </c>
      <c r="D1475" s="71" t="s">
        <v>476</v>
      </c>
      <c r="E1475" s="71" t="s">
        <v>475</v>
      </c>
      <c r="F1475" s="66" t="s">
        <v>307</v>
      </c>
      <c r="G1475" s="70" t="s">
        <v>467</v>
      </c>
      <c r="H1475" s="70" t="s">
        <v>466</v>
      </c>
      <c r="I1475" s="363">
        <v>3</v>
      </c>
      <c r="J1475" s="64"/>
      <c r="K1475" s="64"/>
      <c r="L1475" s="64"/>
    </row>
    <row r="1476" spans="1:12" x14ac:dyDescent="0.25">
      <c r="A1476" s="71">
        <v>799011</v>
      </c>
      <c r="B1476" s="71">
        <v>2007</v>
      </c>
      <c r="C1476" s="71" t="s">
        <v>709</v>
      </c>
      <c r="D1476" s="71" t="s">
        <v>476</v>
      </c>
      <c r="E1476" s="71" t="s">
        <v>475</v>
      </c>
      <c r="F1476" s="66" t="s">
        <v>307</v>
      </c>
      <c r="G1476" s="70" t="s">
        <v>467</v>
      </c>
      <c r="H1476" s="70" t="s">
        <v>466</v>
      </c>
      <c r="I1476" s="363">
        <v>3</v>
      </c>
      <c r="J1476" s="64"/>
      <c r="K1476" s="64"/>
      <c r="L1476" s="64"/>
    </row>
    <row r="1477" spans="1:12" x14ac:dyDescent="0.25">
      <c r="A1477" s="71">
        <v>799019</v>
      </c>
      <c r="B1477" s="71">
        <v>2007</v>
      </c>
      <c r="C1477" s="71" t="s">
        <v>708</v>
      </c>
      <c r="D1477" s="71" t="s">
        <v>476</v>
      </c>
      <c r="E1477" s="71" t="s">
        <v>475</v>
      </c>
      <c r="F1477" s="66" t="s">
        <v>307</v>
      </c>
      <c r="G1477" s="70" t="s">
        <v>467</v>
      </c>
      <c r="H1477" s="70" t="s">
        <v>466</v>
      </c>
      <c r="I1477" s="363">
        <v>3</v>
      </c>
      <c r="J1477" s="64"/>
      <c r="K1477" s="64"/>
      <c r="L1477" s="64"/>
    </row>
    <row r="1478" spans="1:12" x14ac:dyDescent="0.25">
      <c r="A1478" s="71">
        <v>799020</v>
      </c>
      <c r="B1478" s="71">
        <v>2007</v>
      </c>
      <c r="C1478" s="71" t="s">
        <v>707</v>
      </c>
      <c r="D1478" s="71" t="s">
        <v>476</v>
      </c>
      <c r="E1478" s="71" t="s">
        <v>475</v>
      </c>
      <c r="F1478" s="66" t="s">
        <v>307</v>
      </c>
      <c r="G1478" s="70" t="s">
        <v>467</v>
      </c>
      <c r="H1478" s="70" t="s">
        <v>466</v>
      </c>
      <c r="I1478" s="363">
        <v>3</v>
      </c>
      <c r="J1478" s="64"/>
      <c r="K1478" s="64"/>
      <c r="L1478" s="64"/>
    </row>
    <row r="1479" spans="1:12" x14ac:dyDescent="0.25">
      <c r="A1479" s="71">
        <v>800000</v>
      </c>
      <c r="B1479" s="71">
        <v>2007</v>
      </c>
      <c r="C1479" s="71" t="s">
        <v>706</v>
      </c>
      <c r="D1479" s="71" t="s">
        <v>476</v>
      </c>
      <c r="E1479" s="71" t="s">
        <v>475</v>
      </c>
      <c r="F1479" s="66" t="s">
        <v>307</v>
      </c>
      <c r="G1479" s="70" t="s">
        <v>467</v>
      </c>
      <c r="H1479" s="70" t="s">
        <v>466</v>
      </c>
      <c r="I1479" s="363">
        <v>3</v>
      </c>
      <c r="J1479" s="64"/>
      <c r="K1479" s="64"/>
      <c r="L1479" s="64"/>
    </row>
    <row r="1480" spans="1:12" x14ac:dyDescent="0.25">
      <c r="A1480" s="71">
        <v>801000</v>
      </c>
      <c r="B1480" s="71">
        <v>2007</v>
      </c>
      <c r="C1480" s="71" t="s">
        <v>705</v>
      </c>
      <c r="D1480" s="71" t="s">
        <v>476</v>
      </c>
      <c r="E1480" s="71" t="s">
        <v>475</v>
      </c>
      <c r="F1480" s="66" t="s">
        <v>307</v>
      </c>
      <c r="G1480" s="70" t="s">
        <v>467</v>
      </c>
      <c r="H1480" s="70" t="s">
        <v>466</v>
      </c>
      <c r="I1480" s="363">
        <v>3</v>
      </c>
      <c r="J1480" s="64"/>
      <c r="K1480" s="64"/>
      <c r="L1480" s="64"/>
    </row>
    <row r="1481" spans="1:12" x14ac:dyDescent="0.25">
      <c r="A1481" s="71">
        <v>802000</v>
      </c>
      <c r="B1481" s="71">
        <v>2007</v>
      </c>
      <c r="C1481" s="71" t="s">
        <v>704</v>
      </c>
      <c r="D1481" s="71" t="s">
        <v>476</v>
      </c>
      <c r="E1481" s="71" t="s">
        <v>475</v>
      </c>
      <c r="F1481" s="66" t="s">
        <v>307</v>
      </c>
      <c r="G1481" s="70" t="s">
        <v>467</v>
      </c>
      <c r="H1481" s="70" t="s">
        <v>466</v>
      </c>
      <c r="I1481" s="363">
        <v>3</v>
      </c>
      <c r="J1481" s="64"/>
      <c r="K1481" s="64"/>
      <c r="L1481" s="64"/>
    </row>
    <row r="1482" spans="1:12" x14ac:dyDescent="0.25">
      <c r="A1482" s="71">
        <v>803000</v>
      </c>
      <c r="B1482" s="71">
        <v>2007</v>
      </c>
      <c r="C1482" s="71" t="s">
        <v>703</v>
      </c>
      <c r="D1482" s="71" t="s">
        <v>476</v>
      </c>
      <c r="E1482" s="71" t="s">
        <v>475</v>
      </c>
      <c r="F1482" s="66" t="s">
        <v>307</v>
      </c>
      <c r="G1482" s="70" t="s">
        <v>467</v>
      </c>
      <c r="H1482" s="70" t="s">
        <v>466</v>
      </c>
      <c r="I1482" s="363">
        <v>3</v>
      </c>
      <c r="J1482" s="64"/>
      <c r="K1482" s="64"/>
      <c r="L1482" s="64"/>
    </row>
    <row r="1483" spans="1:12" x14ac:dyDescent="0.25">
      <c r="A1483" s="71">
        <v>810000</v>
      </c>
      <c r="B1483" s="71">
        <v>2007</v>
      </c>
      <c r="C1483" s="71" t="s">
        <v>702</v>
      </c>
      <c r="D1483" s="71" t="s">
        <v>476</v>
      </c>
      <c r="E1483" s="71" t="s">
        <v>475</v>
      </c>
      <c r="F1483" s="66" t="s">
        <v>307</v>
      </c>
      <c r="G1483" s="70" t="s">
        <v>467</v>
      </c>
      <c r="H1483" s="70" t="s">
        <v>466</v>
      </c>
      <c r="I1483" s="363">
        <v>3</v>
      </c>
      <c r="J1483" s="64"/>
      <c r="K1483" s="64"/>
      <c r="L1483" s="64"/>
    </row>
    <row r="1484" spans="1:12" x14ac:dyDescent="0.25">
      <c r="A1484" s="71">
        <v>811000</v>
      </c>
      <c r="B1484" s="71">
        <v>2007</v>
      </c>
      <c r="C1484" s="71" t="s">
        <v>701</v>
      </c>
      <c r="D1484" s="71" t="s">
        <v>476</v>
      </c>
      <c r="E1484" s="71" t="s">
        <v>475</v>
      </c>
      <c r="F1484" s="66" t="s">
        <v>307</v>
      </c>
      <c r="G1484" s="70" t="s">
        <v>467</v>
      </c>
      <c r="H1484" s="70" t="s">
        <v>466</v>
      </c>
      <c r="I1484" s="363">
        <v>3</v>
      </c>
      <c r="J1484" s="64"/>
      <c r="K1484" s="64"/>
      <c r="L1484" s="64"/>
    </row>
    <row r="1485" spans="1:12" x14ac:dyDescent="0.25">
      <c r="A1485" s="71">
        <v>812000</v>
      </c>
      <c r="B1485" s="71">
        <v>2007</v>
      </c>
      <c r="C1485" s="71" t="s">
        <v>700</v>
      </c>
      <c r="D1485" s="71" t="s">
        <v>476</v>
      </c>
      <c r="E1485" s="71" t="s">
        <v>475</v>
      </c>
      <c r="F1485" s="66" t="s">
        <v>307</v>
      </c>
      <c r="G1485" s="70" t="s">
        <v>467</v>
      </c>
      <c r="H1485" s="70" t="s">
        <v>466</v>
      </c>
      <c r="I1485" s="363">
        <v>3</v>
      </c>
      <c r="J1485" s="64"/>
      <c r="K1485" s="64"/>
      <c r="L1485" s="64"/>
    </row>
    <row r="1486" spans="1:12" x14ac:dyDescent="0.25">
      <c r="A1486" s="71">
        <v>812100</v>
      </c>
      <c r="B1486" s="71">
        <v>2007</v>
      </c>
      <c r="C1486" s="71" t="s">
        <v>699</v>
      </c>
      <c r="D1486" s="71" t="s">
        <v>476</v>
      </c>
      <c r="E1486" s="71" t="s">
        <v>475</v>
      </c>
      <c r="F1486" s="66" t="s">
        <v>307</v>
      </c>
      <c r="G1486" s="70" t="s">
        <v>467</v>
      </c>
      <c r="H1486" s="70" t="s">
        <v>466</v>
      </c>
      <c r="I1486" s="363">
        <v>3</v>
      </c>
      <c r="J1486" s="64"/>
      <c r="K1486" s="64"/>
      <c r="L1486" s="64"/>
    </row>
    <row r="1487" spans="1:12" x14ac:dyDescent="0.25">
      <c r="A1487" s="71">
        <v>812200</v>
      </c>
      <c r="B1487" s="71">
        <v>2007</v>
      </c>
      <c r="C1487" s="71" t="s">
        <v>698</v>
      </c>
      <c r="D1487" s="71" t="s">
        <v>476</v>
      </c>
      <c r="E1487" s="71" t="s">
        <v>475</v>
      </c>
      <c r="F1487" s="66" t="s">
        <v>307</v>
      </c>
      <c r="G1487" s="70" t="s">
        <v>467</v>
      </c>
      <c r="H1487" s="70" t="s">
        <v>466</v>
      </c>
      <c r="I1487" s="363">
        <v>3</v>
      </c>
      <c r="J1487" s="64"/>
      <c r="K1487" s="64"/>
      <c r="L1487" s="64"/>
    </row>
    <row r="1488" spans="1:12" x14ac:dyDescent="0.25">
      <c r="A1488" s="71">
        <v>812201</v>
      </c>
      <c r="B1488" s="71">
        <v>2007</v>
      </c>
      <c r="C1488" s="71" t="s">
        <v>697</v>
      </c>
      <c r="D1488" s="71" t="s">
        <v>476</v>
      </c>
      <c r="E1488" s="71" t="s">
        <v>475</v>
      </c>
      <c r="F1488" s="66" t="s">
        <v>307</v>
      </c>
      <c r="G1488" s="70" t="s">
        <v>467</v>
      </c>
      <c r="H1488" s="70" t="s">
        <v>466</v>
      </c>
      <c r="I1488" s="363">
        <v>3</v>
      </c>
      <c r="J1488" s="64"/>
      <c r="K1488" s="64"/>
      <c r="L1488" s="64"/>
    </row>
    <row r="1489" spans="1:12" x14ac:dyDescent="0.25">
      <c r="A1489" s="71">
        <v>812202</v>
      </c>
      <c r="B1489" s="71">
        <v>2007</v>
      </c>
      <c r="C1489" s="71" t="s">
        <v>696</v>
      </c>
      <c r="D1489" s="71" t="s">
        <v>476</v>
      </c>
      <c r="E1489" s="71" t="s">
        <v>475</v>
      </c>
      <c r="F1489" s="66" t="s">
        <v>307</v>
      </c>
      <c r="G1489" s="70" t="s">
        <v>467</v>
      </c>
      <c r="H1489" s="70" t="s">
        <v>466</v>
      </c>
      <c r="I1489" s="363">
        <v>3</v>
      </c>
      <c r="J1489" s="64"/>
      <c r="K1489" s="64"/>
      <c r="L1489" s="64"/>
    </row>
    <row r="1490" spans="1:12" x14ac:dyDescent="0.25">
      <c r="A1490" s="71">
        <v>812900</v>
      </c>
      <c r="B1490" s="71">
        <v>2007</v>
      </c>
      <c r="C1490" s="71" t="s">
        <v>694</v>
      </c>
      <c r="D1490" s="71" t="s">
        <v>476</v>
      </c>
      <c r="E1490" s="71" t="s">
        <v>475</v>
      </c>
      <c r="F1490" s="66" t="s">
        <v>307</v>
      </c>
      <c r="G1490" s="70" t="s">
        <v>467</v>
      </c>
      <c r="H1490" s="70" t="s">
        <v>466</v>
      </c>
      <c r="I1490" s="363">
        <v>3</v>
      </c>
      <c r="J1490" s="64"/>
      <c r="K1490" s="64"/>
      <c r="L1490" s="64"/>
    </row>
    <row r="1491" spans="1:12" x14ac:dyDescent="0.25">
      <c r="A1491" s="71">
        <v>812910</v>
      </c>
      <c r="B1491" s="71">
        <v>2007</v>
      </c>
      <c r="C1491" s="71" t="s">
        <v>695</v>
      </c>
      <c r="D1491" s="71" t="s">
        <v>476</v>
      </c>
      <c r="E1491" s="71" t="s">
        <v>475</v>
      </c>
      <c r="F1491" s="66" t="s">
        <v>307</v>
      </c>
      <c r="G1491" s="70" t="s">
        <v>467</v>
      </c>
      <c r="H1491" s="70" t="s">
        <v>466</v>
      </c>
      <c r="I1491" s="363">
        <v>3</v>
      </c>
      <c r="J1491" s="64"/>
      <c r="K1491" s="64"/>
      <c r="L1491" s="64"/>
    </row>
    <row r="1492" spans="1:12" x14ac:dyDescent="0.25">
      <c r="A1492" s="71">
        <v>812990</v>
      </c>
      <c r="B1492" s="71">
        <v>2007</v>
      </c>
      <c r="C1492" s="71" t="s">
        <v>694</v>
      </c>
      <c r="D1492" s="71" t="s">
        <v>476</v>
      </c>
      <c r="E1492" s="71" t="s">
        <v>475</v>
      </c>
      <c r="F1492" s="66" t="s">
        <v>307</v>
      </c>
      <c r="G1492" s="70" t="s">
        <v>467</v>
      </c>
      <c r="H1492" s="70" t="s">
        <v>466</v>
      </c>
      <c r="I1492" s="363">
        <v>3</v>
      </c>
      <c r="J1492" s="64"/>
      <c r="K1492" s="64"/>
      <c r="L1492" s="64"/>
    </row>
    <row r="1493" spans="1:12" x14ac:dyDescent="0.25">
      <c r="A1493" s="71">
        <v>812991</v>
      </c>
      <c r="B1493" s="71">
        <v>2007</v>
      </c>
      <c r="C1493" s="71" t="s">
        <v>693</v>
      </c>
      <c r="D1493" s="71" t="s">
        <v>476</v>
      </c>
      <c r="E1493" s="71" t="s">
        <v>475</v>
      </c>
      <c r="F1493" s="66" t="s">
        <v>307</v>
      </c>
      <c r="G1493" s="70" t="s">
        <v>467</v>
      </c>
      <c r="H1493" s="70" t="s">
        <v>466</v>
      </c>
      <c r="I1493" s="363">
        <v>3</v>
      </c>
      <c r="J1493" s="64"/>
      <c r="K1493" s="64"/>
      <c r="L1493" s="64"/>
    </row>
    <row r="1494" spans="1:12" x14ac:dyDescent="0.25">
      <c r="A1494" s="71">
        <v>812999</v>
      </c>
      <c r="B1494" s="71">
        <v>2007</v>
      </c>
      <c r="C1494" s="71" t="s">
        <v>692</v>
      </c>
      <c r="D1494" s="71" t="s">
        <v>476</v>
      </c>
      <c r="E1494" s="71" t="s">
        <v>475</v>
      </c>
      <c r="F1494" s="66" t="s">
        <v>307</v>
      </c>
      <c r="G1494" s="70" t="s">
        <v>467</v>
      </c>
      <c r="H1494" s="70" t="s">
        <v>466</v>
      </c>
      <c r="I1494" s="363">
        <v>3</v>
      </c>
      <c r="J1494" s="64"/>
      <c r="K1494" s="64"/>
      <c r="L1494" s="64"/>
    </row>
    <row r="1495" spans="1:12" x14ac:dyDescent="0.25">
      <c r="A1495" s="71">
        <v>813000</v>
      </c>
      <c r="B1495" s="71">
        <v>2007</v>
      </c>
      <c r="C1495" s="71" t="s">
        <v>691</v>
      </c>
      <c r="D1495" s="71" t="s">
        <v>476</v>
      </c>
      <c r="E1495" s="71" t="s">
        <v>475</v>
      </c>
      <c r="F1495" s="66" t="s">
        <v>307</v>
      </c>
      <c r="G1495" s="70" t="s">
        <v>467</v>
      </c>
      <c r="H1495" s="70" t="s">
        <v>466</v>
      </c>
      <c r="I1495" s="363">
        <v>3</v>
      </c>
      <c r="J1495" s="64"/>
      <c r="K1495" s="64"/>
      <c r="L1495" s="64"/>
    </row>
    <row r="1496" spans="1:12" x14ac:dyDescent="0.25">
      <c r="A1496" s="71">
        <v>820000</v>
      </c>
      <c r="B1496" s="71">
        <v>2007</v>
      </c>
      <c r="C1496" s="71" t="s">
        <v>690</v>
      </c>
      <c r="D1496" s="71" t="s">
        <v>476</v>
      </c>
      <c r="E1496" s="71" t="s">
        <v>475</v>
      </c>
      <c r="F1496" s="66" t="s">
        <v>307</v>
      </c>
      <c r="G1496" s="70" t="s">
        <v>467</v>
      </c>
      <c r="H1496" s="70" t="s">
        <v>466</v>
      </c>
      <c r="I1496" s="363">
        <v>3</v>
      </c>
      <c r="J1496" s="64"/>
      <c r="K1496" s="64"/>
      <c r="L1496" s="64"/>
    </row>
    <row r="1497" spans="1:12" x14ac:dyDescent="0.25">
      <c r="A1497" s="71">
        <v>821000</v>
      </c>
      <c r="B1497" s="71">
        <v>2007</v>
      </c>
      <c r="C1497" s="71" t="s">
        <v>689</v>
      </c>
      <c r="D1497" s="71" t="s">
        <v>476</v>
      </c>
      <c r="E1497" s="71" t="s">
        <v>475</v>
      </c>
      <c r="F1497" s="66" t="s">
        <v>307</v>
      </c>
      <c r="G1497" s="70" t="s">
        <v>467</v>
      </c>
      <c r="H1497" s="70" t="s">
        <v>466</v>
      </c>
      <c r="I1497" s="363">
        <v>3</v>
      </c>
      <c r="J1497" s="64"/>
      <c r="K1497" s="64"/>
      <c r="L1497" s="64"/>
    </row>
    <row r="1498" spans="1:12" x14ac:dyDescent="0.25">
      <c r="A1498" s="71">
        <v>821100</v>
      </c>
      <c r="B1498" s="71">
        <v>2007</v>
      </c>
      <c r="C1498" s="71" t="s">
        <v>688</v>
      </c>
      <c r="D1498" s="71" t="s">
        <v>476</v>
      </c>
      <c r="E1498" s="71" t="s">
        <v>475</v>
      </c>
      <c r="F1498" s="66" t="s">
        <v>307</v>
      </c>
      <c r="G1498" s="70" t="s">
        <v>467</v>
      </c>
      <c r="H1498" s="70" t="s">
        <v>466</v>
      </c>
      <c r="I1498" s="363">
        <v>3</v>
      </c>
      <c r="J1498" s="64"/>
      <c r="K1498" s="64"/>
      <c r="L1498" s="64"/>
    </row>
    <row r="1499" spans="1:12" x14ac:dyDescent="0.25">
      <c r="A1499" s="71">
        <v>821101</v>
      </c>
      <c r="B1499" s="71">
        <v>2007</v>
      </c>
      <c r="C1499" s="71" t="s">
        <v>688</v>
      </c>
      <c r="D1499" s="71" t="s">
        <v>476</v>
      </c>
      <c r="E1499" s="71" t="s">
        <v>475</v>
      </c>
      <c r="F1499" s="66" t="s">
        <v>307</v>
      </c>
      <c r="G1499" s="70" t="s">
        <v>467</v>
      </c>
      <c r="H1499" s="70" t="s">
        <v>466</v>
      </c>
      <c r="I1499" s="363">
        <v>3</v>
      </c>
      <c r="J1499" s="64"/>
      <c r="K1499" s="64"/>
      <c r="L1499" s="64"/>
    </row>
    <row r="1500" spans="1:12" x14ac:dyDescent="0.25">
      <c r="A1500" s="71">
        <v>821102</v>
      </c>
      <c r="B1500" s="71">
        <v>2007</v>
      </c>
      <c r="C1500" s="71" t="s">
        <v>687</v>
      </c>
      <c r="D1500" s="71" t="s">
        <v>476</v>
      </c>
      <c r="E1500" s="71" t="s">
        <v>475</v>
      </c>
      <c r="F1500" s="66" t="s">
        <v>307</v>
      </c>
      <c r="G1500" s="70" t="s">
        <v>467</v>
      </c>
      <c r="H1500" s="70" t="s">
        <v>466</v>
      </c>
      <c r="I1500" s="363">
        <v>3</v>
      </c>
      <c r="J1500" s="64"/>
      <c r="K1500" s="64"/>
      <c r="L1500" s="64"/>
    </row>
    <row r="1501" spans="1:12" x14ac:dyDescent="0.25">
      <c r="A1501" s="71">
        <v>821900</v>
      </c>
      <c r="B1501" s="71">
        <v>2007</v>
      </c>
      <c r="C1501" s="71" t="s">
        <v>685</v>
      </c>
      <c r="D1501" s="71" t="s">
        <v>476</v>
      </c>
      <c r="E1501" s="71" t="s">
        <v>475</v>
      </c>
      <c r="F1501" s="66" t="s">
        <v>307</v>
      </c>
      <c r="G1501" s="70" t="s">
        <v>467</v>
      </c>
      <c r="H1501" s="70" t="s">
        <v>466</v>
      </c>
      <c r="I1501" s="363">
        <v>3</v>
      </c>
      <c r="J1501" s="64"/>
      <c r="K1501" s="64"/>
      <c r="L1501" s="64"/>
    </row>
    <row r="1502" spans="1:12" x14ac:dyDescent="0.25">
      <c r="A1502" s="71">
        <v>821901</v>
      </c>
      <c r="B1502" s="71">
        <v>2007</v>
      </c>
      <c r="C1502" s="71" t="s">
        <v>686</v>
      </c>
      <c r="D1502" s="71" t="s">
        <v>476</v>
      </c>
      <c r="E1502" s="71" t="s">
        <v>475</v>
      </c>
      <c r="F1502" s="66" t="s">
        <v>307</v>
      </c>
      <c r="G1502" s="70" t="s">
        <v>467</v>
      </c>
      <c r="H1502" s="70" t="s">
        <v>466</v>
      </c>
      <c r="I1502" s="363">
        <v>3</v>
      </c>
      <c r="J1502" s="64"/>
      <c r="K1502" s="64"/>
      <c r="L1502" s="64"/>
    </row>
    <row r="1503" spans="1:12" x14ac:dyDescent="0.25">
      <c r="A1503" s="71">
        <v>821909</v>
      </c>
      <c r="B1503" s="71">
        <v>2007</v>
      </c>
      <c r="C1503" s="71" t="s">
        <v>685</v>
      </c>
      <c r="D1503" s="71" t="s">
        <v>476</v>
      </c>
      <c r="E1503" s="71" t="s">
        <v>475</v>
      </c>
      <c r="F1503" s="66" t="s">
        <v>307</v>
      </c>
      <c r="G1503" s="70" t="s">
        <v>467</v>
      </c>
      <c r="H1503" s="70" t="s">
        <v>466</v>
      </c>
      <c r="I1503" s="363">
        <v>3</v>
      </c>
      <c r="J1503" s="64"/>
      <c r="K1503" s="64"/>
      <c r="L1503" s="64"/>
    </row>
    <row r="1504" spans="1:12" x14ac:dyDescent="0.25">
      <c r="A1504" s="71">
        <v>822000</v>
      </c>
      <c r="B1504" s="71">
        <v>2007</v>
      </c>
      <c r="C1504" s="71" t="s">
        <v>684</v>
      </c>
      <c r="D1504" s="71" t="s">
        <v>476</v>
      </c>
      <c r="E1504" s="71" t="s">
        <v>475</v>
      </c>
      <c r="F1504" s="66" t="s">
        <v>307</v>
      </c>
      <c r="G1504" s="70" t="s">
        <v>467</v>
      </c>
      <c r="H1504" s="70" t="s">
        <v>466</v>
      </c>
      <c r="I1504" s="363">
        <v>3</v>
      </c>
      <c r="J1504" s="64"/>
      <c r="K1504" s="64"/>
      <c r="L1504" s="64"/>
    </row>
    <row r="1505" spans="1:12" x14ac:dyDescent="0.25">
      <c r="A1505" s="71">
        <v>823000</v>
      </c>
      <c r="B1505" s="71">
        <v>2007</v>
      </c>
      <c r="C1505" s="71" t="s">
        <v>683</v>
      </c>
      <c r="D1505" s="71" t="s">
        <v>476</v>
      </c>
      <c r="E1505" s="71" t="s">
        <v>475</v>
      </c>
      <c r="F1505" s="66" t="s">
        <v>307</v>
      </c>
      <c r="G1505" s="70" t="s">
        <v>467</v>
      </c>
      <c r="H1505" s="70" t="s">
        <v>466</v>
      </c>
      <c r="I1505" s="363">
        <v>3</v>
      </c>
      <c r="J1505" s="64"/>
      <c r="K1505" s="64"/>
      <c r="L1505" s="64"/>
    </row>
    <row r="1506" spans="1:12" x14ac:dyDescent="0.25">
      <c r="A1506" s="71">
        <v>829000</v>
      </c>
      <c r="B1506" s="71">
        <v>2007</v>
      </c>
      <c r="C1506" s="71" t="s">
        <v>682</v>
      </c>
      <c r="D1506" s="71" t="s">
        <v>476</v>
      </c>
      <c r="E1506" s="71" t="s">
        <v>475</v>
      </c>
      <c r="F1506" s="66" t="s">
        <v>307</v>
      </c>
      <c r="G1506" s="70" t="s">
        <v>467</v>
      </c>
      <c r="H1506" s="70" t="s">
        <v>466</v>
      </c>
      <c r="I1506" s="363">
        <v>3</v>
      </c>
      <c r="J1506" s="64"/>
      <c r="K1506" s="64"/>
      <c r="L1506" s="64"/>
    </row>
    <row r="1507" spans="1:12" x14ac:dyDescent="0.25">
      <c r="A1507" s="71">
        <v>829100</v>
      </c>
      <c r="B1507" s="71">
        <v>2007</v>
      </c>
      <c r="C1507" s="71" t="s">
        <v>681</v>
      </c>
      <c r="D1507" s="71" t="s">
        <v>476</v>
      </c>
      <c r="E1507" s="71" t="s">
        <v>475</v>
      </c>
      <c r="F1507" s="66" t="s">
        <v>307</v>
      </c>
      <c r="G1507" s="70" t="s">
        <v>467</v>
      </c>
      <c r="H1507" s="70" t="s">
        <v>466</v>
      </c>
      <c r="I1507" s="363">
        <v>3</v>
      </c>
      <c r="J1507" s="64"/>
      <c r="K1507" s="64"/>
      <c r="L1507" s="64"/>
    </row>
    <row r="1508" spans="1:12" x14ac:dyDescent="0.25">
      <c r="A1508" s="71">
        <v>829110</v>
      </c>
      <c r="B1508" s="71">
        <v>2007</v>
      </c>
      <c r="C1508" s="71" t="s">
        <v>680</v>
      </c>
      <c r="D1508" s="71" t="s">
        <v>476</v>
      </c>
      <c r="E1508" s="71" t="s">
        <v>475</v>
      </c>
      <c r="F1508" s="66" t="s">
        <v>307</v>
      </c>
      <c r="G1508" s="70" t="s">
        <v>467</v>
      </c>
      <c r="H1508" s="70" t="s">
        <v>466</v>
      </c>
      <c r="I1508" s="363">
        <v>3</v>
      </c>
      <c r="J1508" s="64"/>
      <c r="K1508" s="64"/>
      <c r="L1508" s="64"/>
    </row>
    <row r="1509" spans="1:12" x14ac:dyDescent="0.25">
      <c r="A1509" s="71">
        <v>829120</v>
      </c>
      <c r="B1509" s="71">
        <v>2007</v>
      </c>
      <c r="C1509" s="71" t="s">
        <v>679</v>
      </c>
      <c r="D1509" s="71" t="s">
        <v>476</v>
      </c>
      <c r="E1509" s="71" t="s">
        <v>475</v>
      </c>
      <c r="F1509" s="66" t="s">
        <v>307</v>
      </c>
      <c r="G1509" s="70" t="s">
        <v>467</v>
      </c>
      <c r="H1509" s="70" t="s">
        <v>466</v>
      </c>
      <c r="I1509" s="363">
        <v>3</v>
      </c>
      <c r="J1509" s="64"/>
      <c r="K1509" s="64"/>
      <c r="L1509" s="64"/>
    </row>
    <row r="1510" spans="1:12" x14ac:dyDescent="0.25">
      <c r="A1510" s="71">
        <v>829200</v>
      </c>
      <c r="B1510" s="71">
        <v>2007</v>
      </c>
      <c r="C1510" s="71" t="s">
        <v>678</v>
      </c>
      <c r="D1510" s="71" t="s">
        <v>476</v>
      </c>
      <c r="E1510" s="71" t="s">
        <v>475</v>
      </c>
      <c r="F1510" s="66" t="s">
        <v>307</v>
      </c>
      <c r="G1510" s="70" t="s">
        <v>467</v>
      </c>
      <c r="H1510" s="70" t="s">
        <v>466</v>
      </c>
      <c r="I1510" s="363">
        <v>3</v>
      </c>
      <c r="J1510" s="64"/>
      <c r="K1510" s="64"/>
      <c r="L1510" s="64"/>
    </row>
    <row r="1511" spans="1:12" x14ac:dyDescent="0.25">
      <c r="A1511" s="71">
        <v>829210</v>
      </c>
      <c r="B1511" s="71">
        <v>2007</v>
      </c>
      <c r="C1511" s="71" t="s">
        <v>677</v>
      </c>
      <c r="D1511" s="71" t="s">
        <v>476</v>
      </c>
      <c r="E1511" s="71" t="s">
        <v>475</v>
      </c>
      <c r="F1511" s="66" t="s">
        <v>307</v>
      </c>
      <c r="G1511" s="70" t="s">
        <v>467</v>
      </c>
      <c r="H1511" s="70" t="s">
        <v>466</v>
      </c>
      <c r="I1511" s="363">
        <v>3</v>
      </c>
      <c r="J1511" s="64"/>
      <c r="K1511" s="64"/>
      <c r="L1511" s="64"/>
    </row>
    <row r="1512" spans="1:12" x14ac:dyDescent="0.25">
      <c r="A1512" s="71">
        <v>829220</v>
      </c>
      <c r="B1512" s="71">
        <v>2007</v>
      </c>
      <c r="C1512" s="71" t="s">
        <v>676</v>
      </c>
      <c r="D1512" s="71" t="s">
        <v>476</v>
      </c>
      <c r="E1512" s="71" t="s">
        <v>475</v>
      </c>
      <c r="F1512" s="66" t="s">
        <v>307</v>
      </c>
      <c r="G1512" s="70" t="s">
        <v>467</v>
      </c>
      <c r="H1512" s="70" t="s">
        <v>466</v>
      </c>
      <c r="I1512" s="363">
        <v>3</v>
      </c>
      <c r="J1512" s="64"/>
      <c r="K1512" s="64"/>
      <c r="L1512" s="64"/>
    </row>
    <row r="1513" spans="1:12" x14ac:dyDescent="0.25">
      <c r="A1513" s="71">
        <v>829900</v>
      </c>
      <c r="B1513" s="71">
        <v>2007</v>
      </c>
      <c r="C1513" s="71" t="s">
        <v>670</v>
      </c>
      <c r="D1513" s="71" t="s">
        <v>476</v>
      </c>
      <c r="E1513" s="71" t="s">
        <v>475</v>
      </c>
      <c r="F1513" s="66" t="s">
        <v>307</v>
      </c>
      <c r="G1513" s="70" t="s">
        <v>467</v>
      </c>
      <c r="H1513" s="70" t="s">
        <v>466</v>
      </c>
      <c r="I1513" s="363">
        <v>3</v>
      </c>
      <c r="J1513" s="64"/>
      <c r="K1513" s="64"/>
      <c r="L1513" s="64"/>
    </row>
    <row r="1514" spans="1:12" x14ac:dyDescent="0.25">
      <c r="A1514" s="71">
        <v>829910</v>
      </c>
      <c r="B1514" s="71">
        <v>2007</v>
      </c>
      <c r="C1514" s="71" t="s">
        <v>675</v>
      </c>
      <c r="D1514" s="71" t="s">
        <v>476</v>
      </c>
      <c r="E1514" s="71" t="s">
        <v>475</v>
      </c>
      <c r="F1514" s="66" t="s">
        <v>307</v>
      </c>
      <c r="G1514" s="70" t="s">
        <v>467</v>
      </c>
      <c r="H1514" s="70" t="s">
        <v>466</v>
      </c>
      <c r="I1514" s="363">
        <v>3</v>
      </c>
      <c r="J1514" s="64"/>
      <c r="K1514" s="64"/>
      <c r="L1514" s="64"/>
    </row>
    <row r="1515" spans="1:12" x14ac:dyDescent="0.25">
      <c r="A1515" s="71">
        <v>829920</v>
      </c>
      <c r="B1515" s="71">
        <v>2007</v>
      </c>
      <c r="C1515" s="71" t="s">
        <v>674</v>
      </c>
      <c r="D1515" s="71" t="s">
        <v>476</v>
      </c>
      <c r="E1515" s="71" t="s">
        <v>475</v>
      </c>
      <c r="F1515" s="66" t="s">
        <v>307</v>
      </c>
      <c r="G1515" s="70" t="s">
        <v>467</v>
      </c>
      <c r="H1515" s="70" t="s">
        <v>466</v>
      </c>
      <c r="I1515" s="363">
        <v>3</v>
      </c>
      <c r="J1515" s="64"/>
      <c r="K1515" s="64"/>
      <c r="L1515" s="64"/>
    </row>
    <row r="1516" spans="1:12" x14ac:dyDescent="0.25">
      <c r="A1516" s="71">
        <v>829930</v>
      </c>
      <c r="B1516" s="71">
        <v>2007</v>
      </c>
      <c r="C1516" s="71" t="s">
        <v>673</v>
      </c>
      <c r="D1516" s="71" t="s">
        <v>476</v>
      </c>
      <c r="E1516" s="71" t="s">
        <v>475</v>
      </c>
      <c r="F1516" s="66" t="s">
        <v>307</v>
      </c>
      <c r="G1516" s="70" t="s">
        <v>467</v>
      </c>
      <c r="H1516" s="70" t="s">
        <v>466</v>
      </c>
      <c r="I1516" s="363">
        <v>3</v>
      </c>
      <c r="J1516" s="64"/>
      <c r="K1516" s="64"/>
      <c r="L1516" s="64"/>
    </row>
    <row r="1517" spans="1:12" x14ac:dyDescent="0.25">
      <c r="A1517" s="71">
        <v>829940</v>
      </c>
      <c r="B1517" s="71">
        <v>2007</v>
      </c>
      <c r="C1517" s="71" t="s">
        <v>672</v>
      </c>
      <c r="D1517" s="71" t="s">
        <v>476</v>
      </c>
      <c r="E1517" s="71" t="s">
        <v>475</v>
      </c>
      <c r="F1517" s="66" t="s">
        <v>307</v>
      </c>
      <c r="G1517" s="70" t="s">
        <v>467</v>
      </c>
      <c r="H1517" s="70" t="s">
        <v>466</v>
      </c>
      <c r="I1517" s="363">
        <v>3</v>
      </c>
      <c r="J1517" s="64"/>
      <c r="K1517" s="64"/>
      <c r="L1517" s="64"/>
    </row>
    <row r="1518" spans="1:12" x14ac:dyDescent="0.25">
      <c r="A1518" s="71">
        <v>829990</v>
      </c>
      <c r="B1518" s="71">
        <v>2007</v>
      </c>
      <c r="C1518" s="71" t="s">
        <v>670</v>
      </c>
      <c r="D1518" s="71" t="s">
        <v>476</v>
      </c>
      <c r="E1518" s="71" t="s">
        <v>475</v>
      </c>
      <c r="F1518" s="66" t="s">
        <v>307</v>
      </c>
      <c r="G1518" s="70" t="s">
        <v>467</v>
      </c>
      <c r="H1518" s="70" t="s">
        <v>466</v>
      </c>
      <c r="I1518" s="363">
        <v>3</v>
      </c>
      <c r="J1518" s="64"/>
      <c r="K1518" s="64"/>
      <c r="L1518" s="64"/>
    </row>
    <row r="1519" spans="1:12" x14ac:dyDescent="0.25">
      <c r="A1519" s="71">
        <v>829991</v>
      </c>
      <c r="B1519" s="71">
        <v>2007</v>
      </c>
      <c r="C1519" s="71" t="s">
        <v>671</v>
      </c>
      <c r="D1519" s="71" t="s">
        <v>476</v>
      </c>
      <c r="E1519" s="71" t="s">
        <v>475</v>
      </c>
      <c r="F1519" s="66" t="s">
        <v>307</v>
      </c>
      <c r="G1519" s="70" t="s">
        <v>467</v>
      </c>
      <c r="H1519" s="70" t="s">
        <v>466</v>
      </c>
      <c r="I1519" s="363">
        <v>3</v>
      </c>
      <c r="J1519" s="64"/>
      <c r="K1519" s="64"/>
      <c r="L1519" s="64"/>
    </row>
    <row r="1520" spans="1:12" x14ac:dyDescent="0.25">
      <c r="A1520" s="71">
        <v>829999</v>
      </c>
      <c r="B1520" s="71">
        <v>2007</v>
      </c>
      <c r="C1520" s="71" t="s">
        <v>670</v>
      </c>
      <c r="D1520" s="71" t="s">
        <v>476</v>
      </c>
      <c r="E1520" s="71" t="s">
        <v>475</v>
      </c>
      <c r="F1520" s="66" t="s">
        <v>307</v>
      </c>
      <c r="G1520" s="70" t="s">
        <v>467</v>
      </c>
      <c r="H1520" s="70" t="s">
        <v>466</v>
      </c>
      <c r="I1520" s="363">
        <v>3</v>
      </c>
      <c r="J1520" s="64"/>
      <c r="K1520" s="64"/>
      <c r="L1520" s="64"/>
    </row>
    <row r="1521" spans="1:12" x14ac:dyDescent="0.25">
      <c r="A1521" s="71">
        <v>840000</v>
      </c>
      <c r="B1521" s="71">
        <v>2007</v>
      </c>
      <c r="C1521" s="71" t="s">
        <v>669</v>
      </c>
      <c r="D1521" s="71" t="s">
        <v>469</v>
      </c>
      <c r="E1521" s="71" t="s">
        <v>468</v>
      </c>
      <c r="F1521" s="66" t="s">
        <v>307</v>
      </c>
      <c r="G1521" s="70" t="s">
        <v>467</v>
      </c>
      <c r="H1521" s="70" t="s">
        <v>466</v>
      </c>
      <c r="I1521" s="363">
        <v>3</v>
      </c>
      <c r="J1521" s="64"/>
      <c r="K1521" s="64"/>
      <c r="L1521" s="64"/>
    </row>
    <row r="1522" spans="1:12" x14ac:dyDescent="0.25">
      <c r="A1522" s="71">
        <v>841000</v>
      </c>
      <c r="B1522" s="71">
        <v>2007</v>
      </c>
      <c r="C1522" s="71" t="s">
        <v>668</v>
      </c>
      <c r="D1522" s="71" t="s">
        <v>469</v>
      </c>
      <c r="E1522" s="71" t="s">
        <v>468</v>
      </c>
      <c r="F1522" s="66" t="s">
        <v>307</v>
      </c>
      <c r="G1522" s="70" t="s">
        <v>467</v>
      </c>
      <c r="H1522" s="70" t="s">
        <v>466</v>
      </c>
      <c r="I1522" s="363">
        <v>3</v>
      </c>
      <c r="J1522" s="64"/>
      <c r="K1522" s="64"/>
      <c r="L1522" s="64"/>
    </row>
    <row r="1523" spans="1:12" x14ac:dyDescent="0.25">
      <c r="A1523" s="71">
        <v>841100</v>
      </c>
      <c r="B1523" s="71">
        <v>2007</v>
      </c>
      <c r="C1523" s="71" t="s">
        <v>667</v>
      </c>
      <c r="D1523" s="71" t="s">
        <v>469</v>
      </c>
      <c r="E1523" s="71" t="s">
        <v>468</v>
      </c>
      <c r="F1523" s="66" t="s">
        <v>307</v>
      </c>
      <c r="G1523" s="70" t="s">
        <v>467</v>
      </c>
      <c r="H1523" s="70" t="s">
        <v>466</v>
      </c>
      <c r="I1523" s="363">
        <v>3</v>
      </c>
      <c r="J1523" s="64"/>
      <c r="K1523" s="64"/>
      <c r="L1523" s="64"/>
    </row>
    <row r="1524" spans="1:12" x14ac:dyDescent="0.25">
      <c r="A1524" s="71">
        <v>841110</v>
      </c>
      <c r="B1524" s="71">
        <v>2007</v>
      </c>
      <c r="C1524" s="71" t="s">
        <v>666</v>
      </c>
      <c r="D1524" s="71" t="s">
        <v>469</v>
      </c>
      <c r="E1524" s="71" t="s">
        <v>468</v>
      </c>
      <c r="F1524" s="66" t="s">
        <v>307</v>
      </c>
      <c r="G1524" s="70" t="s">
        <v>467</v>
      </c>
      <c r="H1524" s="70" t="s">
        <v>466</v>
      </c>
      <c r="I1524" s="363">
        <v>3</v>
      </c>
      <c r="J1524" s="64"/>
      <c r="K1524" s="64"/>
      <c r="L1524" s="64"/>
    </row>
    <row r="1525" spans="1:12" x14ac:dyDescent="0.25">
      <c r="A1525" s="71">
        <v>841120</v>
      </c>
      <c r="B1525" s="71">
        <v>2007</v>
      </c>
      <c r="C1525" s="71" t="s">
        <v>665</v>
      </c>
      <c r="D1525" s="71" t="s">
        <v>469</v>
      </c>
      <c r="E1525" s="71" t="s">
        <v>468</v>
      </c>
      <c r="F1525" s="66" t="s">
        <v>307</v>
      </c>
      <c r="G1525" s="70" t="s">
        <v>467</v>
      </c>
      <c r="H1525" s="70" t="s">
        <v>466</v>
      </c>
      <c r="I1525" s="363">
        <v>3</v>
      </c>
      <c r="J1525" s="64"/>
      <c r="K1525" s="64"/>
      <c r="L1525" s="64"/>
    </row>
    <row r="1526" spans="1:12" x14ac:dyDescent="0.25">
      <c r="A1526" s="71">
        <v>841200</v>
      </c>
      <c r="B1526" s="71">
        <v>2007</v>
      </c>
      <c r="C1526" s="71" t="s">
        <v>664</v>
      </c>
      <c r="D1526" s="71" t="s">
        <v>469</v>
      </c>
      <c r="E1526" s="71" t="s">
        <v>468</v>
      </c>
      <c r="F1526" s="66" t="s">
        <v>307</v>
      </c>
      <c r="G1526" s="70" t="s">
        <v>467</v>
      </c>
      <c r="H1526" s="70" t="s">
        <v>466</v>
      </c>
      <c r="I1526" s="363">
        <v>3</v>
      </c>
      <c r="J1526" s="64"/>
      <c r="K1526" s="64"/>
      <c r="L1526" s="64"/>
    </row>
    <row r="1527" spans="1:12" x14ac:dyDescent="0.25">
      <c r="A1527" s="71">
        <v>841210</v>
      </c>
      <c r="B1527" s="71">
        <v>2007</v>
      </c>
      <c r="C1527" s="71" t="s">
        <v>663</v>
      </c>
      <c r="D1527" s="71" t="s">
        <v>469</v>
      </c>
      <c r="E1527" s="71" t="s">
        <v>468</v>
      </c>
      <c r="F1527" s="66" t="s">
        <v>307</v>
      </c>
      <c r="G1527" s="70" t="s">
        <v>467</v>
      </c>
      <c r="H1527" s="70" t="s">
        <v>466</v>
      </c>
      <c r="I1527" s="363">
        <v>3</v>
      </c>
      <c r="J1527" s="64"/>
      <c r="K1527" s="64"/>
      <c r="L1527" s="64"/>
    </row>
    <row r="1528" spans="1:12" x14ac:dyDescent="0.25">
      <c r="A1528" s="71">
        <v>841220</v>
      </c>
      <c r="B1528" s="71">
        <v>2007</v>
      </c>
      <c r="C1528" s="71" t="s">
        <v>662</v>
      </c>
      <c r="D1528" s="71" t="s">
        <v>469</v>
      </c>
      <c r="E1528" s="71" t="s">
        <v>468</v>
      </c>
      <c r="F1528" s="66" t="s">
        <v>307</v>
      </c>
      <c r="G1528" s="70" t="s">
        <v>467</v>
      </c>
      <c r="H1528" s="70" t="s">
        <v>466</v>
      </c>
      <c r="I1528" s="363">
        <v>3</v>
      </c>
      <c r="J1528" s="64"/>
      <c r="K1528" s="64"/>
      <c r="L1528" s="64"/>
    </row>
    <row r="1529" spans="1:12" x14ac:dyDescent="0.25">
      <c r="A1529" s="71">
        <v>841230</v>
      </c>
      <c r="B1529" s="71">
        <v>2007</v>
      </c>
      <c r="C1529" s="71" t="s">
        <v>661</v>
      </c>
      <c r="D1529" s="71" t="s">
        <v>469</v>
      </c>
      <c r="E1529" s="71" t="s">
        <v>468</v>
      </c>
      <c r="F1529" s="66" t="s">
        <v>307</v>
      </c>
      <c r="G1529" s="70" t="s">
        <v>467</v>
      </c>
      <c r="H1529" s="70" t="s">
        <v>466</v>
      </c>
      <c r="I1529" s="363">
        <v>3</v>
      </c>
      <c r="J1529" s="64"/>
      <c r="K1529" s="64"/>
      <c r="L1529" s="64"/>
    </row>
    <row r="1530" spans="1:12" x14ac:dyDescent="0.25">
      <c r="A1530" s="71">
        <v>841240</v>
      </c>
      <c r="B1530" s="71">
        <v>2007</v>
      </c>
      <c r="C1530" s="71" t="s">
        <v>660</v>
      </c>
      <c r="D1530" s="71" t="s">
        <v>469</v>
      </c>
      <c r="E1530" s="71" t="s">
        <v>468</v>
      </c>
      <c r="F1530" s="66" t="s">
        <v>307</v>
      </c>
      <c r="G1530" s="70" t="s">
        <v>467</v>
      </c>
      <c r="H1530" s="70" t="s">
        <v>466</v>
      </c>
      <c r="I1530" s="363">
        <v>3</v>
      </c>
      <c r="J1530" s="64"/>
      <c r="K1530" s="64"/>
      <c r="L1530" s="64"/>
    </row>
    <row r="1531" spans="1:12" x14ac:dyDescent="0.25">
      <c r="A1531" s="71">
        <v>841300</v>
      </c>
      <c r="B1531" s="71">
        <v>2007</v>
      </c>
      <c r="C1531" s="71" t="s">
        <v>659</v>
      </c>
      <c r="D1531" s="71" t="s">
        <v>469</v>
      </c>
      <c r="E1531" s="71" t="s">
        <v>468</v>
      </c>
      <c r="F1531" s="66" t="s">
        <v>307</v>
      </c>
      <c r="G1531" s="70" t="s">
        <v>467</v>
      </c>
      <c r="H1531" s="70" t="s">
        <v>466</v>
      </c>
      <c r="I1531" s="363">
        <v>3</v>
      </c>
      <c r="J1531" s="64"/>
      <c r="K1531" s="64"/>
      <c r="L1531" s="64"/>
    </row>
    <row r="1532" spans="1:12" x14ac:dyDescent="0.25">
      <c r="A1532" s="71">
        <v>841310</v>
      </c>
      <c r="B1532" s="71">
        <v>2007</v>
      </c>
      <c r="C1532" s="71" t="s">
        <v>658</v>
      </c>
      <c r="D1532" s="71" t="s">
        <v>469</v>
      </c>
      <c r="E1532" s="71" t="s">
        <v>468</v>
      </c>
      <c r="F1532" s="66" t="s">
        <v>307</v>
      </c>
      <c r="G1532" s="70" t="s">
        <v>467</v>
      </c>
      <c r="H1532" s="70" t="s">
        <v>466</v>
      </c>
      <c r="I1532" s="363">
        <v>3</v>
      </c>
      <c r="J1532" s="64"/>
      <c r="K1532" s="64"/>
      <c r="L1532" s="64"/>
    </row>
    <row r="1533" spans="1:12" x14ac:dyDescent="0.25">
      <c r="A1533" s="71">
        <v>841320</v>
      </c>
      <c r="B1533" s="71">
        <v>2007</v>
      </c>
      <c r="C1533" s="71" t="s">
        <v>657</v>
      </c>
      <c r="D1533" s="71" t="s">
        <v>469</v>
      </c>
      <c r="E1533" s="71" t="s">
        <v>468</v>
      </c>
      <c r="F1533" s="66" t="s">
        <v>307</v>
      </c>
      <c r="G1533" s="70" t="s">
        <v>467</v>
      </c>
      <c r="H1533" s="70" t="s">
        <v>466</v>
      </c>
      <c r="I1533" s="363">
        <v>3</v>
      </c>
      <c r="J1533" s="64"/>
      <c r="K1533" s="64"/>
      <c r="L1533" s="64"/>
    </row>
    <row r="1534" spans="1:12" x14ac:dyDescent="0.25">
      <c r="A1534" s="71">
        <v>841330</v>
      </c>
      <c r="B1534" s="71">
        <v>2007</v>
      </c>
      <c r="C1534" s="71" t="s">
        <v>656</v>
      </c>
      <c r="D1534" s="71" t="s">
        <v>469</v>
      </c>
      <c r="E1534" s="71" t="s">
        <v>468</v>
      </c>
      <c r="F1534" s="66" t="s">
        <v>307</v>
      </c>
      <c r="G1534" s="70" t="s">
        <v>467</v>
      </c>
      <c r="H1534" s="70" t="s">
        <v>466</v>
      </c>
      <c r="I1534" s="363">
        <v>3</v>
      </c>
      <c r="J1534" s="64"/>
      <c r="K1534" s="64"/>
      <c r="L1534" s="64"/>
    </row>
    <row r="1535" spans="1:12" x14ac:dyDescent="0.25">
      <c r="A1535" s="71">
        <v>841340</v>
      </c>
      <c r="B1535" s="71">
        <v>2007</v>
      </c>
      <c r="C1535" s="71" t="s">
        <v>655</v>
      </c>
      <c r="D1535" s="71" t="s">
        <v>469</v>
      </c>
      <c r="E1535" s="71" t="s">
        <v>468</v>
      </c>
      <c r="F1535" s="66" t="s">
        <v>307</v>
      </c>
      <c r="G1535" s="70" t="s">
        <v>467</v>
      </c>
      <c r="H1535" s="70" t="s">
        <v>466</v>
      </c>
      <c r="I1535" s="363">
        <v>3</v>
      </c>
      <c r="J1535" s="64"/>
      <c r="K1535" s="64"/>
      <c r="L1535" s="64"/>
    </row>
    <row r="1536" spans="1:12" x14ac:dyDescent="0.25">
      <c r="A1536" s="71">
        <v>841350</v>
      </c>
      <c r="B1536" s="71">
        <v>2007</v>
      </c>
      <c r="C1536" s="71" t="s">
        <v>654</v>
      </c>
      <c r="D1536" s="71" t="s">
        <v>469</v>
      </c>
      <c r="E1536" s="71" t="s">
        <v>468</v>
      </c>
      <c r="F1536" s="66" t="s">
        <v>307</v>
      </c>
      <c r="G1536" s="70" t="s">
        <v>467</v>
      </c>
      <c r="H1536" s="70" t="s">
        <v>466</v>
      </c>
      <c r="I1536" s="363">
        <v>3</v>
      </c>
      <c r="J1536" s="64"/>
      <c r="K1536" s="64"/>
      <c r="L1536" s="64"/>
    </row>
    <row r="1537" spans="1:12" x14ac:dyDescent="0.25">
      <c r="A1537" s="71">
        <v>841360</v>
      </c>
      <c r="B1537" s="71">
        <v>2007</v>
      </c>
      <c r="C1537" s="71" t="s">
        <v>653</v>
      </c>
      <c r="D1537" s="71" t="s">
        <v>469</v>
      </c>
      <c r="E1537" s="71" t="s">
        <v>468</v>
      </c>
      <c r="F1537" s="66" t="s">
        <v>307</v>
      </c>
      <c r="G1537" s="70" t="s">
        <v>467</v>
      </c>
      <c r="H1537" s="70" t="s">
        <v>466</v>
      </c>
      <c r="I1537" s="363">
        <v>3</v>
      </c>
      <c r="J1537" s="64"/>
      <c r="K1537" s="64"/>
      <c r="L1537" s="64"/>
    </row>
    <row r="1538" spans="1:12" x14ac:dyDescent="0.25">
      <c r="A1538" s="71">
        <v>841370</v>
      </c>
      <c r="B1538" s="71">
        <v>2007</v>
      </c>
      <c r="C1538" s="71" t="s">
        <v>652</v>
      </c>
      <c r="D1538" s="71" t="s">
        <v>469</v>
      </c>
      <c r="E1538" s="71" t="s">
        <v>468</v>
      </c>
      <c r="F1538" s="66" t="s">
        <v>307</v>
      </c>
      <c r="G1538" s="70" t="s">
        <v>467</v>
      </c>
      <c r="H1538" s="70" t="s">
        <v>466</v>
      </c>
      <c r="I1538" s="363">
        <v>3</v>
      </c>
      <c r="J1538" s="64"/>
      <c r="K1538" s="64"/>
      <c r="L1538" s="64"/>
    </row>
    <row r="1539" spans="1:12" x14ac:dyDescent="0.25">
      <c r="A1539" s="71">
        <v>841380</v>
      </c>
      <c r="B1539" s="71">
        <v>2007</v>
      </c>
      <c r="C1539" s="71" t="s">
        <v>651</v>
      </c>
      <c r="D1539" s="71" t="s">
        <v>469</v>
      </c>
      <c r="E1539" s="71" t="s">
        <v>468</v>
      </c>
      <c r="F1539" s="66" t="s">
        <v>307</v>
      </c>
      <c r="G1539" s="70" t="s">
        <v>467</v>
      </c>
      <c r="H1539" s="70" t="s">
        <v>466</v>
      </c>
      <c r="I1539" s="363">
        <v>3</v>
      </c>
      <c r="J1539" s="64"/>
      <c r="K1539" s="64"/>
      <c r="L1539" s="64"/>
    </row>
    <row r="1540" spans="1:12" x14ac:dyDescent="0.25">
      <c r="A1540" s="71">
        <v>841390</v>
      </c>
      <c r="B1540" s="71">
        <v>2007</v>
      </c>
      <c r="C1540" s="71" t="s">
        <v>650</v>
      </c>
      <c r="D1540" s="71" t="s">
        <v>469</v>
      </c>
      <c r="E1540" s="71" t="s">
        <v>468</v>
      </c>
      <c r="F1540" s="66" t="s">
        <v>307</v>
      </c>
      <c r="G1540" s="70" t="s">
        <v>467</v>
      </c>
      <c r="H1540" s="70" t="s">
        <v>466</v>
      </c>
      <c r="I1540" s="363">
        <v>3</v>
      </c>
      <c r="J1540" s="64"/>
      <c r="K1540" s="64"/>
      <c r="L1540" s="64"/>
    </row>
    <row r="1541" spans="1:12" x14ac:dyDescent="0.25">
      <c r="A1541" s="71">
        <v>842000</v>
      </c>
      <c r="B1541" s="71">
        <v>2007</v>
      </c>
      <c r="C1541" s="71" t="s">
        <v>649</v>
      </c>
      <c r="D1541" s="71" t="s">
        <v>469</v>
      </c>
      <c r="E1541" s="71" t="s">
        <v>468</v>
      </c>
      <c r="F1541" s="66" t="s">
        <v>307</v>
      </c>
      <c r="G1541" s="70" t="s">
        <v>467</v>
      </c>
      <c r="H1541" s="70" t="s">
        <v>466</v>
      </c>
      <c r="I1541" s="363">
        <v>3</v>
      </c>
      <c r="J1541" s="64"/>
      <c r="K1541" s="64"/>
      <c r="L1541" s="64"/>
    </row>
    <row r="1542" spans="1:12" x14ac:dyDescent="0.25">
      <c r="A1542" s="71">
        <v>842100</v>
      </c>
      <c r="B1542" s="71">
        <v>2007</v>
      </c>
      <c r="C1542" s="71" t="s">
        <v>648</v>
      </c>
      <c r="D1542" s="71" t="s">
        <v>469</v>
      </c>
      <c r="E1542" s="71" t="s">
        <v>468</v>
      </c>
      <c r="F1542" s="66" t="s">
        <v>307</v>
      </c>
      <c r="G1542" s="70" t="s">
        <v>467</v>
      </c>
      <c r="H1542" s="70" t="s">
        <v>466</v>
      </c>
      <c r="I1542" s="363">
        <v>3</v>
      </c>
      <c r="J1542" s="64"/>
      <c r="K1542" s="64"/>
      <c r="L1542" s="64"/>
    </row>
    <row r="1543" spans="1:12" x14ac:dyDescent="0.25">
      <c r="A1543" s="71">
        <v>842200</v>
      </c>
      <c r="B1543" s="71">
        <v>2007</v>
      </c>
      <c r="C1543" s="71" t="s">
        <v>647</v>
      </c>
      <c r="D1543" s="71" t="s">
        <v>469</v>
      </c>
      <c r="E1543" s="71" t="s">
        <v>468</v>
      </c>
      <c r="F1543" s="66" t="s">
        <v>307</v>
      </c>
      <c r="G1543" s="70" t="s">
        <v>467</v>
      </c>
      <c r="H1543" s="70" t="s">
        <v>466</v>
      </c>
      <c r="I1543" s="363">
        <v>3</v>
      </c>
      <c r="J1543" s="64"/>
      <c r="K1543" s="64"/>
      <c r="L1543" s="64"/>
    </row>
    <row r="1544" spans="1:12" x14ac:dyDescent="0.25">
      <c r="A1544" s="71">
        <v>842300</v>
      </c>
      <c r="B1544" s="71">
        <v>2007</v>
      </c>
      <c r="C1544" s="71" t="s">
        <v>646</v>
      </c>
      <c r="D1544" s="71" t="s">
        <v>469</v>
      </c>
      <c r="E1544" s="71" t="s">
        <v>468</v>
      </c>
      <c r="F1544" s="66" t="s">
        <v>307</v>
      </c>
      <c r="G1544" s="70" t="s">
        <v>467</v>
      </c>
      <c r="H1544" s="70" t="s">
        <v>466</v>
      </c>
      <c r="I1544" s="363">
        <v>3</v>
      </c>
      <c r="J1544" s="64"/>
      <c r="K1544" s="64"/>
      <c r="L1544" s="64"/>
    </row>
    <row r="1545" spans="1:12" x14ac:dyDescent="0.25">
      <c r="A1545" s="71">
        <v>842400</v>
      </c>
      <c r="B1545" s="71">
        <v>2007</v>
      </c>
      <c r="C1545" s="71" t="s">
        <v>645</v>
      </c>
      <c r="D1545" s="71" t="s">
        <v>469</v>
      </c>
      <c r="E1545" s="71" t="s">
        <v>468</v>
      </c>
      <c r="F1545" s="66" t="s">
        <v>307</v>
      </c>
      <c r="G1545" s="70" t="s">
        <v>467</v>
      </c>
      <c r="H1545" s="70" t="s">
        <v>466</v>
      </c>
      <c r="I1545" s="363">
        <v>3</v>
      </c>
      <c r="J1545" s="64"/>
      <c r="K1545" s="64"/>
      <c r="L1545" s="64"/>
    </row>
    <row r="1546" spans="1:12" x14ac:dyDescent="0.25">
      <c r="A1546" s="71">
        <v>842500</v>
      </c>
      <c r="B1546" s="71">
        <v>2007</v>
      </c>
      <c r="C1546" s="71" t="s">
        <v>644</v>
      </c>
      <c r="D1546" s="71" t="s">
        <v>469</v>
      </c>
      <c r="E1546" s="71" t="s">
        <v>468</v>
      </c>
      <c r="F1546" s="66" t="s">
        <v>307</v>
      </c>
      <c r="G1546" s="70" t="s">
        <v>467</v>
      </c>
      <c r="H1546" s="70" t="s">
        <v>466</v>
      </c>
      <c r="I1546" s="363">
        <v>3</v>
      </c>
      <c r="J1546" s="64"/>
      <c r="K1546" s="64"/>
      <c r="L1546" s="64"/>
    </row>
    <row r="1547" spans="1:12" x14ac:dyDescent="0.25">
      <c r="A1547" s="71">
        <v>842510</v>
      </c>
      <c r="B1547" s="71">
        <v>2007</v>
      </c>
      <c r="C1547" s="71" t="s">
        <v>643</v>
      </c>
      <c r="D1547" s="71" t="s">
        <v>469</v>
      </c>
      <c r="E1547" s="71" t="s">
        <v>468</v>
      </c>
      <c r="F1547" s="66" t="s">
        <v>307</v>
      </c>
      <c r="G1547" s="70" t="s">
        <v>467</v>
      </c>
      <c r="H1547" s="70" t="s">
        <v>466</v>
      </c>
      <c r="I1547" s="363">
        <v>3</v>
      </c>
      <c r="J1547" s="64"/>
      <c r="K1547" s="64"/>
      <c r="L1547" s="64"/>
    </row>
    <row r="1548" spans="1:12" x14ac:dyDescent="0.25">
      <c r="A1548" s="71">
        <v>842520</v>
      </c>
      <c r="B1548" s="71">
        <v>2007</v>
      </c>
      <c r="C1548" s="71" t="s">
        <v>642</v>
      </c>
      <c r="D1548" s="71" t="s">
        <v>469</v>
      </c>
      <c r="E1548" s="71" t="s">
        <v>468</v>
      </c>
      <c r="F1548" s="66" t="s">
        <v>307</v>
      </c>
      <c r="G1548" s="70" t="s">
        <v>467</v>
      </c>
      <c r="H1548" s="70" t="s">
        <v>466</v>
      </c>
      <c r="I1548" s="363">
        <v>3</v>
      </c>
      <c r="J1548" s="64"/>
      <c r="K1548" s="64"/>
      <c r="L1548" s="64"/>
    </row>
    <row r="1549" spans="1:12" x14ac:dyDescent="0.25">
      <c r="A1549" s="71">
        <v>843000</v>
      </c>
      <c r="B1549" s="71">
        <v>2007</v>
      </c>
      <c r="C1549" s="71" t="s">
        <v>641</v>
      </c>
      <c r="D1549" s="71" t="s">
        <v>469</v>
      </c>
      <c r="E1549" s="71" t="s">
        <v>468</v>
      </c>
      <c r="F1549" s="66" t="s">
        <v>307</v>
      </c>
      <c r="G1549" s="70" t="s">
        <v>467</v>
      </c>
      <c r="H1549" s="70" t="s">
        <v>466</v>
      </c>
      <c r="I1549" s="363">
        <v>3</v>
      </c>
      <c r="J1549" s="64"/>
      <c r="K1549" s="64"/>
      <c r="L1549" s="64"/>
    </row>
    <row r="1550" spans="1:12" x14ac:dyDescent="0.25">
      <c r="A1550" s="71">
        <v>850000</v>
      </c>
      <c r="B1550" s="71">
        <v>2007</v>
      </c>
      <c r="C1550" s="71" t="s">
        <v>640</v>
      </c>
      <c r="D1550" s="71" t="s">
        <v>476</v>
      </c>
      <c r="E1550" s="71" t="s">
        <v>475</v>
      </c>
      <c r="F1550" s="66" t="s">
        <v>307</v>
      </c>
      <c r="G1550" s="70" t="s">
        <v>467</v>
      </c>
      <c r="H1550" s="70" t="s">
        <v>466</v>
      </c>
      <c r="I1550" s="363">
        <v>3</v>
      </c>
      <c r="J1550" s="64"/>
      <c r="K1550" s="64"/>
      <c r="L1550" s="64"/>
    </row>
    <row r="1551" spans="1:12" x14ac:dyDescent="0.25">
      <c r="A1551" s="71">
        <v>851000</v>
      </c>
      <c r="B1551" s="71">
        <v>2007</v>
      </c>
      <c r="C1551" s="71" t="s">
        <v>639</v>
      </c>
      <c r="D1551" s="71" t="s">
        <v>476</v>
      </c>
      <c r="E1551" s="71" t="s">
        <v>475</v>
      </c>
      <c r="F1551" s="66" t="s">
        <v>307</v>
      </c>
      <c r="G1551" s="70" t="s">
        <v>467</v>
      </c>
      <c r="H1551" s="70" t="s">
        <v>466</v>
      </c>
      <c r="I1551" s="363">
        <v>3</v>
      </c>
      <c r="J1551" s="64"/>
      <c r="K1551" s="64"/>
      <c r="L1551" s="64"/>
    </row>
    <row r="1552" spans="1:12" x14ac:dyDescent="0.25">
      <c r="A1552" s="71">
        <v>852000</v>
      </c>
      <c r="B1552" s="71">
        <v>2007</v>
      </c>
      <c r="C1552" s="71" t="s">
        <v>638</v>
      </c>
      <c r="D1552" s="71" t="s">
        <v>476</v>
      </c>
      <c r="E1552" s="71" t="s">
        <v>475</v>
      </c>
      <c r="F1552" s="66" t="s">
        <v>307</v>
      </c>
      <c r="G1552" s="70" t="s">
        <v>467</v>
      </c>
      <c r="H1552" s="70" t="s">
        <v>466</v>
      </c>
      <c r="I1552" s="363">
        <v>3</v>
      </c>
      <c r="J1552" s="64"/>
      <c r="K1552" s="64"/>
      <c r="L1552" s="64"/>
    </row>
    <row r="1553" spans="1:12" x14ac:dyDescent="0.25">
      <c r="A1553" s="71">
        <v>853000</v>
      </c>
      <c r="B1553" s="71">
        <v>2007</v>
      </c>
      <c r="C1553" s="71" t="s">
        <v>637</v>
      </c>
      <c r="D1553" s="71" t="s">
        <v>476</v>
      </c>
      <c r="E1553" s="71" t="s">
        <v>475</v>
      </c>
      <c r="F1553" s="66" t="s">
        <v>307</v>
      </c>
      <c r="G1553" s="70" t="s">
        <v>467</v>
      </c>
      <c r="H1553" s="70" t="s">
        <v>466</v>
      </c>
      <c r="I1553" s="363">
        <v>3</v>
      </c>
      <c r="J1553" s="64"/>
      <c r="K1553" s="64"/>
      <c r="L1553" s="64"/>
    </row>
    <row r="1554" spans="1:12" x14ac:dyDescent="0.25">
      <c r="A1554" s="71">
        <v>853100</v>
      </c>
      <c r="B1554" s="71">
        <v>2007</v>
      </c>
      <c r="C1554" s="71" t="s">
        <v>636</v>
      </c>
      <c r="D1554" s="71" t="s">
        <v>476</v>
      </c>
      <c r="E1554" s="71" t="s">
        <v>475</v>
      </c>
      <c r="F1554" s="66" t="s">
        <v>307</v>
      </c>
      <c r="G1554" s="70" t="s">
        <v>467</v>
      </c>
      <c r="H1554" s="70" t="s">
        <v>466</v>
      </c>
      <c r="I1554" s="363">
        <v>3</v>
      </c>
      <c r="J1554" s="64"/>
      <c r="K1554" s="64"/>
      <c r="L1554" s="64"/>
    </row>
    <row r="1555" spans="1:12" x14ac:dyDescent="0.25">
      <c r="A1555" s="71">
        <v>853110</v>
      </c>
      <c r="B1555" s="71">
        <v>2007</v>
      </c>
      <c r="C1555" s="71" t="s">
        <v>635</v>
      </c>
      <c r="D1555" s="71" t="s">
        <v>476</v>
      </c>
      <c r="E1555" s="71" t="s">
        <v>475</v>
      </c>
      <c r="F1555" s="66" t="s">
        <v>307</v>
      </c>
      <c r="G1555" s="70" t="s">
        <v>467</v>
      </c>
      <c r="H1555" s="70" t="s">
        <v>466</v>
      </c>
      <c r="I1555" s="363">
        <v>3</v>
      </c>
      <c r="J1555" s="64"/>
      <c r="K1555" s="64"/>
      <c r="L1555" s="64"/>
    </row>
    <row r="1556" spans="1:12" x14ac:dyDescent="0.25">
      <c r="A1556" s="71">
        <v>853120</v>
      </c>
      <c r="B1556" s="71">
        <v>2007</v>
      </c>
      <c r="C1556" s="71" t="s">
        <v>634</v>
      </c>
      <c r="D1556" s="71" t="s">
        <v>476</v>
      </c>
      <c r="E1556" s="71" t="s">
        <v>475</v>
      </c>
      <c r="F1556" s="66" t="s">
        <v>307</v>
      </c>
      <c r="G1556" s="70" t="s">
        <v>467</v>
      </c>
      <c r="H1556" s="70" t="s">
        <v>466</v>
      </c>
      <c r="I1556" s="363">
        <v>3</v>
      </c>
      <c r="J1556" s="64"/>
      <c r="K1556" s="64"/>
      <c r="L1556" s="64"/>
    </row>
    <row r="1557" spans="1:12" x14ac:dyDescent="0.25">
      <c r="A1557" s="71">
        <v>853200</v>
      </c>
      <c r="B1557" s="71">
        <v>2007</v>
      </c>
      <c r="C1557" s="71" t="s">
        <v>633</v>
      </c>
      <c r="D1557" s="71" t="s">
        <v>476</v>
      </c>
      <c r="E1557" s="71" t="s">
        <v>475</v>
      </c>
      <c r="F1557" s="66" t="s">
        <v>307</v>
      </c>
      <c r="G1557" s="70" t="s">
        <v>467</v>
      </c>
      <c r="H1557" s="70" t="s">
        <v>466</v>
      </c>
      <c r="I1557" s="363">
        <v>3</v>
      </c>
      <c r="J1557" s="64"/>
      <c r="K1557" s="64"/>
      <c r="L1557" s="64"/>
    </row>
    <row r="1558" spans="1:12" x14ac:dyDescent="0.25">
      <c r="A1558" s="71">
        <v>853201</v>
      </c>
      <c r="B1558" s="71">
        <v>2007</v>
      </c>
      <c r="C1558" s="71" t="s">
        <v>632</v>
      </c>
      <c r="D1558" s="71" t="s">
        <v>476</v>
      </c>
      <c r="E1558" s="71" t="s">
        <v>475</v>
      </c>
      <c r="F1558" s="66" t="s">
        <v>307</v>
      </c>
      <c r="G1558" s="70" t="s">
        <v>467</v>
      </c>
      <c r="H1558" s="70" t="s">
        <v>466</v>
      </c>
      <c r="I1558" s="363">
        <v>3</v>
      </c>
      <c r="J1558" s="64"/>
      <c r="K1558" s="64"/>
      <c r="L1558" s="64"/>
    </row>
    <row r="1559" spans="1:12" x14ac:dyDescent="0.25">
      <c r="A1559" s="71">
        <v>853202</v>
      </c>
      <c r="B1559" s="71">
        <v>2007</v>
      </c>
      <c r="C1559" s="71" t="s">
        <v>631</v>
      </c>
      <c r="D1559" s="71" t="s">
        <v>476</v>
      </c>
      <c r="E1559" s="71" t="s">
        <v>475</v>
      </c>
      <c r="F1559" s="66" t="s">
        <v>307</v>
      </c>
      <c r="G1559" s="70" t="s">
        <v>467</v>
      </c>
      <c r="H1559" s="70" t="s">
        <v>466</v>
      </c>
      <c r="I1559" s="363">
        <v>3</v>
      </c>
      <c r="J1559" s="64"/>
      <c r="K1559" s="64"/>
      <c r="L1559" s="64"/>
    </row>
    <row r="1560" spans="1:12" x14ac:dyDescent="0.25">
      <c r="A1560" s="71">
        <v>853203</v>
      </c>
      <c r="B1560" s="71">
        <v>2007</v>
      </c>
      <c r="C1560" s="71" t="s">
        <v>630</v>
      </c>
      <c r="D1560" s="71" t="s">
        <v>476</v>
      </c>
      <c r="E1560" s="71" t="s">
        <v>475</v>
      </c>
      <c r="F1560" s="66" t="s">
        <v>307</v>
      </c>
      <c r="G1560" s="70" t="s">
        <v>467</v>
      </c>
      <c r="H1560" s="70" t="s">
        <v>466</v>
      </c>
      <c r="I1560" s="363">
        <v>3</v>
      </c>
      <c r="J1560" s="64"/>
      <c r="K1560" s="64"/>
      <c r="L1560" s="64"/>
    </row>
    <row r="1561" spans="1:12" x14ac:dyDescent="0.25">
      <c r="A1561" s="71">
        <v>853209</v>
      </c>
      <c r="B1561" s="71">
        <v>2007</v>
      </c>
      <c r="C1561" s="71" t="s">
        <v>629</v>
      </c>
      <c r="D1561" s="71" t="s">
        <v>476</v>
      </c>
      <c r="E1561" s="71" t="s">
        <v>475</v>
      </c>
      <c r="F1561" s="66" t="s">
        <v>307</v>
      </c>
      <c r="G1561" s="70" t="s">
        <v>467</v>
      </c>
      <c r="H1561" s="70" t="s">
        <v>466</v>
      </c>
      <c r="I1561" s="363">
        <v>3</v>
      </c>
      <c r="J1561" s="64"/>
      <c r="K1561" s="64"/>
      <c r="L1561" s="64"/>
    </row>
    <row r="1562" spans="1:12" x14ac:dyDescent="0.25">
      <c r="A1562" s="71">
        <v>854000</v>
      </c>
      <c r="B1562" s="71">
        <v>2007</v>
      </c>
      <c r="C1562" s="71" t="s">
        <v>628</v>
      </c>
      <c r="D1562" s="71" t="s">
        <v>476</v>
      </c>
      <c r="E1562" s="71" t="s">
        <v>475</v>
      </c>
      <c r="F1562" s="66" t="s">
        <v>307</v>
      </c>
      <c r="G1562" s="70" t="s">
        <v>467</v>
      </c>
      <c r="H1562" s="70" t="s">
        <v>466</v>
      </c>
      <c r="I1562" s="363">
        <v>3</v>
      </c>
      <c r="J1562" s="64"/>
      <c r="K1562" s="64"/>
      <c r="L1562" s="64"/>
    </row>
    <row r="1563" spans="1:12" x14ac:dyDescent="0.25">
      <c r="A1563" s="71">
        <v>854100</v>
      </c>
      <c r="B1563" s="71">
        <v>2007</v>
      </c>
      <c r="C1563" s="71" t="s">
        <v>627</v>
      </c>
      <c r="D1563" s="71" t="s">
        <v>476</v>
      </c>
      <c r="E1563" s="71" t="s">
        <v>475</v>
      </c>
      <c r="F1563" s="66" t="s">
        <v>307</v>
      </c>
      <c r="G1563" s="70" t="s">
        <v>467</v>
      </c>
      <c r="H1563" s="70" t="s">
        <v>466</v>
      </c>
      <c r="I1563" s="363">
        <v>3</v>
      </c>
      <c r="J1563" s="64"/>
      <c r="K1563" s="64"/>
      <c r="L1563" s="64"/>
    </row>
    <row r="1564" spans="1:12" x14ac:dyDescent="0.25">
      <c r="A1564" s="71">
        <v>854200</v>
      </c>
      <c r="B1564" s="71">
        <v>2007</v>
      </c>
      <c r="C1564" s="71" t="s">
        <v>626</v>
      </c>
      <c r="D1564" s="71" t="s">
        <v>476</v>
      </c>
      <c r="E1564" s="71" t="s">
        <v>475</v>
      </c>
      <c r="F1564" s="66" t="s">
        <v>307</v>
      </c>
      <c r="G1564" s="70" t="s">
        <v>467</v>
      </c>
      <c r="H1564" s="70" t="s">
        <v>466</v>
      </c>
      <c r="I1564" s="363">
        <v>3</v>
      </c>
      <c r="J1564" s="64"/>
      <c r="K1564" s="64"/>
      <c r="L1564" s="64"/>
    </row>
    <row r="1565" spans="1:12" x14ac:dyDescent="0.25">
      <c r="A1565" s="71">
        <v>855000</v>
      </c>
      <c r="B1565" s="71">
        <v>2007</v>
      </c>
      <c r="C1565" s="71" t="s">
        <v>625</v>
      </c>
      <c r="D1565" s="71" t="s">
        <v>476</v>
      </c>
      <c r="E1565" s="71" t="s">
        <v>475</v>
      </c>
      <c r="F1565" s="66" t="s">
        <v>307</v>
      </c>
      <c r="G1565" s="70" t="s">
        <v>467</v>
      </c>
      <c r="H1565" s="70" t="s">
        <v>466</v>
      </c>
      <c r="I1565" s="363">
        <v>3</v>
      </c>
      <c r="J1565" s="64"/>
      <c r="K1565" s="64"/>
      <c r="L1565" s="64"/>
    </row>
    <row r="1566" spans="1:12" x14ac:dyDescent="0.25">
      <c r="A1566" s="71">
        <v>855100</v>
      </c>
      <c r="B1566" s="71">
        <v>2007</v>
      </c>
      <c r="C1566" s="71" t="s">
        <v>624</v>
      </c>
      <c r="D1566" s="71" t="s">
        <v>476</v>
      </c>
      <c r="E1566" s="71" t="s">
        <v>475</v>
      </c>
      <c r="F1566" s="66" t="s">
        <v>307</v>
      </c>
      <c r="G1566" s="70" t="s">
        <v>467</v>
      </c>
      <c r="H1566" s="70" t="s">
        <v>466</v>
      </c>
      <c r="I1566" s="363">
        <v>3</v>
      </c>
      <c r="J1566" s="64"/>
      <c r="K1566" s="64"/>
      <c r="L1566" s="64"/>
    </row>
    <row r="1567" spans="1:12" x14ac:dyDescent="0.25">
      <c r="A1567" s="71">
        <v>855200</v>
      </c>
      <c r="B1567" s="71">
        <v>2007</v>
      </c>
      <c r="C1567" s="71" t="s">
        <v>623</v>
      </c>
      <c r="D1567" s="71" t="s">
        <v>476</v>
      </c>
      <c r="E1567" s="71" t="s">
        <v>475</v>
      </c>
      <c r="F1567" s="66" t="s">
        <v>307</v>
      </c>
      <c r="G1567" s="70" t="s">
        <v>467</v>
      </c>
      <c r="H1567" s="70" t="s">
        <v>466</v>
      </c>
      <c r="I1567" s="363">
        <v>3</v>
      </c>
      <c r="J1567" s="64"/>
      <c r="K1567" s="64"/>
      <c r="L1567" s="64"/>
    </row>
    <row r="1568" spans="1:12" x14ac:dyDescent="0.25">
      <c r="A1568" s="71">
        <v>855201</v>
      </c>
      <c r="B1568" s="71">
        <v>2007</v>
      </c>
      <c r="C1568" s="71" t="s">
        <v>622</v>
      </c>
      <c r="D1568" s="71" t="s">
        <v>476</v>
      </c>
      <c r="E1568" s="71" t="s">
        <v>475</v>
      </c>
      <c r="F1568" s="66" t="s">
        <v>307</v>
      </c>
      <c r="G1568" s="70" t="s">
        <v>467</v>
      </c>
      <c r="H1568" s="70" t="s">
        <v>466</v>
      </c>
      <c r="I1568" s="363">
        <v>3</v>
      </c>
      <c r="J1568" s="64"/>
      <c r="K1568" s="64"/>
      <c r="L1568" s="64"/>
    </row>
    <row r="1569" spans="1:12" x14ac:dyDescent="0.25">
      <c r="A1569" s="71">
        <v>855209</v>
      </c>
      <c r="B1569" s="71">
        <v>2007</v>
      </c>
      <c r="C1569" s="71" t="s">
        <v>621</v>
      </c>
      <c r="D1569" s="71" t="s">
        <v>476</v>
      </c>
      <c r="E1569" s="71" t="s">
        <v>475</v>
      </c>
      <c r="F1569" s="66" t="s">
        <v>307</v>
      </c>
      <c r="G1569" s="70" t="s">
        <v>467</v>
      </c>
      <c r="H1569" s="70" t="s">
        <v>466</v>
      </c>
      <c r="I1569" s="363">
        <v>3</v>
      </c>
      <c r="J1569" s="64"/>
      <c r="K1569" s="64"/>
      <c r="L1569" s="64"/>
    </row>
    <row r="1570" spans="1:12" x14ac:dyDescent="0.25">
      <c r="A1570" s="71">
        <v>855300</v>
      </c>
      <c r="B1570" s="71">
        <v>2007</v>
      </c>
      <c r="C1570" s="71" t="s">
        <v>620</v>
      </c>
      <c r="D1570" s="71" t="s">
        <v>476</v>
      </c>
      <c r="E1570" s="71" t="s">
        <v>475</v>
      </c>
      <c r="F1570" s="66" t="s">
        <v>307</v>
      </c>
      <c r="G1570" s="70" t="s">
        <v>467</v>
      </c>
      <c r="H1570" s="70" t="s">
        <v>466</v>
      </c>
      <c r="I1570" s="363">
        <v>3</v>
      </c>
      <c r="J1570" s="64"/>
      <c r="K1570" s="64"/>
      <c r="L1570" s="64"/>
    </row>
    <row r="1571" spans="1:12" x14ac:dyDescent="0.25">
      <c r="A1571" s="71">
        <v>855900</v>
      </c>
      <c r="B1571" s="71">
        <v>2007</v>
      </c>
      <c r="C1571" s="71" t="s">
        <v>616</v>
      </c>
      <c r="D1571" s="71" t="s">
        <v>476</v>
      </c>
      <c r="E1571" s="71" t="s">
        <v>475</v>
      </c>
      <c r="F1571" s="66" t="s">
        <v>307</v>
      </c>
      <c r="G1571" s="70" t="s">
        <v>467</v>
      </c>
      <c r="H1571" s="70" t="s">
        <v>466</v>
      </c>
      <c r="I1571" s="363">
        <v>3</v>
      </c>
      <c r="J1571" s="64"/>
      <c r="K1571" s="64"/>
      <c r="L1571" s="64"/>
    </row>
    <row r="1572" spans="1:12" x14ac:dyDescent="0.25">
      <c r="A1572" s="71">
        <v>855910</v>
      </c>
      <c r="B1572" s="71">
        <v>2007</v>
      </c>
      <c r="C1572" s="71" t="s">
        <v>619</v>
      </c>
      <c r="D1572" s="71" t="s">
        <v>476</v>
      </c>
      <c r="E1572" s="71" t="s">
        <v>475</v>
      </c>
      <c r="F1572" s="66" t="s">
        <v>307</v>
      </c>
      <c r="G1572" s="70" t="s">
        <v>467</v>
      </c>
      <c r="H1572" s="70" t="s">
        <v>466</v>
      </c>
      <c r="I1572" s="363">
        <v>3</v>
      </c>
      <c r="J1572" s="64"/>
      <c r="K1572" s="64"/>
      <c r="L1572" s="64"/>
    </row>
    <row r="1573" spans="1:12" x14ac:dyDescent="0.25">
      <c r="A1573" s="71">
        <v>855920</v>
      </c>
      <c r="B1573" s="71">
        <v>2007</v>
      </c>
      <c r="C1573" s="71" t="s">
        <v>618</v>
      </c>
      <c r="D1573" s="71" t="s">
        <v>476</v>
      </c>
      <c r="E1573" s="71" t="s">
        <v>475</v>
      </c>
      <c r="F1573" s="66" t="s">
        <v>307</v>
      </c>
      <c r="G1573" s="70" t="s">
        <v>467</v>
      </c>
      <c r="H1573" s="70" t="s">
        <v>466</v>
      </c>
      <c r="I1573" s="363">
        <v>3</v>
      </c>
      <c r="J1573" s="64"/>
      <c r="K1573" s="64"/>
      <c r="L1573" s="64"/>
    </row>
    <row r="1574" spans="1:12" x14ac:dyDescent="0.25">
      <c r="A1574" s="71">
        <v>855930</v>
      </c>
      <c r="B1574" s="71">
        <v>2007</v>
      </c>
      <c r="C1574" s="71" t="s">
        <v>617</v>
      </c>
      <c r="D1574" s="71" t="s">
        <v>476</v>
      </c>
      <c r="E1574" s="71" t="s">
        <v>475</v>
      </c>
      <c r="F1574" s="66" t="s">
        <v>307</v>
      </c>
      <c r="G1574" s="70" t="s">
        <v>467</v>
      </c>
      <c r="H1574" s="70" t="s">
        <v>466</v>
      </c>
      <c r="I1574" s="363">
        <v>3</v>
      </c>
      <c r="J1574" s="64"/>
      <c r="K1574" s="64"/>
      <c r="L1574" s="64"/>
    </row>
    <row r="1575" spans="1:12" x14ac:dyDescent="0.25">
      <c r="A1575" s="71">
        <v>855990</v>
      </c>
      <c r="B1575" s="71">
        <v>2007</v>
      </c>
      <c r="C1575" s="71" t="s">
        <v>616</v>
      </c>
      <c r="D1575" s="71" t="s">
        <v>476</v>
      </c>
      <c r="E1575" s="71" t="s">
        <v>475</v>
      </c>
      <c r="F1575" s="66" t="s">
        <v>307</v>
      </c>
      <c r="G1575" s="70" t="s">
        <v>467</v>
      </c>
      <c r="H1575" s="70" t="s">
        <v>466</v>
      </c>
      <c r="I1575" s="363">
        <v>3</v>
      </c>
      <c r="J1575" s="64"/>
      <c r="K1575" s="64"/>
      <c r="L1575" s="64"/>
    </row>
    <row r="1576" spans="1:12" x14ac:dyDescent="0.25">
      <c r="A1576" s="71">
        <v>856000</v>
      </c>
      <c r="B1576" s="71">
        <v>2007</v>
      </c>
      <c r="C1576" s="71" t="s">
        <v>615</v>
      </c>
      <c r="D1576" s="71" t="s">
        <v>476</v>
      </c>
      <c r="E1576" s="71" t="s">
        <v>475</v>
      </c>
      <c r="F1576" s="66" t="s">
        <v>307</v>
      </c>
      <c r="G1576" s="70" t="s">
        <v>467</v>
      </c>
      <c r="H1576" s="70" t="s">
        <v>466</v>
      </c>
      <c r="I1576" s="363">
        <v>3</v>
      </c>
      <c r="J1576" s="64"/>
      <c r="K1576" s="64"/>
      <c r="L1576" s="64"/>
    </row>
    <row r="1577" spans="1:12" x14ac:dyDescent="0.25">
      <c r="A1577" s="71">
        <v>856001</v>
      </c>
      <c r="B1577" s="71">
        <v>2007</v>
      </c>
      <c r="C1577" s="71" t="s">
        <v>614</v>
      </c>
      <c r="D1577" s="71" t="s">
        <v>476</v>
      </c>
      <c r="E1577" s="71" t="s">
        <v>475</v>
      </c>
      <c r="F1577" s="66" t="s">
        <v>307</v>
      </c>
      <c r="G1577" s="70" t="s">
        <v>467</v>
      </c>
      <c r="H1577" s="70" t="s">
        <v>466</v>
      </c>
      <c r="I1577" s="363">
        <v>3</v>
      </c>
      <c r="J1577" s="64"/>
      <c r="K1577" s="64"/>
      <c r="L1577" s="64"/>
    </row>
    <row r="1578" spans="1:12" x14ac:dyDescent="0.25">
      <c r="A1578" s="71">
        <v>856009</v>
      </c>
      <c r="B1578" s="71">
        <v>2007</v>
      </c>
      <c r="C1578" s="71" t="s">
        <v>613</v>
      </c>
      <c r="D1578" s="71" t="s">
        <v>476</v>
      </c>
      <c r="E1578" s="71" t="s">
        <v>475</v>
      </c>
      <c r="F1578" s="66" t="s">
        <v>307</v>
      </c>
      <c r="G1578" s="70" t="s">
        <v>467</v>
      </c>
      <c r="H1578" s="70" t="s">
        <v>466</v>
      </c>
      <c r="I1578" s="363">
        <v>3</v>
      </c>
      <c r="J1578" s="64"/>
      <c r="K1578" s="64"/>
      <c r="L1578" s="64"/>
    </row>
    <row r="1579" spans="1:12" x14ac:dyDescent="0.25">
      <c r="A1579" s="71">
        <v>860000</v>
      </c>
      <c r="B1579" s="71">
        <v>2007</v>
      </c>
      <c r="C1579" s="71" t="s">
        <v>612</v>
      </c>
      <c r="D1579" s="71" t="s">
        <v>476</v>
      </c>
      <c r="E1579" s="71" t="s">
        <v>475</v>
      </c>
      <c r="F1579" s="66" t="s">
        <v>307</v>
      </c>
      <c r="G1579" s="70" t="s">
        <v>467</v>
      </c>
      <c r="H1579" s="70" t="s">
        <v>466</v>
      </c>
      <c r="I1579" s="363">
        <v>3</v>
      </c>
      <c r="J1579" s="64"/>
      <c r="K1579" s="64"/>
      <c r="L1579" s="64"/>
    </row>
    <row r="1580" spans="1:12" x14ac:dyDescent="0.25">
      <c r="A1580" s="71">
        <v>861000</v>
      </c>
      <c r="B1580" s="71">
        <v>2007</v>
      </c>
      <c r="C1580" s="71" t="s">
        <v>611</v>
      </c>
      <c r="D1580" s="71" t="s">
        <v>476</v>
      </c>
      <c r="E1580" s="71" t="s">
        <v>475</v>
      </c>
      <c r="F1580" s="66" t="s">
        <v>307</v>
      </c>
      <c r="G1580" s="70" t="s">
        <v>467</v>
      </c>
      <c r="H1580" s="70" t="s">
        <v>466</v>
      </c>
      <c r="I1580" s="363">
        <v>3</v>
      </c>
      <c r="J1580" s="64"/>
      <c r="K1580" s="64"/>
      <c r="L1580" s="64"/>
    </row>
    <row r="1581" spans="1:12" x14ac:dyDescent="0.25">
      <c r="A1581" s="71">
        <v>861010</v>
      </c>
      <c r="B1581" s="71">
        <v>2007</v>
      </c>
      <c r="C1581" s="71" t="s">
        <v>610</v>
      </c>
      <c r="D1581" s="71" t="s">
        <v>476</v>
      </c>
      <c r="E1581" s="71" t="s">
        <v>475</v>
      </c>
      <c r="F1581" s="66" t="s">
        <v>307</v>
      </c>
      <c r="G1581" s="70" t="s">
        <v>467</v>
      </c>
      <c r="H1581" s="70" t="s">
        <v>466</v>
      </c>
      <c r="I1581" s="363">
        <v>3</v>
      </c>
      <c r="J1581" s="64"/>
      <c r="K1581" s="64"/>
      <c r="L1581" s="64"/>
    </row>
    <row r="1582" spans="1:12" x14ac:dyDescent="0.25">
      <c r="A1582" s="71">
        <v>861020</v>
      </c>
      <c r="B1582" s="71">
        <v>2007</v>
      </c>
      <c r="C1582" s="71" t="s">
        <v>609</v>
      </c>
      <c r="D1582" s="71" t="s">
        <v>476</v>
      </c>
      <c r="E1582" s="71" t="s">
        <v>475</v>
      </c>
      <c r="F1582" s="66" t="s">
        <v>307</v>
      </c>
      <c r="G1582" s="70" t="s">
        <v>467</v>
      </c>
      <c r="H1582" s="70" t="s">
        <v>466</v>
      </c>
      <c r="I1582" s="363">
        <v>3</v>
      </c>
      <c r="J1582" s="64"/>
      <c r="K1582" s="64"/>
      <c r="L1582" s="64"/>
    </row>
    <row r="1583" spans="1:12" x14ac:dyDescent="0.25">
      <c r="A1583" s="71">
        <v>861030</v>
      </c>
      <c r="B1583" s="71">
        <v>2007</v>
      </c>
      <c r="C1583" s="71" t="s">
        <v>608</v>
      </c>
      <c r="D1583" s="71" t="s">
        <v>476</v>
      </c>
      <c r="E1583" s="71" t="s">
        <v>475</v>
      </c>
      <c r="F1583" s="66" t="s">
        <v>307</v>
      </c>
      <c r="G1583" s="70" t="s">
        <v>467</v>
      </c>
      <c r="H1583" s="70" t="s">
        <v>466</v>
      </c>
      <c r="I1583" s="363">
        <v>3</v>
      </c>
      <c r="J1583" s="64"/>
      <c r="K1583" s="64"/>
      <c r="L1583" s="64"/>
    </row>
    <row r="1584" spans="1:12" x14ac:dyDescent="0.25">
      <c r="A1584" s="71">
        <v>861040</v>
      </c>
      <c r="B1584" s="71">
        <v>2007</v>
      </c>
      <c r="C1584" s="71" t="s">
        <v>607</v>
      </c>
      <c r="D1584" s="71" t="s">
        <v>476</v>
      </c>
      <c r="E1584" s="71" t="s">
        <v>475</v>
      </c>
      <c r="F1584" s="66" t="s">
        <v>307</v>
      </c>
      <c r="G1584" s="70" t="s">
        <v>467</v>
      </c>
      <c r="H1584" s="70" t="s">
        <v>466</v>
      </c>
      <c r="I1584" s="363">
        <v>3</v>
      </c>
      <c r="J1584" s="64"/>
      <c r="K1584" s="64"/>
      <c r="L1584" s="64"/>
    </row>
    <row r="1585" spans="1:12" x14ac:dyDescent="0.25">
      <c r="A1585" s="71">
        <v>862000</v>
      </c>
      <c r="B1585" s="71">
        <v>2007</v>
      </c>
      <c r="C1585" s="71" t="s">
        <v>606</v>
      </c>
      <c r="D1585" s="71" t="s">
        <v>476</v>
      </c>
      <c r="E1585" s="71" t="s">
        <v>475</v>
      </c>
      <c r="F1585" s="66" t="s">
        <v>307</v>
      </c>
      <c r="G1585" s="70" t="s">
        <v>467</v>
      </c>
      <c r="H1585" s="70" t="s">
        <v>466</v>
      </c>
      <c r="I1585" s="363">
        <v>3</v>
      </c>
      <c r="J1585" s="64"/>
      <c r="K1585" s="64"/>
      <c r="L1585" s="64"/>
    </row>
    <row r="1586" spans="1:12" x14ac:dyDescent="0.25">
      <c r="A1586" s="71">
        <v>862100</v>
      </c>
      <c r="B1586" s="71">
        <v>2007</v>
      </c>
      <c r="C1586" s="71" t="s">
        <v>605</v>
      </c>
      <c r="D1586" s="71" t="s">
        <v>476</v>
      </c>
      <c r="E1586" s="71" t="s">
        <v>475</v>
      </c>
      <c r="F1586" s="66" t="s">
        <v>307</v>
      </c>
      <c r="G1586" s="70" t="s">
        <v>467</v>
      </c>
      <c r="H1586" s="70" t="s">
        <v>466</v>
      </c>
      <c r="I1586" s="363">
        <v>3</v>
      </c>
      <c r="J1586" s="64"/>
      <c r="K1586" s="64"/>
      <c r="L1586" s="64"/>
    </row>
    <row r="1587" spans="1:12" x14ac:dyDescent="0.25">
      <c r="A1587" s="71">
        <v>862200</v>
      </c>
      <c r="B1587" s="71">
        <v>2007</v>
      </c>
      <c r="C1587" s="71" t="s">
        <v>604</v>
      </c>
      <c r="D1587" s="71" t="s">
        <v>476</v>
      </c>
      <c r="E1587" s="71" t="s">
        <v>475</v>
      </c>
      <c r="F1587" s="66" t="s">
        <v>307</v>
      </c>
      <c r="G1587" s="70" t="s">
        <v>467</v>
      </c>
      <c r="H1587" s="70" t="s">
        <v>466</v>
      </c>
      <c r="I1587" s="363">
        <v>3</v>
      </c>
      <c r="J1587" s="64"/>
      <c r="K1587" s="64"/>
      <c r="L1587" s="64"/>
    </row>
    <row r="1588" spans="1:12" x14ac:dyDescent="0.25">
      <c r="A1588" s="71">
        <v>862201</v>
      </c>
      <c r="B1588" s="71">
        <v>2007</v>
      </c>
      <c r="C1588" s="71" t="s">
        <v>603</v>
      </c>
      <c r="D1588" s="71" t="s">
        <v>476</v>
      </c>
      <c r="E1588" s="71" t="s">
        <v>475</v>
      </c>
      <c r="F1588" s="66" t="s">
        <v>307</v>
      </c>
      <c r="G1588" s="70" t="s">
        <v>467</v>
      </c>
      <c r="H1588" s="70" t="s">
        <v>466</v>
      </c>
      <c r="I1588" s="363">
        <v>3</v>
      </c>
      <c r="J1588" s="64"/>
      <c r="K1588" s="64"/>
      <c r="L1588" s="64"/>
    </row>
    <row r="1589" spans="1:12" x14ac:dyDescent="0.25">
      <c r="A1589" s="71">
        <v>862202</v>
      </c>
      <c r="B1589" s="71">
        <v>2007</v>
      </c>
      <c r="C1589" s="71" t="s">
        <v>602</v>
      </c>
      <c r="D1589" s="71" t="s">
        <v>476</v>
      </c>
      <c r="E1589" s="71" t="s">
        <v>475</v>
      </c>
      <c r="F1589" s="66" t="s">
        <v>307</v>
      </c>
      <c r="G1589" s="70" t="s">
        <v>467</v>
      </c>
      <c r="H1589" s="70" t="s">
        <v>466</v>
      </c>
      <c r="I1589" s="363">
        <v>3</v>
      </c>
      <c r="J1589" s="64"/>
      <c r="K1589" s="64"/>
      <c r="L1589" s="64"/>
    </row>
    <row r="1590" spans="1:12" x14ac:dyDescent="0.25">
      <c r="A1590" s="71">
        <v>862203</v>
      </c>
      <c r="B1590" s="71">
        <v>2007</v>
      </c>
      <c r="C1590" s="71" t="s">
        <v>601</v>
      </c>
      <c r="D1590" s="71" t="s">
        <v>476</v>
      </c>
      <c r="E1590" s="71" t="s">
        <v>475</v>
      </c>
      <c r="F1590" s="66" t="s">
        <v>307</v>
      </c>
      <c r="G1590" s="70" t="s">
        <v>467</v>
      </c>
      <c r="H1590" s="70" t="s">
        <v>466</v>
      </c>
      <c r="I1590" s="363">
        <v>3</v>
      </c>
      <c r="J1590" s="64"/>
      <c r="K1590" s="64"/>
      <c r="L1590" s="64"/>
    </row>
    <row r="1591" spans="1:12" x14ac:dyDescent="0.25">
      <c r="A1591" s="71">
        <v>862204</v>
      </c>
      <c r="B1591" s="71">
        <v>2007</v>
      </c>
      <c r="C1591" s="71" t="s">
        <v>600</v>
      </c>
      <c r="D1591" s="71" t="s">
        <v>476</v>
      </c>
      <c r="E1591" s="71" t="s">
        <v>475</v>
      </c>
      <c r="F1591" s="66" t="s">
        <v>307</v>
      </c>
      <c r="G1591" s="70" t="s">
        <v>467</v>
      </c>
      <c r="H1591" s="70" t="s">
        <v>466</v>
      </c>
      <c r="I1591" s="363">
        <v>3</v>
      </c>
      <c r="J1591" s="64"/>
      <c r="K1591" s="64"/>
      <c r="L1591" s="64"/>
    </row>
    <row r="1592" spans="1:12" x14ac:dyDescent="0.25">
      <c r="A1592" s="71">
        <v>862205</v>
      </c>
      <c r="B1592" s="71">
        <v>2007</v>
      </c>
      <c r="C1592" s="71" t="s">
        <v>599</v>
      </c>
      <c r="D1592" s="71" t="s">
        <v>476</v>
      </c>
      <c r="E1592" s="71" t="s">
        <v>475</v>
      </c>
      <c r="F1592" s="66" t="s">
        <v>307</v>
      </c>
      <c r="G1592" s="70" t="s">
        <v>467</v>
      </c>
      <c r="H1592" s="70" t="s">
        <v>466</v>
      </c>
      <c r="I1592" s="363">
        <v>3</v>
      </c>
      <c r="J1592" s="64"/>
      <c r="K1592" s="64"/>
      <c r="L1592" s="64"/>
    </row>
    <row r="1593" spans="1:12" x14ac:dyDescent="0.25">
      <c r="A1593" s="71">
        <v>862206</v>
      </c>
      <c r="B1593" s="71">
        <v>2007</v>
      </c>
      <c r="C1593" s="71" t="s">
        <v>598</v>
      </c>
      <c r="D1593" s="71" t="s">
        <v>476</v>
      </c>
      <c r="E1593" s="71" t="s">
        <v>475</v>
      </c>
      <c r="F1593" s="66" t="s">
        <v>307</v>
      </c>
      <c r="G1593" s="70" t="s">
        <v>467</v>
      </c>
      <c r="H1593" s="70" t="s">
        <v>466</v>
      </c>
      <c r="I1593" s="363">
        <v>3</v>
      </c>
      <c r="J1593" s="64"/>
      <c r="K1593" s="64"/>
      <c r="L1593" s="64"/>
    </row>
    <row r="1594" spans="1:12" x14ac:dyDescent="0.25">
      <c r="A1594" s="71">
        <v>862209</v>
      </c>
      <c r="B1594" s="71">
        <v>2007</v>
      </c>
      <c r="C1594" s="71" t="s">
        <v>597</v>
      </c>
      <c r="D1594" s="71" t="s">
        <v>476</v>
      </c>
      <c r="E1594" s="71" t="s">
        <v>475</v>
      </c>
      <c r="F1594" s="66" t="s">
        <v>307</v>
      </c>
      <c r="G1594" s="70" t="s">
        <v>467</v>
      </c>
      <c r="H1594" s="70" t="s">
        <v>466</v>
      </c>
      <c r="I1594" s="363">
        <v>3</v>
      </c>
      <c r="J1594" s="64"/>
      <c r="K1594" s="64"/>
      <c r="L1594" s="64"/>
    </row>
    <row r="1595" spans="1:12" x14ac:dyDescent="0.25">
      <c r="A1595" s="71">
        <v>862300</v>
      </c>
      <c r="B1595" s="71">
        <v>2007</v>
      </c>
      <c r="C1595" s="71" t="s">
        <v>596</v>
      </c>
      <c r="D1595" s="71" t="s">
        <v>476</v>
      </c>
      <c r="E1595" s="71" t="s">
        <v>475</v>
      </c>
      <c r="F1595" s="66" t="s">
        <v>307</v>
      </c>
      <c r="G1595" s="70" t="s">
        <v>467</v>
      </c>
      <c r="H1595" s="70" t="s">
        <v>466</v>
      </c>
      <c r="I1595" s="363">
        <v>3</v>
      </c>
      <c r="J1595" s="64"/>
      <c r="K1595" s="64"/>
      <c r="L1595" s="64"/>
    </row>
    <row r="1596" spans="1:12" x14ac:dyDescent="0.25">
      <c r="A1596" s="71">
        <v>869000</v>
      </c>
      <c r="B1596" s="71">
        <v>2007</v>
      </c>
      <c r="C1596" s="71" t="s">
        <v>595</v>
      </c>
      <c r="D1596" s="71" t="s">
        <v>476</v>
      </c>
      <c r="E1596" s="71" t="s">
        <v>475</v>
      </c>
      <c r="F1596" s="66" t="s">
        <v>307</v>
      </c>
      <c r="G1596" s="70" t="s">
        <v>467</v>
      </c>
      <c r="H1596" s="70" t="s">
        <v>466</v>
      </c>
      <c r="I1596" s="363">
        <v>3</v>
      </c>
      <c r="J1596" s="64"/>
      <c r="K1596" s="64"/>
      <c r="L1596" s="64"/>
    </row>
    <row r="1597" spans="1:12" x14ac:dyDescent="0.25">
      <c r="A1597" s="71">
        <v>869010</v>
      </c>
      <c r="B1597" s="71">
        <v>2007</v>
      </c>
      <c r="C1597" s="71" t="s">
        <v>594</v>
      </c>
      <c r="D1597" s="71" t="s">
        <v>476</v>
      </c>
      <c r="E1597" s="71" t="s">
        <v>475</v>
      </c>
      <c r="F1597" s="66" t="s">
        <v>307</v>
      </c>
      <c r="G1597" s="70" t="s">
        <v>467</v>
      </c>
      <c r="H1597" s="70" t="s">
        <v>466</v>
      </c>
      <c r="I1597" s="363">
        <v>3</v>
      </c>
      <c r="J1597" s="64"/>
      <c r="K1597" s="64"/>
      <c r="L1597" s="64"/>
    </row>
    <row r="1598" spans="1:12" x14ac:dyDescent="0.25">
      <c r="A1598" s="71">
        <v>869011</v>
      </c>
      <c r="B1598" s="71">
        <v>2007</v>
      </c>
      <c r="C1598" s="71" t="s">
        <v>593</v>
      </c>
      <c r="D1598" s="71" t="s">
        <v>476</v>
      </c>
      <c r="E1598" s="71" t="s">
        <v>475</v>
      </c>
      <c r="F1598" s="66" t="s">
        <v>307</v>
      </c>
      <c r="G1598" s="70" t="s">
        <v>467</v>
      </c>
      <c r="H1598" s="70" t="s">
        <v>466</v>
      </c>
      <c r="I1598" s="363">
        <v>3</v>
      </c>
      <c r="J1598" s="64"/>
      <c r="K1598" s="64"/>
      <c r="L1598" s="64"/>
    </row>
    <row r="1599" spans="1:12" x14ac:dyDescent="0.25">
      <c r="A1599" s="71">
        <v>869012</v>
      </c>
      <c r="B1599" s="71">
        <v>2007</v>
      </c>
      <c r="C1599" s="71" t="s">
        <v>592</v>
      </c>
      <c r="D1599" s="71" t="s">
        <v>476</v>
      </c>
      <c r="E1599" s="71" t="s">
        <v>475</v>
      </c>
      <c r="F1599" s="66" t="s">
        <v>307</v>
      </c>
      <c r="G1599" s="70" t="s">
        <v>467</v>
      </c>
      <c r="H1599" s="70" t="s">
        <v>466</v>
      </c>
      <c r="I1599" s="363">
        <v>3</v>
      </c>
      <c r="J1599" s="64"/>
      <c r="K1599" s="64"/>
      <c r="L1599" s="64"/>
    </row>
    <row r="1600" spans="1:12" x14ac:dyDescent="0.25">
      <c r="A1600" s="71">
        <v>869013</v>
      </c>
      <c r="B1600" s="71">
        <v>2007</v>
      </c>
      <c r="C1600" s="71" t="s">
        <v>591</v>
      </c>
      <c r="D1600" s="71" t="s">
        <v>476</v>
      </c>
      <c r="E1600" s="71" t="s">
        <v>475</v>
      </c>
      <c r="F1600" s="66" t="s">
        <v>307</v>
      </c>
      <c r="G1600" s="70" t="s">
        <v>467</v>
      </c>
      <c r="H1600" s="70" t="s">
        <v>466</v>
      </c>
      <c r="I1600" s="363">
        <v>3</v>
      </c>
      <c r="J1600" s="64"/>
      <c r="K1600" s="64"/>
      <c r="L1600" s="64"/>
    </row>
    <row r="1601" spans="1:12" x14ac:dyDescent="0.25">
      <c r="A1601" s="71">
        <v>869020</v>
      </c>
      <c r="B1601" s="71">
        <v>2007</v>
      </c>
      <c r="C1601" s="71" t="s">
        <v>590</v>
      </c>
      <c r="D1601" s="71" t="s">
        <v>476</v>
      </c>
      <c r="E1601" s="71" t="s">
        <v>475</v>
      </c>
      <c r="F1601" s="66" t="s">
        <v>307</v>
      </c>
      <c r="G1601" s="70" t="s">
        <v>467</v>
      </c>
      <c r="H1601" s="70" t="s">
        <v>466</v>
      </c>
      <c r="I1601" s="363">
        <v>3</v>
      </c>
      <c r="J1601" s="64"/>
      <c r="K1601" s="64"/>
      <c r="L1601" s="64"/>
    </row>
    <row r="1602" spans="1:12" x14ac:dyDescent="0.25">
      <c r="A1602" s="71">
        <v>869021</v>
      </c>
      <c r="B1602" s="71">
        <v>2007</v>
      </c>
      <c r="C1602" s="71" t="s">
        <v>589</v>
      </c>
      <c r="D1602" s="71" t="s">
        <v>476</v>
      </c>
      <c r="E1602" s="71" t="s">
        <v>475</v>
      </c>
      <c r="F1602" s="66" t="s">
        <v>307</v>
      </c>
      <c r="G1602" s="70" t="s">
        <v>467</v>
      </c>
      <c r="H1602" s="70" t="s">
        <v>466</v>
      </c>
      <c r="I1602" s="363">
        <v>3</v>
      </c>
      <c r="J1602" s="64"/>
      <c r="K1602" s="64"/>
      <c r="L1602" s="64"/>
    </row>
    <row r="1603" spans="1:12" x14ac:dyDescent="0.25">
      <c r="A1603" s="71">
        <v>869029</v>
      </c>
      <c r="B1603" s="71">
        <v>2007</v>
      </c>
      <c r="C1603" s="71" t="s">
        <v>588</v>
      </c>
      <c r="D1603" s="71" t="s">
        <v>476</v>
      </c>
      <c r="E1603" s="71" t="s">
        <v>475</v>
      </c>
      <c r="F1603" s="66" t="s">
        <v>307</v>
      </c>
      <c r="G1603" s="70" t="s">
        <v>467</v>
      </c>
      <c r="H1603" s="70" t="s">
        <v>466</v>
      </c>
      <c r="I1603" s="363">
        <v>3</v>
      </c>
      <c r="J1603" s="64"/>
      <c r="K1603" s="64"/>
      <c r="L1603" s="64"/>
    </row>
    <row r="1604" spans="1:12" x14ac:dyDescent="0.25">
      <c r="A1604" s="71">
        <v>869030</v>
      </c>
      <c r="B1604" s="71">
        <v>2007</v>
      </c>
      <c r="C1604" s="71" t="s">
        <v>587</v>
      </c>
      <c r="D1604" s="71" t="s">
        <v>476</v>
      </c>
      <c r="E1604" s="71" t="s">
        <v>475</v>
      </c>
      <c r="F1604" s="66" t="s">
        <v>307</v>
      </c>
      <c r="G1604" s="70" t="s">
        <v>467</v>
      </c>
      <c r="H1604" s="70" t="s">
        <v>466</v>
      </c>
      <c r="I1604" s="363">
        <v>3</v>
      </c>
      <c r="J1604" s="64"/>
      <c r="K1604" s="64"/>
      <c r="L1604" s="64"/>
    </row>
    <row r="1605" spans="1:12" x14ac:dyDescent="0.25">
      <c r="A1605" s="71">
        <v>869040</v>
      </c>
      <c r="B1605" s="71">
        <v>2007</v>
      </c>
      <c r="C1605" s="71" t="s">
        <v>585</v>
      </c>
      <c r="D1605" s="71" t="s">
        <v>476</v>
      </c>
      <c r="E1605" s="71" t="s">
        <v>475</v>
      </c>
      <c r="F1605" s="66" t="s">
        <v>307</v>
      </c>
      <c r="G1605" s="70" t="s">
        <v>467</v>
      </c>
      <c r="H1605" s="70" t="s">
        <v>466</v>
      </c>
      <c r="I1605" s="363">
        <v>3</v>
      </c>
      <c r="J1605" s="64"/>
      <c r="K1605" s="64"/>
      <c r="L1605" s="64"/>
    </row>
    <row r="1606" spans="1:12" x14ac:dyDescent="0.25">
      <c r="A1606" s="71">
        <v>869041</v>
      </c>
      <c r="B1606" s="71">
        <v>2007</v>
      </c>
      <c r="C1606" s="71" t="s">
        <v>586</v>
      </c>
      <c r="D1606" s="71" t="s">
        <v>476</v>
      </c>
      <c r="E1606" s="71" t="s">
        <v>475</v>
      </c>
      <c r="F1606" s="66" t="s">
        <v>307</v>
      </c>
      <c r="G1606" s="70" t="s">
        <v>467</v>
      </c>
      <c r="H1606" s="70" t="s">
        <v>466</v>
      </c>
      <c r="I1606" s="363">
        <v>3</v>
      </c>
      <c r="J1606" s="64"/>
      <c r="K1606" s="64"/>
      <c r="L1606" s="64"/>
    </row>
    <row r="1607" spans="1:12" x14ac:dyDescent="0.25">
      <c r="A1607" s="71">
        <v>869042</v>
      </c>
      <c r="B1607" s="71">
        <v>2007</v>
      </c>
      <c r="C1607" s="71" t="s">
        <v>585</v>
      </c>
      <c r="D1607" s="71" t="s">
        <v>476</v>
      </c>
      <c r="E1607" s="71" t="s">
        <v>475</v>
      </c>
      <c r="F1607" s="66" t="s">
        <v>307</v>
      </c>
      <c r="G1607" s="70" t="s">
        <v>467</v>
      </c>
      <c r="H1607" s="70" t="s">
        <v>466</v>
      </c>
      <c r="I1607" s="363">
        <v>3</v>
      </c>
      <c r="J1607" s="64"/>
      <c r="K1607" s="64"/>
      <c r="L1607" s="64"/>
    </row>
    <row r="1608" spans="1:12" x14ac:dyDescent="0.25">
      <c r="A1608" s="71">
        <v>870000</v>
      </c>
      <c r="B1608" s="71">
        <v>2007</v>
      </c>
      <c r="C1608" s="71" t="s">
        <v>584</v>
      </c>
      <c r="D1608" s="71" t="s">
        <v>476</v>
      </c>
      <c r="E1608" s="71" t="s">
        <v>475</v>
      </c>
      <c r="F1608" s="66" t="s">
        <v>307</v>
      </c>
      <c r="G1608" s="70" t="s">
        <v>467</v>
      </c>
      <c r="H1608" s="70" t="s">
        <v>466</v>
      </c>
      <c r="I1608" s="363">
        <v>3</v>
      </c>
      <c r="J1608" s="64"/>
      <c r="K1608" s="64"/>
      <c r="L1608" s="64"/>
    </row>
    <row r="1609" spans="1:12" x14ac:dyDescent="0.25">
      <c r="A1609" s="71">
        <v>871000</v>
      </c>
      <c r="B1609" s="71">
        <v>2007</v>
      </c>
      <c r="C1609" s="71" t="s">
        <v>583</v>
      </c>
      <c r="D1609" s="71" t="s">
        <v>476</v>
      </c>
      <c r="E1609" s="71" t="s">
        <v>475</v>
      </c>
      <c r="F1609" s="66" t="s">
        <v>307</v>
      </c>
      <c r="G1609" s="70" t="s">
        <v>467</v>
      </c>
      <c r="H1609" s="70" t="s">
        <v>466</v>
      </c>
      <c r="I1609" s="363">
        <v>3</v>
      </c>
      <c r="J1609" s="64"/>
      <c r="K1609" s="64"/>
      <c r="L1609" s="64"/>
    </row>
    <row r="1610" spans="1:12" x14ac:dyDescent="0.25">
      <c r="A1610" s="71">
        <v>872000</v>
      </c>
      <c r="B1610" s="71">
        <v>2007</v>
      </c>
      <c r="C1610" s="71" t="s">
        <v>582</v>
      </c>
      <c r="D1610" s="71" t="s">
        <v>476</v>
      </c>
      <c r="E1610" s="71" t="s">
        <v>475</v>
      </c>
      <c r="F1610" s="66" t="s">
        <v>307</v>
      </c>
      <c r="G1610" s="70" t="s">
        <v>467</v>
      </c>
      <c r="H1610" s="70" t="s">
        <v>466</v>
      </c>
      <c r="I1610" s="363">
        <v>3</v>
      </c>
      <c r="J1610" s="64"/>
      <c r="K1610" s="64"/>
      <c r="L1610" s="64"/>
    </row>
    <row r="1611" spans="1:12" x14ac:dyDescent="0.25">
      <c r="A1611" s="71">
        <v>873000</v>
      </c>
      <c r="B1611" s="71">
        <v>2007</v>
      </c>
      <c r="C1611" s="71" t="s">
        <v>581</v>
      </c>
      <c r="D1611" s="71" t="s">
        <v>476</v>
      </c>
      <c r="E1611" s="71" t="s">
        <v>475</v>
      </c>
      <c r="F1611" s="66" t="s">
        <v>307</v>
      </c>
      <c r="G1611" s="70" t="s">
        <v>467</v>
      </c>
      <c r="H1611" s="70" t="s">
        <v>466</v>
      </c>
      <c r="I1611" s="363">
        <v>3</v>
      </c>
      <c r="J1611" s="64"/>
      <c r="K1611" s="64"/>
      <c r="L1611" s="64"/>
    </row>
    <row r="1612" spans="1:12" x14ac:dyDescent="0.25">
      <c r="A1612" s="71">
        <v>879000</v>
      </c>
      <c r="B1612" s="71">
        <v>2007</v>
      </c>
      <c r="C1612" s="71" t="s">
        <v>580</v>
      </c>
      <c r="D1612" s="71" t="s">
        <v>476</v>
      </c>
      <c r="E1612" s="71" t="s">
        <v>475</v>
      </c>
      <c r="F1612" s="66" t="s">
        <v>307</v>
      </c>
      <c r="G1612" s="70" t="s">
        <v>467</v>
      </c>
      <c r="H1612" s="70" t="s">
        <v>466</v>
      </c>
      <c r="I1612" s="363">
        <v>3</v>
      </c>
      <c r="J1612" s="64"/>
      <c r="K1612" s="64"/>
      <c r="L1612" s="64"/>
    </row>
    <row r="1613" spans="1:12" x14ac:dyDescent="0.25">
      <c r="A1613" s="71">
        <v>880000</v>
      </c>
      <c r="B1613" s="71">
        <v>2007</v>
      </c>
      <c r="C1613" s="71" t="s">
        <v>579</v>
      </c>
      <c r="D1613" s="71" t="s">
        <v>476</v>
      </c>
      <c r="E1613" s="71" t="s">
        <v>475</v>
      </c>
      <c r="F1613" s="66" t="s">
        <v>307</v>
      </c>
      <c r="G1613" s="70" t="s">
        <v>467</v>
      </c>
      <c r="H1613" s="70" t="s">
        <v>466</v>
      </c>
      <c r="I1613" s="363">
        <v>3</v>
      </c>
      <c r="J1613" s="64"/>
      <c r="K1613" s="64"/>
      <c r="L1613" s="64"/>
    </row>
    <row r="1614" spans="1:12" x14ac:dyDescent="0.25">
      <c r="A1614" s="71">
        <v>881000</v>
      </c>
      <c r="B1614" s="71">
        <v>2007</v>
      </c>
      <c r="C1614" s="71" t="s">
        <v>578</v>
      </c>
      <c r="D1614" s="71" t="s">
        <v>476</v>
      </c>
      <c r="E1614" s="71" t="s">
        <v>475</v>
      </c>
      <c r="F1614" s="66" t="s">
        <v>307</v>
      </c>
      <c r="G1614" s="70" t="s">
        <v>467</v>
      </c>
      <c r="H1614" s="70" t="s">
        <v>466</v>
      </c>
      <c r="I1614" s="363">
        <v>3</v>
      </c>
      <c r="J1614" s="64"/>
      <c r="K1614" s="64"/>
      <c r="L1614" s="64"/>
    </row>
    <row r="1615" spans="1:12" x14ac:dyDescent="0.25">
      <c r="A1615" s="71">
        <v>889000</v>
      </c>
      <c r="B1615" s="71">
        <v>2007</v>
      </c>
      <c r="C1615" s="71" t="s">
        <v>577</v>
      </c>
      <c r="D1615" s="71" t="s">
        <v>476</v>
      </c>
      <c r="E1615" s="71" t="s">
        <v>475</v>
      </c>
      <c r="F1615" s="66" t="s">
        <v>307</v>
      </c>
      <c r="G1615" s="70" t="s">
        <v>467</v>
      </c>
      <c r="H1615" s="70" t="s">
        <v>466</v>
      </c>
      <c r="I1615" s="363">
        <v>3</v>
      </c>
      <c r="J1615" s="64"/>
      <c r="K1615" s="64"/>
      <c r="L1615" s="64"/>
    </row>
    <row r="1616" spans="1:12" x14ac:dyDescent="0.25">
      <c r="A1616" s="71">
        <v>889100</v>
      </c>
      <c r="B1616" s="71">
        <v>2007</v>
      </c>
      <c r="C1616" s="71" t="s">
        <v>576</v>
      </c>
      <c r="D1616" s="71" t="s">
        <v>476</v>
      </c>
      <c r="E1616" s="71" t="s">
        <v>475</v>
      </c>
      <c r="F1616" s="66" t="s">
        <v>307</v>
      </c>
      <c r="G1616" s="70" t="s">
        <v>467</v>
      </c>
      <c r="H1616" s="70" t="s">
        <v>466</v>
      </c>
      <c r="I1616" s="363">
        <v>3</v>
      </c>
      <c r="J1616" s="64"/>
      <c r="K1616" s="64"/>
      <c r="L1616" s="64"/>
    </row>
    <row r="1617" spans="1:12" x14ac:dyDescent="0.25">
      <c r="A1617" s="71">
        <v>889900</v>
      </c>
      <c r="B1617" s="71">
        <v>2007</v>
      </c>
      <c r="C1617" s="71" t="s">
        <v>575</v>
      </c>
      <c r="D1617" s="71" t="s">
        <v>476</v>
      </c>
      <c r="E1617" s="71" t="s">
        <v>475</v>
      </c>
      <c r="F1617" s="66" t="s">
        <v>307</v>
      </c>
      <c r="G1617" s="70" t="s">
        <v>467</v>
      </c>
      <c r="H1617" s="70" t="s">
        <v>466</v>
      </c>
      <c r="I1617" s="363">
        <v>3</v>
      </c>
      <c r="J1617" s="64"/>
      <c r="K1617" s="64"/>
      <c r="L1617" s="64"/>
    </row>
    <row r="1618" spans="1:12" x14ac:dyDescent="0.25">
      <c r="A1618" s="71">
        <v>900000</v>
      </c>
      <c r="B1618" s="71">
        <v>2007</v>
      </c>
      <c r="C1618" s="71" t="s">
        <v>574</v>
      </c>
      <c r="D1618" s="71" t="s">
        <v>476</v>
      </c>
      <c r="E1618" s="71" t="s">
        <v>475</v>
      </c>
      <c r="F1618" s="66" t="s">
        <v>307</v>
      </c>
      <c r="G1618" s="70" t="s">
        <v>467</v>
      </c>
      <c r="H1618" s="70" t="s">
        <v>466</v>
      </c>
      <c r="I1618" s="363">
        <v>3</v>
      </c>
      <c r="J1618" s="64"/>
      <c r="K1618" s="64"/>
      <c r="L1618" s="64"/>
    </row>
    <row r="1619" spans="1:12" x14ac:dyDescent="0.25">
      <c r="A1619" s="71">
        <v>900100</v>
      </c>
      <c r="B1619" s="71">
        <v>2007</v>
      </c>
      <c r="C1619" s="71" t="s">
        <v>573</v>
      </c>
      <c r="D1619" s="71" t="s">
        <v>476</v>
      </c>
      <c r="E1619" s="71" t="s">
        <v>475</v>
      </c>
      <c r="F1619" s="66" t="s">
        <v>307</v>
      </c>
      <c r="G1619" s="70" t="s">
        <v>467</v>
      </c>
      <c r="H1619" s="70" t="s">
        <v>466</v>
      </c>
      <c r="I1619" s="363">
        <v>3</v>
      </c>
      <c r="J1619" s="64"/>
      <c r="K1619" s="64"/>
      <c r="L1619" s="64"/>
    </row>
    <row r="1620" spans="1:12" x14ac:dyDescent="0.25">
      <c r="A1620" s="71">
        <v>900101</v>
      </c>
      <c r="B1620" s="71">
        <v>2007</v>
      </c>
      <c r="C1620" s="71" t="s">
        <v>572</v>
      </c>
      <c r="D1620" s="71" t="s">
        <v>476</v>
      </c>
      <c r="E1620" s="71" t="s">
        <v>475</v>
      </c>
      <c r="F1620" s="66" t="s">
        <v>307</v>
      </c>
      <c r="G1620" s="70" t="s">
        <v>467</v>
      </c>
      <c r="H1620" s="70" t="s">
        <v>466</v>
      </c>
      <c r="I1620" s="363">
        <v>3</v>
      </c>
      <c r="J1620" s="64"/>
      <c r="K1620" s="64"/>
      <c r="L1620" s="64"/>
    </row>
    <row r="1621" spans="1:12" x14ac:dyDescent="0.25">
      <c r="A1621" s="71">
        <v>900109</v>
      </c>
      <c r="B1621" s="71">
        <v>2007</v>
      </c>
      <c r="C1621" s="71" t="s">
        <v>571</v>
      </c>
      <c r="D1621" s="71" t="s">
        <v>476</v>
      </c>
      <c r="E1621" s="71" t="s">
        <v>475</v>
      </c>
      <c r="F1621" s="66" t="s">
        <v>307</v>
      </c>
      <c r="G1621" s="70" t="s">
        <v>467</v>
      </c>
      <c r="H1621" s="70" t="s">
        <v>466</v>
      </c>
      <c r="I1621" s="363">
        <v>3</v>
      </c>
      <c r="J1621" s="64"/>
      <c r="K1621" s="64"/>
      <c r="L1621" s="64"/>
    </row>
    <row r="1622" spans="1:12" x14ac:dyDescent="0.25">
      <c r="A1622" s="71">
        <v>900200</v>
      </c>
      <c r="B1622" s="71">
        <v>2007</v>
      </c>
      <c r="C1622" s="71" t="s">
        <v>570</v>
      </c>
      <c r="D1622" s="71" t="s">
        <v>476</v>
      </c>
      <c r="E1622" s="71" t="s">
        <v>475</v>
      </c>
      <c r="F1622" s="66" t="s">
        <v>307</v>
      </c>
      <c r="G1622" s="70" t="s">
        <v>467</v>
      </c>
      <c r="H1622" s="70" t="s">
        <v>466</v>
      </c>
      <c r="I1622" s="363">
        <v>3</v>
      </c>
      <c r="J1622" s="64"/>
      <c r="K1622" s="64"/>
      <c r="L1622" s="64"/>
    </row>
    <row r="1623" spans="1:12" x14ac:dyDescent="0.25">
      <c r="A1623" s="71">
        <v>900201</v>
      </c>
      <c r="B1623" s="71">
        <v>2007</v>
      </c>
      <c r="C1623" s="71" t="s">
        <v>569</v>
      </c>
      <c r="D1623" s="71" t="s">
        <v>476</v>
      </c>
      <c r="E1623" s="71" t="s">
        <v>475</v>
      </c>
      <c r="F1623" s="66" t="s">
        <v>307</v>
      </c>
      <c r="G1623" s="70" t="s">
        <v>467</v>
      </c>
      <c r="H1623" s="70" t="s">
        <v>466</v>
      </c>
      <c r="I1623" s="363">
        <v>3</v>
      </c>
      <c r="J1623" s="64"/>
      <c r="K1623" s="64"/>
      <c r="L1623" s="64"/>
    </row>
    <row r="1624" spans="1:12" x14ac:dyDescent="0.25">
      <c r="A1624" s="71">
        <v>900202</v>
      </c>
      <c r="B1624" s="71">
        <v>2007</v>
      </c>
      <c r="C1624" s="71" t="s">
        <v>568</v>
      </c>
      <c r="D1624" s="71" t="s">
        <v>476</v>
      </c>
      <c r="E1624" s="71" t="s">
        <v>475</v>
      </c>
      <c r="F1624" s="66" t="s">
        <v>307</v>
      </c>
      <c r="G1624" s="70" t="s">
        <v>467</v>
      </c>
      <c r="H1624" s="70" t="s">
        <v>466</v>
      </c>
      <c r="I1624" s="363">
        <v>3</v>
      </c>
      <c r="J1624" s="64"/>
      <c r="K1624" s="64"/>
      <c r="L1624" s="64"/>
    </row>
    <row r="1625" spans="1:12" x14ac:dyDescent="0.25">
      <c r="A1625" s="71">
        <v>900209</v>
      </c>
      <c r="B1625" s="71">
        <v>2007</v>
      </c>
      <c r="C1625" s="71" t="s">
        <v>567</v>
      </c>
      <c r="D1625" s="71" t="s">
        <v>476</v>
      </c>
      <c r="E1625" s="71" t="s">
        <v>475</v>
      </c>
      <c r="F1625" s="66" t="s">
        <v>307</v>
      </c>
      <c r="G1625" s="70" t="s">
        <v>467</v>
      </c>
      <c r="H1625" s="70" t="s">
        <v>466</v>
      </c>
      <c r="I1625" s="363">
        <v>3</v>
      </c>
      <c r="J1625" s="64"/>
      <c r="K1625" s="64"/>
      <c r="L1625" s="64"/>
    </row>
    <row r="1626" spans="1:12" x14ac:dyDescent="0.25">
      <c r="A1626" s="71">
        <v>900300</v>
      </c>
      <c r="B1626" s="71">
        <v>2007</v>
      </c>
      <c r="C1626" s="71" t="s">
        <v>566</v>
      </c>
      <c r="D1626" s="71" t="s">
        <v>476</v>
      </c>
      <c r="E1626" s="71" t="s">
        <v>475</v>
      </c>
      <c r="F1626" s="66" t="s">
        <v>307</v>
      </c>
      <c r="G1626" s="70" t="s">
        <v>467</v>
      </c>
      <c r="H1626" s="70" t="s">
        <v>466</v>
      </c>
      <c r="I1626" s="363">
        <v>3</v>
      </c>
      <c r="J1626" s="64"/>
      <c r="K1626" s="64"/>
      <c r="L1626" s="64"/>
    </row>
    <row r="1627" spans="1:12" x14ac:dyDescent="0.25">
      <c r="A1627" s="71">
        <v>900301</v>
      </c>
      <c r="B1627" s="71">
        <v>2007</v>
      </c>
      <c r="C1627" s="71" t="s">
        <v>565</v>
      </c>
      <c r="D1627" s="71" t="s">
        <v>476</v>
      </c>
      <c r="E1627" s="71" t="s">
        <v>475</v>
      </c>
      <c r="F1627" s="66" t="s">
        <v>307</v>
      </c>
      <c r="G1627" s="70" t="s">
        <v>467</v>
      </c>
      <c r="H1627" s="70" t="s">
        <v>466</v>
      </c>
      <c r="I1627" s="363">
        <v>3</v>
      </c>
      <c r="J1627" s="64"/>
      <c r="K1627" s="64"/>
      <c r="L1627" s="64"/>
    </row>
    <row r="1628" spans="1:12" x14ac:dyDescent="0.25">
      <c r="A1628" s="71">
        <v>900302</v>
      </c>
      <c r="B1628" s="71">
        <v>2007</v>
      </c>
      <c r="C1628" s="71" t="s">
        <v>564</v>
      </c>
      <c r="D1628" s="71" t="s">
        <v>476</v>
      </c>
      <c r="E1628" s="71" t="s">
        <v>475</v>
      </c>
      <c r="F1628" s="66" t="s">
        <v>307</v>
      </c>
      <c r="G1628" s="70" t="s">
        <v>467</v>
      </c>
      <c r="H1628" s="70" t="s">
        <v>466</v>
      </c>
      <c r="I1628" s="363">
        <v>3</v>
      </c>
      <c r="J1628" s="64"/>
      <c r="K1628" s="64"/>
      <c r="L1628" s="64"/>
    </row>
    <row r="1629" spans="1:12" x14ac:dyDescent="0.25">
      <c r="A1629" s="71">
        <v>900309</v>
      </c>
      <c r="B1629" s="71">
        <v>2007</v>
      </c>
      <c r="C1629" s="71" t="s">
        <v>563</v>
      </c>
      <c r="D1629" s="71" t="s">
        <v>476</v>
      </c>
      <c r="E1629" s="71" t="s">
        <v>475</v>
      </c>
      <c r="F1629" s="66" t="s">
        <v>307</v>
      </c>
      <c r="G1629" s="70" t="s">
        <v>467</v>
      </c>
      <c r="H1629" s="70" t="s">
        <v>466</v>
      </c>
      <c r="I1629" s="363">
        <v>3</v>
      </c>
      <c r="J1629" s="64"/>
      <c r="K1629" s="64"/>
      <c r="L1629" s="64"/>
    </row>
    <row r="1630" spans="1:12" x14ac:dyDescent="0.25">
      <c r="A1630" s="71">
        <v>900400</v>
      </c>
      <c r="B1630" s="71">
        <v>2007</v>
      </c>
      <c r="C1630" s="71" t="s">
        <v>562</v>
      </c>
      <c r="D1630" s="71" t="s">
        <v>476</v>
      </c>
      <c r="E1630" s="71" t="s">
        <v>475</v>
      </c>
      <c r="F1630" s="66" t="s">
        <v>307</v>
      </c>
      <c r="G1630" s="70" t="s">
        <v>467</v>
      </c>
      <c r="H1630" s="70" t="s">
        <v>466</v>
      </c>
      <c r="I1630" s="363">
        <v>3</v>
      </c>
      <c r="J1630" s="64"/>
      <c r="K1630" s="64"/>
      <c r="L1630" s="64"/>
    </row>
    <row r="1631" spans="1:12" x14ac:dyDescent="0.25">
      <c r="A1631" s="71">
        <v>910000</v>
      </c>
      <c r="B1631" s="71">
        <v>2007</v>
      </c>
      <c r="C1631" s="71" t="s">
        <v>561</v>
      </c>
      <c r="D1631" s="71" t="s">
        <v>476</v>
      </c>
      <c r="E1631" s="71" t="s">
        <v>475</v>
      </c>
      <c r="F1631" s="66" t="s">
        <v>307</v>
      </c>
      <c r="G1631" s="70" t="s">
        <v>467</v>
      </c>
      <c r="H1631" s="70" t="s">
        <v>466</v>
      </c>
      <c r="I1631" s="363">
        <v>3</v>
      </c>
      <c r="J1631" s="64"/>
      <c r="K1631" s="64"/>
      <c r="L1631" s="64"/>
    </row>
    <row r="1632" spans="1:12" x14ac:dyDescent="0.25">
      <c r="A1632" s="71">
        <v>910100</v>
      </c>
      <c r="B1632" s="71">
        <v>2007</v>
      </c>
      <c r="C1632" s="71" t="s">
        <v>560</v>
      </c>
      <c r="D1632" s="71" t="s">
        <v>476</v>
      </c>
      <c r="E1632" s="71" t="s">
        <v>475</v>
      </c>
      <c r="F1632" s="66" t="s">
        <v>307</v>
      </c>
      <c r="G1632" s="70" t="s">
        <v>467</v>
      </c>
      <c r="H1632" s="70" t="s">
        <v>466</v>
      </c>
      <c r="I1632" s="363">
        <v>3</v>
      </c>
      <c r="J1632" s="64"/>
      <c r="K1632" s="64"/>
      <c r="L1632" s="64"/>
    </row>
    <row r="1633" spans="1:12" x14ac:dyDescent="0.25">
      <c r="A1633" s="71">
        <v>910200</v>
      </c>
      <c r="B1633" s="71">
        <v>2007</v>
      </c>
      <c r="C1633" s="71" t="s">
        <v>559</v>
      </c>
      <c r="D1633" s="71" t="s">
        <v>476</v>
      </c>
      <c r="E1633" s="71" t="s">
        <v>475</v>
      </c>
      <c r="F1633" s="66" t="s">
        <v>307</v>
      </c>
      <c r="G1633" s="70" t="s">
        <v>467</v>
      </c>
      <c r="H1633" s="70" t="s">
        <v>466</v>
      </c>
      <c r="I1633" s="363">
        <v>3</v>
      </c>
      <c r="J1633" s="64"/>
      <c r="K1633" s="64"/>
      <c r="L1633" s="64"/>
    </row>
    <row r="1634" spans="1:12" x14ac:dyDescent="0.25">
      <c r="A1634" s="71">
        <v>910300</v>
      </c>
      <c r="B1634" s="71">
        <v>2007</v>
      </c>
      <c r="C1634" s="71" t="s">
        <v>558</v>
      </c>
      <c r="D1634" s="71" t="s">
        <v>476</v>
      </c>
      <c r="E1634" s="71" t="s">
        <v>475</v>
      </c>
      <c r="F1634" s="66" t="s">
        <v>307</v>
      </c>
      <c r="G1634" s="70" t="s">
        <v>467</v>
      </c>
      <c r="H1634" s="70" t="s">
        <v>466</v>
      </c>
      <c r="I1634" s="363">
        <v>3</v>
      </c>
      <c r="J1634" s="64"/>
      <c r="K1634" s="64"/>
      <c r="L1634" s="64"/>
    </row>
    <row r="1635" spans="1:12" x14ac:dyDescent="0.25">
      <c r="A1635" s="71">
        <v>910400</v>
      </c>
      <c r="B1635" s="71">
        <v>2007</v>
      </c>
      <c r="C1635" s="71" t="s">
        <v>557</v>
      </c>
      <c r="D1635" s="71" t="s">
        <v>476</v>
      </c>
      <c r="E1635" s="71" t="s">
        <v>475</v>
      </c>
      <c r="F1635" s="66" t="s">
        <v>307</v>
      </c>
      <c r="G1635" s="70" t="s">
        <v>467</v>
      </c>
      <c r="H1635" s="70" t="s">
        <v>466</v>
      </c>
      <c r="I1635" s="363">
        <v>3</v>
      </c>
      <c r="J1635" s="64"/>
      <c r="K1635" s="64"/>
      <c r="L1635" s="64"/>
    </row>
    <row r="1636" spans="1:12" x14ac:dyDescent="0.25">
      <c r="A1636" s="71">
        <v>920000</v>
      </c>
      <c r="B1636" s="71">
        <v>2007</v>
      </c>
      <c r="C1636" s="71" t="s">
        <v>556</v>
      </c>
      <c r="D1636" s="71" t="s">
        <v>476</v>
      </c>
      <c r="E1636" s="71" t="s">
        <v>475</v>
      </c>
      <c r="F1636" s="66" t="s">
        <v>307</v>
      </c>
      <c r="G1636" s="70" t="s">
        <v>467</v>
      </c>
      <c r="H1636" s="70" t="s">
        <v>466</v>
      </c>
      <c r="I1636" s="363">
        <v>3</v>
      </c>
      <c r="J1636" s="64"/>
      <c r="K1636" s="64"/>
      <c r="L1636" s="64"/>
    </row>
    <row r="1637" spans="1:12" x14ac:dyDescent="0.25">
      <c r="A1637" s="71">
        <v>920001</v>
      </c>
      <c r="B1637" s="71">
        <v>2007</v>
      </c>
      <c r="C1637" s="71" t="s">
        <v>555</v>
      </c>
      <c r="D1637" s="71" t="s">
        <v>476</v>
      </c>
      <c r="E1637" s="71" t="s">
        <v>475</v>
      </c>
      <c r="F1637" s="66" t="s">
        <v>307</v>
      </c>
      <c r="G1637" s="70" t="s">
        <v>467</v>
      </c>
      <c r="H1637" s="70" t="s">
        <v>466</v>
      </c>
      <c r="I1637" s="363">
        <v>3</v>
      </c>
      <c r="J1637" s="64"/>
      <c r="K1637" s="64"/>
      <c r="L1637" s="64"/>
    </row>
    <row r="1638" spans="1:12" x14ac:dyDescent="0.25">
      <c r="A1638" s="71">
        <v>920002</v>
      </c>
      <c r="B1638" s="71">
        <v>2007</v>
      </c>
      <c r="C1638" s="71" t="s">
        <v>554</v>
      </c>
      <c r="D1638" s="71" t="s">
        <v>476</v>
      </c>
      <c r="E1638" s="71" t="s">
        <v>475</v>
      </c>
      <c r="F1638" s="66" t="s">
        <v>307</v>
      </c>
      <c r="G1638" s="70" t="s">
        <v>467</v>
      </c>
      <c r="H1638" s="70" t="s">
        <v>466</v>
      </c>
      <c r="I1638" s="363">
        <v>3</v>
      </c>
      <c r="J1638" s="64"/>
      <c r="K1638" s="64"/>
      <c r="L1638" s="64"/>
    </row>
    <row r="1639" spans="1:12" x14ac:dyDescent="0.25">
      <c r="A1639" s="71">
        <v>920009</v>
      </c>
      <c r="B1639" s="71">
        <v>2007</v>
      </c>
      <c r="C1639" s="71" t="s">
        <v>553</v>
      </c>
      <c r="D1639" s="71" t="s">
        <v>476</v>
      </c>
      <c r="E1639" s="71" t="s">
        <v>475</v>
      </c>
      <c r="F1639" s="66" t="s">
        <v>307</v>
      </c>
      <c r="G1639" s="70" t="s">
        <v>467</v>
      </c>
      <c r="H1639" s="70" t="s">
        <v>466</v>
      </c>
      <c r="I1639" s="363">
        <v>3</v>
      </c>
      <c r="J1639" s="64"/>
      <c r="K1639" s="64"/>
      <c r="L1639" s="64"/>
    </row>
    <row r="1640" spans="1:12" x14ac:dyDescent="0.25">
      <c r="A1640" s="71">
        <v>930000</v>
      </c>
      <c r="B1640" s="71">
        <v>2007</v>
      </c>
      <c r="C1640" s="71" t="s">
        <v>552</v>
      </c>
      <c r="D1640" s="71" t="s">
        <v>476</v>
      </c>
      <c r="E1640" s="71" t="s">
        <v>475</v>
      </c>
      <c r="F1640" s="66" t="s">
        <v>307</v>
      </c>
      <c r="G1640" s="70" t="s">
        <v>467</v>
      </c>
      <c r="H1640" s="70" t="s">
        <v>466</v>
      </c>
      <c r="I1640" s="363">
        <v>3</v>
      </c>
      <c r="J1640" s="64"/>
      <c r="K1640" s="64"/>
      <c r="L1640" s="64"/>
    </row>
    <row r="1641" spans="1:12" x14ac:dyDescent="0.25">
      <c r="A1641" s="71">
        <v>931000</v>
      </c>
      <c r="B1641" s="71">
        <v>2007</v>
      </c>
      <c r="C1641" s="71" t="s">
        <v>551</v>
      </c>
      <c r="D1641" s="71" t="s">
        <v>476</v>
      </c>
      <c r="E1641" s="71" t="s">
        <v>475</v>
      </c>
      <c r="F1641" s="66" t="s">
        <v>307</v>
      </c>
      <c r="G1641" s="70" t="s">
        <v>467</v>
      </c>
      <c r="H1641" s="70" t="s">
        <v>466</v>
      </c>
      <c r="I1641" s="363">
        <v>3</v>
      </c>
      <c r="J1641" s="64"/>
      <c r="K1641" s="64"/>
      <c r="L1641" s="64"/>
    </row>
    <row r="1642" spans="1:12" x14ac:dyDescent="0.25">
      <c r="A1642" s="71">
        <v>931100</v>
      </c>
      <c r="B1642" s="71">
        <v>2007</v>
      </c>
      <c r="C1642" s="71" t="s">
        <v>550</v>
      </c>
      <c r="D1642" s="71" t="s">
        <v>476</v>
      </c>
      <c r="E1642" s="71" t="s">
        <v>475</v>
      </c>
      <c r="F1642" s="66" t="s">
        <v>307</v>
      </c>
      <c r="G1642" s="70" t="s">
        <v>467</v>
      </c>
      <c r="H1642" s="70" t="s">
        <v>466</v>
      </c>
      <c r="I1642" s="363">
        <v>3</v>
      </c>
      <c r="J1642" s="64"/>
      <c r="K1642" s="64"/>
      <c r="L1642" s="64"/>
    </row>
    <row r="1643" spans="1:12" x14ac:dyDescent="0.25">
      <c r="A1643" s="71">
        <v>931110</v>
      </c>
      <c r="B1643" s="71">
        <v>2007</v>
      </c>
      <c r="C1643" s="71" t="s">
        <v>549</v>
      </c>
      <c r="D1643" s="71" t="s">
        <v>476</v>
      </c>
      <c r="E1643" s="71" t="s">
        <v>475</v>
      </c>
      <c r="F1643" s="66" t="s">
        <v>307</v>
      </c>
      <c r="G1643" s="70" t="s">
        <v>467</v>
      </c>
      <c r="H1643" s="70" t="s">
        <v>466</v>
      </c>
      <c r="I1643" s="363">
        <v>3</v>
      </c>
      <c r="J1643" s="64"/>
      <c r="K1643" s="64"/>
      <c r="L1643" s="64"/>
    </row>
    <row r="1644" spans="1:12" x14ac:dyDescent="0.25">
      <c r="A1644" s="71">
        <v>931120</v>
      </c>
      <c r="B1644" s="71">
        <v>2007</v>
      </c>
      <c r="C1644" s="71" t="s">
        <v>548</v>
      </c>
      <c r="D1644" s="71" t="s">
        <v>476</v>
      </c>
      <c r="E1644" s="71" t="s">
        <v>475</v>
      </c>
      <c r="F1644" s="66" t="s">
        <v>307</v>
      </c>
      <c r="G1644" s="70" t="s">
        <v>467</v>
      </c>
      <c r="H1644" s="70" t="s">
        <v>466</v>
      </c>
      <c r="I1644" s="363">
        <v>3</v>
      </c>
      <c r="J1644" s="64"/>
      <c r="K1644" s="64"/>
      <c r="L1644" s="64"/>
    </row>
    <row r="1645" spans="1:12" x14ac:dyDescent="0.25">
      <c r="A1645" s="71">
        <v>931130</v>
      </c>
      <c r="B1645" s="71">
        <v>2007</v>
      </c>
      <c r="C1645" s="71" t="s">
        <v>547</v>
      </c>
      <c r="D1645" s="71" t="s">
        <v>476</v>
      </c>
      <c r="E1645" s="71" t="s">
        <v>475</v>
      </c>
      <c r="F1645" s="66" t="s">
        <v>307</v>
      </c>
      <c r="G1645" s="70" t="s">
        <v>467</v>
      </c>
      <c r="H1645" s="70" t="s">
        <v>466</v>
      </c>
      <c r="I1645" s="363">
        <v>3</v>
      </c>
      <c r="J1645" s="64"/>
      <c r="K1645" s="64"/>
      <c r="L1645" s="64"/>
    </row>
    <row r="1646" spans="1:12" x14ac:dyDescent="0.25">
      <c r="A1646" s="71">
        <v>931190</v>
      </c>
      <c r="B1646" s="71">
        <v>2007</v>
      </c>
      <c r="C1646" s="71" t="s">
        <v>546</v>
      </c>
      <c r="D1646" s="71" t="s">
        <v>476</v>
      </c>
      <c r="E1646" s="71" t="s">
        <v>475</v>
      </c>
      <c r="F1646" s="66" t="s">
        <v>307</v>
      </c>
      <c r="G1646" s="70" t="s">
        <v>467</v>
      </c>
      <c r="H1646" s="70" t="s">
        <v>466</v>
      </c>
      <c r="I1646" s="363">
        <v>3</v>
      </c>
      <c r="J1646" s="64"/>
      <c r="K1646" s="64"/>
      <c r="L1646" s="64"/>
    </row>
    <row r="1647" spans="1:12" x14ac:dyDescent="0.25">
      <c r="A1647" s="71">
        <v>931200</v>
      </c>
      <c r="B1647" s="71">
        <v>2007</v>
      </c>
      <c r="C1647" s="71" t="s">
        <v>545</v>
      </c>
      <c r="D1647" s="71" t="s">
        <v>476</v>
      </c>
      <c r="E1647" s="71" t="s">
        <v>475</v>
      </c>
      <c r="F1647" s="66" t="s">
        <v>307</v>
      </c>
      <c r="G1647" s="70" t="s">
        <v>467</v>
      </c>
      <c r="H1647" s="70" t="s">
        <v>466</v>
      </c>
      <c r="I1647" s="363">
        <v>3</v>
      </c>
      <c r="J1647" s="64"/>
      <c r="K1647" s="64"/>
      <c r="L1647" s="64"/>
    </row>
    <row r="1648" spans="1:12" x14ac:dyDescent="0.25">
      <c r="A1648" s="71">
        <v>931300</v>
      </c>
      <c r="B1648" s="71">
        <v>2007</v>
      </c>
      <c r="C1648" s="71" t="s">
        <v>544</v>
      </c>
      <c r="D1648" s="71" t="s">
        <v>476</v>
      </c>
      <c r="E1648" s="71" t="s">
        <v>475</v>
      </c>
      <c r="F1648" s="66" t="s">
        <v>307</v>
      </c>
      <c r="G1648" s="70" t="s">
        <v>467</v>
      </c>
      <c r="H1648" s="70" t="s">
        <v>466</v>
      </c>
      <c r="I1648" s="363">
        <v>3</v>
      </c>
      <c r="J1648" s="64"/>
      <c r="K1648" s="64"/>
      <c r="L1648" s="64"/>
    </row>
    <row r="1649" spans="1:12" x14ac:dyDescent="0.25">
      <c r="A1649" s="71">
        <v>931900</v>
      </c>
      <c r="B1649" s="71">
        <v>2007</v>
      </c>
      <c r="C1649" s="71" t="s">
        <v>543</v>
      </c>
      <c r="D1649" s="71" t="s">
        <v>476</v>
      </c>
      <c r="E1649" s="71" t="s">
        <v>475</v>
      </c>
      <c r="F1649" s="66" t="s">
        <v>307</v>
      </c>
      <c r="G1649" s="70" t="s">
        <v>467</v>
      </c>
      <c r="H1649" s="70" t="s">
        <v>466</v>
      </c>
      <c r="I1649" s="363">
        <v>3</v>
      </c>
      <c r="J1649" s="64"/>
      <c r="K1649" s="64"/>
      <c r="L1649" s="64"/>
    </row>
    <row r="1650" spans="1:12" x14ac:dyDescent="0.25">
      <c r="A1650" s="71">
        <v>931910</v>
      </c>
      <c r="B1650" s="71">
        <v>2007</v>
      </c>
      <c r="C1650" s="71" t="s">
        <v>542</v>
      </c>
      <c r="D1650" s="71" t="s">
        <v>476</v>
      </c>
      <c r="E1650" s="71" t="s">
        <v>475</v>
      </c>
      <c r="F1650" s="66" t="s">
        <v>307</v>
      </c>
      <c r="G1650" s="70" t="s">
        <v>467</v>
      </c>
      <c r="H1650" s="70" t="s">
        <v>466</v>
      </c>
      <c r="I1650" s="363">
        <v>3</v>
      </c>
      <c r="J1650" s="64"/>
      <c r="K1650" s="64"/>
      <c r="L1650" s="64"/>
    </row>
    <row r="1651" spans="1:12" x14ac:dyDescent="0.25">
      <c r="A1651" s="71">
        <v>931990</v>
      </c>
      <c r="B1651" s="71">
        <v>2007</v>
      </c>
      <c r="C1651" s="71" t="s">
        <v>539</v>
      </c>
      <c r="D1651" s="71" t="s">
        <v>476</v>
      </c>
      <c r="E1651" s="71" t="s">
        <v>475</v>
      </c>
      <c r="F1651" s="66" t="s">
        <v>307</v>
      </c>
      <c r="G1651" s="70" t="s">
        <v>467</v>
      </c>
      <c r="H1651" s="70" t="s">
        <v>466</v>
      </c>
      <c r="I1651" s="363">
        <v>3</v>
      </c>
      <c r="J1651" s="64"/>
      <c r="K1651" s="64"/>
      <c r="L1651" s="64"/>
    </row>
    <row r="1652" spans="1:12" x14ac:dyDescent="0.25">
      <c r="A1652" s="71">
        <v>931991</v>
      </c>
      <c r="B1652" s="71">
        <v>2007</v>
      </c>
      <c r="C1652" s="71" t="s">
        <v>541</v>
      </c>
      <c r="D1652" s="71" t="s">
        <v>476</v>
      </c>
      <c r="E1652" s="71" t="s">
        <v>475</v>
      </c>
      <c r="F1652" s="66" t="s">
        <v>307</v>
      </c>
      <c r="G1652" s="70" t="s">
        <v>467</v>
      </c>
      <c r="H1652" s="70" t="s">
        <v>466</v>
      </c>
      <c r="I1652" s="363">
        <v>3</v>
      </c>
      <c r="J1652" s="64"/>
      <c r="K1652" s="64"/>
      <c r="L1652" s="64"/>
    </row>
    <row r="1653" spans="1:12" x14ac:dyDescent="0.25">
      <c r="A1653" s="71">
        <v>931992</v>
      </c>
      <c r="B1653" s="71">
        <v>2007</v>
      </c>
      <c r="C1653" s="71" t="s">
        <v>540</v>
      </c>
      <c r="D1653" s="71" t="s">
        <v>476</v>
      </c>
      <c r="E1653" s="71" t="s">
        <v>475</v>
      </c>
      <c r="F1653" s="66" t="s">
        <v>307</v>
      </c>
      <c r="G1653" s="70" t="s">
        <v>467</v>
      </c>
      <c r="H1653" s="70" t="s">
        <v>466</v>
      </c>
      <c r="I1653" s="363">
        <v>3</v>
      </c>
      <c r="J1653" s="64"/>
      <c r="K1653" s="64"/>
      <c r="L1653" s="64"/>
    </row>
    <row r="1654" spans="1:12" x14ac:dyDescent="0.25">
      <c r="A1654" s="71">
        <v>931999</v>
      </c>
      <c r="B1654" s="71">
        <v>2007</v>
      </c>
      <c r="C1654" s="71" t="s">
        <v>539</v>
      </c>
      <c r="D1654" s="71" t="s">
        <v>476</v>
      </c>
      <c r="E1654" s="71" t="s">
        <v>475</v>
      </c>
      <c r="F1654" s="66" t="s">
        <v>307</v>
      </c>
      <c r="G1654" s="70" t="s">
        <v>467</v>
      </c>
      <c r="H1654" s="70" t="s">
        <v>466</v>
      </c>
      <c r="I1654" s="363">
        <v>3</v>
      </c>
      <c r="J1654" s="64"/>
      <c r="K1654" s="64"/>
      <c r="L1654" s="64"/>
    </row>
    <row r="1655" spans="1:12" x14ac:dyDescent="0.25">
      <c r="A1655" s="71">
        <v>932000</v>
      </c>
      <c r="B1655" s="71">
        <v>2007</v>
      </c>
      <c r="C1655" s="71" t="s">
        <v>538</v>
      </c>
      <c r="D1655" s="71" t="s">
        <v>476</v>
      </c>
      <c r="E1655" s="71" t="s">
        <v>475</v>
      </c>
      <c r="F1655" s="66" t="s">
        <v>307</v>
      </c>
      <c r="G1655" s="70" t="s">
        <v>467</v>
      </c>
      <c r="H1655" s="70" t="s">
        <v>466</v>
      </c>
      <c r="I1655" s="363">
        <v>3</v>
      </c>
      <c r="J1655" s="64"/>
      <c r="K1655" s="64"/>
      <c r="L1655" s="64"/>
    </row>
    <row r="1656" spans="1:12" x14ac:dyDescent="0.25">
      <c r="A1656" s="71">
        <v>932100</v>
      </c>
      <c r="B1656" s="71">
        <v>2007</v>
      </c>
      <c r="C1656" s="71" t="s">
        <v>537</v>
      </c>
      <c r="D1656" s="71" t="s">
        <v>476</v>
      </c>
      <c r="E1656" s="71" t="s">
        <v>475</v>
      </c>
      <c r="F1656" s="66" t="s">
        <v>307</v>
      </c>
      <c r="G1656" s="70" t="s">
        <v>467</v>
      </c>
      <c r="H1656" s="70" t="s">
        <v>466</v>
      </c>
      <c r="I1656" s="363">
        <v>3</v>
      </c>
      <c r="J1656" s="64"/>
      <c r="K1656" s="64"/>
      <c r="L1656" s="64"/>
    </row>
    <row r="1657" spans="1:12" x14ac:dyDescent="0.25">
      <c r="A1657" s="71">
        <v>932900</v>
      </c>
      <c r="B1657" s="71">
        <v>2007</v>
      </c>
      <c r="C1657" s="71" t="s">
        <v>536</v>
      </c>
      <c r="D1657" s="71" t="s">
        <v>476</v>
      </c>
      <c r="E1657" s="71" t="s">
        <v>475</v>
      </c>
      <c r="F1657" s="66" t="s">
        <v>307</v>
      </c>
      <c r="G1657" s="70" t="s">
        <v>467</v>
      </c>
      <c r="H1657" s="70" t="s">
        <v>466</v>
      </c>
      <c r="I1657" s="363">
        <v>3</v>
      </c>
      <c r="J1657" s="64"/>
      <c r="K1657" s="64"/>
      <c r="L1657" s="64"/>
    </row>
    <row r="1658" spans="1:12" x14ac:dyDescent="0.25">
      <c r="A1658" s="71">
        <v>932910</v>
      </c>
      <c r="B1658" s="71">
        <v>2007</v>
      </c>
      <c r="C1658" s="71" t="s">
        <v>535</v>
      </c>
      <c r="D1658" s="71" t="s">
        <v>476</v>
      </c>
      <c r="E1658" s="71" t="s">
        <v>475</v>
      </c>
      <c r="F1658" s="66" t="s">
        <v>307</v>
      </c>
      <c r="G1658" s="70" t="s">
        <v>467</v>
      </c>
      <c r="H1658" s="70" t="s">
        <v>466</v>
      </c>
      <c r="I1658" s="363">
        <v>3</v>
      </c>
      <c r="J1658" s="64"/>
      <c r="K1658" s="64"/>
      <c r="L1658" s="64"/>
    </row>
    <row r="1659" spans="1:12" x14ac:dyDescent="0.25">
      <c r="A1659" s="71">
        <v>932920</v>
      </c>
      <c r="B1659" s="71">
        <v>2007</v>
      </c>
      <c r="C1659" s="71" t="s">
        <v>534</v>
      </c>
      <c r="D1659" s="71" t="s">
        <v>476</v>
      </c>
      <c r="E1659" s="71" t="s">
        <v>475</v>
      </c>
      <c r="F1659" s="66" t="s">
        <v>307</v>
      </c>
      <c r="G1659" s="70" t="s">
        <v>467</v>
      </c>
      <c r="H1659" s="70" t="s">
        <v>466</v>
      </c>
      <c r="I1659" s="363">
        <v>3</v>
      </c>
      <c r="J1659" s="64"/>
      <c r="K1659" s="64"/>
      <c r="L1659" s="64"/>
    </row>
    <row r="1660" spans="1:12" x14ac:dyDescent="0.25">
      <c r="A1660" s="71">
        <v>932930</v>
      </c>
      <c r="B1660" s="71">
        <v>2007</v>
      </c>
      <c r="C1660" s="71" t="s">
        <v>533</v>
      </c>
      <c r="D1660" s="71" t="s">
        <v>476</v>
      </c>
      <c r="E1660" s="71" t="s">
        <v>475</v>
      </c>
      <c r="F1660" s="66" t="s">
        <v>307</v>
      </c>
      <c r="G1660" s="70" t="s">
        <v>467</v>
      </c>
      <c r="H1660" s="70" t="s">
        <v>466</v>
      </c>
      <c r="I1660" s="363">
        <v>3</v>
      </c>
      <c r="J1660" s="64"/>
      <c r="K1660" s="64"/>
      <c r="L1660" s="64"/>
    </row>
    <row r="1661" spans="1:12" x14ac:dyDescent="0.25">
      <c r="A1661" s="71">
        <v>932990</v>
      </c>
      <c r="B1661" s="71">
        <v>2007</v>
      </c>
      <c r="C1661" s="71" t="s">
        <v>532</v>
      </c>
      <c r="D1661" s="71" t="s">
        <v>476</v>
      </c>
      <c r="E1661" s="71" t="s">
        <v>475</v>
      </c>
      <c r="F1661" s="66" t="s">
        <v>307</v>
      </c>
      <c r="G1661" s="70" t="s">
        <v>467</v>
      </c>
      <c r="H1661" s="70" t="s">
        <v>466</v>
      </c>
      <c r="I1661" s="363">
        <v>3</v>
      </c>
      <c r="J1661" s="64"/>
      <c r="K1661" s="64"/>
      <c r="L1661" s="64"/>
    </row>
    <row r="1662" spans="1:12" x14ac:dyDescent="0.25">
      <c r="A1662" s="71">
        <v>940000</v>
      </c>
      <c r="B1662" s="71">
        <v>2007</v>
      </c>
      <c r="C1662" s="71" t="s">
        <v>531</v>
      </c>
      <c r="D1662" s="71" t="s">
        <v>476</v>
      </c>
      <c r="E1662" s="71" t="s">
        <v>475</v>
      </c>
      <c r="F1662" s="66" t="s">
        <v>307</v>
      </c>
      <c r="G1662" s="70" t="s">
        <v>467</v>
      </c>
      <c r="H1662" s="70" t="s">
        <v>466</v>
      </c>
      <c r="I1662" s="363">
        <v>3</v>
      </c>
      <c r="J1662" s="64"/>
      <c r="K1662" s="64"/>
      <c r="L1662" s="64"/>
    </row>
    <row r="1663" spans="1:12" x14ac:dyDescent="0.25">
      <c r="A1663" s="71">
        <v>941000</v>
      </c>
      <c r="B1663" s="71">
        <v>2007</v>
      </c>
      <c r="C1663" s="71" t="s">
        <v>530</v>
      </c>
      <c r="D1663" s="71" t="s">
        <v>476</v>
      </c>
      <c r="E1663" s="71" t="s">
        <v>475</v>
      </c>
      <c r="F1663" s="66" t="s">
        <v>307</v>
      </c>
      <c r="G1663" s="70" t="s">
        <v>467</v>
      </c>
      <c r="H1663" s="70" t="s">
        <v>466</v>
      </c>
      <c r="I1663" s="363">
        <v>3</v>
      </c>
      <c r="J1663" s="64"/>
      <c r="K1663" s="64"/>
      <c r="L1663" s="64"/>
    </row>
    <row r="1664" spans="1:12" x14ac:dyDescent="0.25">
      <c r="A1664" s="71">
        <v>941100</v>
      </c>
      <c r="B1664" s="71">
        <v>2007</v>
      </c>
      <c r="C1664" s="71" t="s">
        <v>529</v>
      </c>
      <c r="D1664" s="71" t="s">
        <v>476</v>
      </c>
      <c r="E1664" s="71" t="s">
        <v>475</v>
      </c>
      <c r="F1664" s="66" t="s">
        <v>307</v>
      </c>
      <c r="G1664" s="70" t="s">
        <v>467</v>
      </c>
      <c r="H1664" s="70" t="s">
        <v>466</v>
      </c>
      <c r="I1664" s="363">
        <v>3</v>
      </c>
      <c r="J1664" s="64"/>
      <c r="K1664" s="64"/>
      <c r="L1664" s="64"/>
    </row>
    <row r="1665" spans="1:12" x14ac:dyDescent="0.25">
      <c r="A1665" s="71">
        <v>941200</v>
      </c>
      <c r="B1665" s="71">
        <v>2007</v>
      </c>
      <c r="C1665" s="71" t="s">
        <v>528</v>
      </c>
      <c r="D1665" s="71" t="s">
        <v>476</v>
      </c>
      <c r="E1665" s="71" t="s">
        <v>475</v>
      </c>
      <c r="F1665" s="66" t="s">
        <v>307</v>
      </c>
      <c r="G1665" s="70" t="s">
        <v>467</v>
      </c>
      <c r="H1665" s="70" t="s">
        <v>466</v>
      </c>
      <c r="I1665" s="363">
        <v>3</v>
      </c>
      <c r="J1665" s="64"/>
      <c r="K1665" s="64"/>
      <c r="L1665" s="64"/>
    </row>
    <row r="1666" spans="1:12" x14ac:dyDescent="0.25">
      <c r="A1666" s="71">
        <v>941210</v>
      </c>
      <c r="B1666" s="71">
        <v>2007</v>
      </c>
      <c r="C1666" s="71" t="s">
        <v>527</v>
      </c>
      <c r="D1666" s="71" t="s">
        <v>476</v>
      </c>
      <c r="E1666" s="71" t="s">
        <v>475</v>
      </c>
      <c r="F1666" s="66" t="s">
        <v>307</v>
      </c>
      <c r="G1666" s="70" t="s">
        <v>467</v>
      </c>
      <c r="H1666" s="70" t="s">
        <v>466</v>
      </c>
      <c r="I1666" s="363">
        <v>3</v>
      </c>
      <c r="J1666" s="64"/>
      <c r="K1666" s="64"/>
      <c r="L1666" s="64"/>
    </row>
    <row r="1667" spans="1:12" x14ac:dyDescent="0.25">
      <c r="A1667" s="71">
        <v>941220</v>
      </c>
      <c r="B1667" s="71">
        <v>2007</v>
      </c>
      <c r="C1667" s="71" t="s">
        <v>526</v>
      </c>
      <c r="D1667" s="71" t="s">
        <v>476</v>
      </c>
      <c r="E1667" s="71" t="s">
        <v>475</v>
      </c>
      <c r="F1667" s="66" t="s">
        <v>307</v>
      </c>
      <c r="G1667" s="70" t="s">
        <v>467</v>
      </c>
      <c r="H1667" s="70" t="s">
        <v>466</v>
      </c>
      <c r="I1667" s="363">
        <v>3</v>
      </c>
      <c r="J1667" s="64"/>
      <c r="K1667" s="64"/>
      <c r="L1667" s="64"/>
    </row>
    <row r="1668" spans="1:12" x14ac:dyDescent="0.25">
      <c r="A1668" s="71">
        <v>942000</v>
      </c>
      <c r="B1668" s="71">
        <v>2007</v>
      </c>
      <c r="C1668" s="71" t="s">
        <v>525</v>
      </c>
      <c r="D1668" s="71" t="s">
        <v>476</v>
      </c>
      <c r="E1668" s="71" t="s">
        <v>475</v>
      </c>
      <c r="F1668" s="66" t="s">
        <v>307</v>
      </c>
      <c r="G1668" s="70" t="s">
        <v>467</v>
      </c>
      <c r="H1668" s="70" t="s">
        <v>466</v>
      </c>
      <c r="I1668" s="363">
        <v>3</v>
      </c>
      <c r="J1668" s="64"/>
      <c r="K1668" s="64"/>
      <c r="L1668" s="64"/>
    </row>
    <row r="1669" spans="1:12" x14ac:dyDescent="0.25">
      <c r="A1669" s="71">
        <v>949000</v>
      </c>
      <c r="B1669" s="71">
        <v>2007</v>
      </c>
      <c r="C1669" s="71" t="s">
        <v>524</v>
      </c>
      <c r="D1669" s="71" t="s">
        <v>476</v>
      </c>
      <c r="E1669" s="71" t="s">
        <v>475</v>
      </c>
      <c r="F1669" s="66" t="s">
        <v>307</v>
      </c>
      <c r="G1669" s="70" t="s">
        <v>467</v>
      </c>
      <c r="H1669" s="70" t="s">
        <v>466</v>
      </c>
      <c r="I1669" s="363">
        <v>3</v>
      </c>
      <c r="J1669" s="64"/>
      <c r="K1669" s="64"/>
      <c r="L1669" s="64"/>
    </row>
    <row r="1670" spans="1:12" x14ac:dyDescent="0.25">
      <c r="A1670" s="71">
        <v>949100</v>
      </c>
      <c r="B1670" s="71">
        <v>2007</v>
      </c>
      <c r="C1670" s="71" t="s">
        <v>523</v>
      </c>
      <c r="D1670" s="71" t="s">
        <v>476</v>
      </c>
      <c r="E1670" s="71" t="s">
        <v>475</v>
      </c>
      <c r="F1670" s="66" t="s">
        <v>307</v>
      </c>
      <c r="G1670" s="70" t="s">
        <v>467</v>
      </c>
      <c r="H1670" s="70" t="s">
        <v>466</v>
      </c>
      <c r="I1670" s="363">
        <v>3</v>
      </c>
      <c r="J1670" s="64"/>
      <c r="K1670" s="64"/>
      <c r="L1670" s="64"/>
    </row>
    <row r="1671" spans="1:12" x14ac:dyDescent="0.25">
      <c r="A1671" s="71">
        <v>949200</v>
      </c>
      <c r="B1671" s="71">
        <v>2007</v>
      </c>
      <c r="C1671" s="71" t="s">
        <v>522</v>
      </c>
      <c r="D1671" s="71" t="s">
        <v>476</v>
      </c>
      <c r="E1671" s="71" t="s">
        <v>475</v>
      </c>
      <c r="F1671" s="66" t="s">
        <v>307</v>
      </c>
      <c r="G1671" s="70" t="s">
        <v>467</v>
      </c>
      <c r="H1671" s="70" t="s">
        <v>466</v>
      </c>
      <c r="I1671" s="363">
        <v>3</v>
      </c>
      <c r="J1671" s="64"/>
      <c r="K1671" s="64"/>
      <c r="L1671" s="64"/>
    </row>
    <row r="1672" spans="1:12" x14ac:dyDescent="0.25">
      <c r="A1672" s="71">
        <v>949900</v>
      </c>
      <c r="B1672" s="71">
        <v>2007</v>
      </c>
      <c r="C1672" s="71" t="s">
        <v>515</v>
      </c>
      <c r="D1672" s="71" t="s">
        <v>476</v>
      </c>
      <c r="E1672" s="71" t="s">
        <v>475</v>
      </c>
      <c r="F1672" s="66" t="s">
        <v>307</v>
      </c>
      <c r="G1672" s="70" t="s">
        <v>467</v>
      </c>
      <c r="H1672" s="70" t="s">
        <v>466</v>
      </c>
      <c r="I1672" s="363">
        <v>3</v>
      </c>
      <c r="J1672" s="64"/>
      <c r="K1672" s="64"/>
      <c r="L1672" s="64"/>
    </row>
    <row r="1673" spans="1:12" x14ac:dyDescent="0.25">
      <c r="A1673" s="71">
        <v>949910</v>
      </c>
      <c r="B1673" s="71">
        <v>2007</v>
      </c>
      <c r="C1673" s="71" t="s">
        <v>521</v>
      </c>
      <c r="D1673" s="71" t="s">
        <v>476</v>
      </c>
      <c r="E1673" s="71" t="s">
        <v>475</v>
      </c>
      <c r="F1673" s="66" t="s">
        <v>307</v>
      </c>
      <c r="G1673" s="70" t="s">
        <v>467</v>
      </c>
      <c r="H1673" s="70" t="s">
        <v>466</v>
      </c>
      <c r="I1673" s="363">
        <v>3</v>
      </c>
      <c r="J1673" s="64"/>
      <c r="K1673" s="64"/>
      <c r="L1673" s="64"/>
    </row>
    <row r="1674" spans="1:12" x14ac:dyDescent="0.25">
      <c r="A1674" s="71">
        <v>949920</v>
      </c>
      <c r="B1674" s="71">
        <v>2007</v>
      </c>
      <c r="C1674" s="71" t="s">
        <v>520</v>
      </c>
      <c r="D1674" s="71" t="s">
        <v>476</v>
      </c>
      <c r="E1674" s="71" t="s">
        <v>475</v>
      </c>
      <c r="F1674" s="66" t="s">
        <v>307</v>
      </c>
      <c r="G1674" s="70" t="s">
        <v>467</v>
      </c>
      <c r="H1674" s="70" t="s">
        <v>466</v>
      </c>
      <c r="I1674" s="363">
        <v>3</v>
      </c>
      <c r="J1674" s="64"/>
      <c r="K1674" s="64"/>
      <c r="L1674" s="64"/>
    </row>
    <row r="1675" spans="1:12" x14ac:dyDescent="0.25">
      <c r="A1675" s="71">
        <v>949930</v>
      </c>
      <c r="B1675" s="71">
        <v>2007</v>
      </c>
      <c r="C1675" s="71" t="s">
        <v>519</v>
      </c>
      <c r="D1675" s="71" t="s">
        <v>476</v>
      </c>
      <c r="E1675" s="71" t="s">
        <v>475</v>
      </c>
      <c r="F1675" s="66" t="s">
        <v>307</v>
      </c>
      <c r="G1675" s="70" t="s">
        <v>467</v>
      </c>
      <c r="H1675" s="70" t="s">
        <v>466</v>
      </c>
      <c r="I1675" s="363">
        <v>3</v>
      </c>
      <c r="J1675" s="64"/>
      <c r="K1675" s="64"/>
      <c r="L1675" s="64"/>
    </row>
    <row r="1676" spans="1:12" x14ac:dyDescent="0.25">
      <c r="A1676" s="71">
        <v>949940</v>
      </c>
      <c r="B1676" s="71">
        <v>2007</v>
      </c>
      <c r="C1676" s="71" t="s">
        <v>518</v>
      </c>
      <c r="D1676" s="71" t="s">
        <v>476</v>
      </c>
      <c r="E1676" s="71" t="s">
        <v>475</v>
      </c>
      <c r="F1676" s="66" t="s">
        <v>307</v>
      </c>
      <c r="G1676" s="70" t="s">
        <v>467</v>
      </c>
      <c r="H1676" s="70" t="s">
        <v>466</v>
      </c>
      <c r="I1676" s="363">
        <v>3</v>
      </c>
      <c r="J1676" s="64"/>
      <c r="K1676" s="64"/>
      <c r="L1676" s="64"/>
    </row>
    <row r="1677" spans="1:12" x14ac:dyDescent="0.25">
      <c r="A1677" s="71">
        <v>949950</v>
      </c>
      <c r="B1677" s="71">
        <v>2007</v>
      </c>
      <c r="C1677" s="71" t="s">
        <v>517</v>
      </c>
      <c r="D1677" s="71" t="s">
        <v>476</v>
      </c>
      <c r="E1677" s="71" t="s">
        <v>475</v>
      </c>
      <c r="F1677" s="66" t="s">
        <v>307</v>
      </c>
      <c r="G1677" s="70" t="s">
        <v>467</v>
      </c>
      <c r="H1677" s="70" t="s">
        <v>466</v>
      </c>
      <c r="I1677" s="363">
        <v>3</v>
      </c>
      <c r="J1677" s="64"/>
      <c r="K1677" s="64"/>
      <c r="L1677" s="64"/>
    </row>
    <row r="1678" spans="1:12" x14ac:dyDescent="0.25">
      <c r="A1678" s="71">
        <v>949960</v>
      </c>
      <c r="B1678" s="71">
        <v>2007</v>
      </c>
      <c r="C1678" s="71" t="s">
        <v>516</v>
      </c>
      <c r="D1678" s="71" t="s">
        <v>476</v>
      </c>
      <c r="E1678" s="71" t="s">
        <v>475</v>
      </c>
      <c r="F1678" s="66" t="s">
        <v>307</v>
      </c>
      <c r="G1678" s="70" t="s">
        <v>467</v>
      </c>
      <c r="H1678" s="70" t="s">
        <v>466</v>
      </c>
      <c r="I1678" s="363">
        <v>3</v>
      </c>
      <c r="J1678" s="64"/>
      <c r="K1678" s="64"/>
      <c r="L1678" s="64"/>
    </row>
    <row r="1679" spans="1:12" x14ac:dyDescent="0.25">
      <c r="A1679" s="71">
        <v>949990</v>
      </c>
      <c r="B1679" s="71">
        <v>2007</v>
      </c>
      <c r="C1679" s="71" t="s">
        <v>515</v>
      </c>
      <c r="D1679" s="71" t="s">
        <v>476</v>
      </c>
      <c r="E1679" s="71" t="s">
        <v>475</v>
      </c>
      <c r="F1679" s="66" t="s">
        <v>307</v>
      </c>
      <c r="G1679" s="70" t="s">
        <v>467</v>
      </c>
      <c r="H1679" s="70" t="s">
        <v>466</v>
      </c>
      <c r="I1679" s="363">
        <v>3</v>
      </c>
      <c r="J1679" s="64"/>
      <c r="K1679" s="64"/>
      <c r="L1679" s="64"/>
    </row>
    <row r="1680" spans="1:12" x14ac:dyDescent="0.25">
      <c r="A1680" s="71">
        <v>950000</v>
      </c>
      <c r="B1680" s="71">
        <v>2007</v>
      </c>
      <c r="C1680" s="71" t="s">
        <v>514</v>
      </c>
      <c r="D1680" s="71" t="s">
        <v>476</v>
      </c>
      <c r="E1680" s="71" t="s">
        <v>475</v>
      </c>
      <c r="F1680" s="66" t="s">
        <v>307</v>
      </c>
      <c r="G1680" s="70" t="s">
        <v>467</v>
      </c>
      <c r="H1680" s="70" t="s">
        <v>466</v>
      </c>
      <c r="I1680" s="363">
        <v>3</v>
      </c>
      <c r="J1680" s="64"/>
      <c r="K1680" s="64"/>
      <c r="L1680" s="64"/>
    </row>
    <row r="1681" spans="1:12" x14ac:dyDescent="0.25">
      <c r="A1681" s="71">
        <v>951000</v>
      </c>
      <c r="B1681" s="71">
        <v>2007</v>
      </c>
      <c r="C1681" s="71" t="s">
        <v>513</v>
      </c>
      <c r="D1681" s="71" t="s">
        <v>476</v>
      </c>
      <c r="E1681" s="71" t="s">
        <v>475</v>
      </c>
      <c r="F1681" s="66" t="s">
        <v>307</v>
      </c>
      <c r="G1681" s="70" t="s">
        <v>467</v>
      </c>
      <c r="H1681" s="70" t="s">
        <v>466</v>
      </c>
      <c r="I1681" s="363">
        <v>3</v>
      </c>
      <c r="J1681" s="64"/>
      <c r="K1681" s="64"/>
      <c r="L1681" s="64"/>
    </row>
    <row r="1682" spans="1:12" x14ac:dyDescent="0.25">
      <c r="A1682" s="71">
        <v>951100</v>
      </c>
      <c r="B1682" s="71">
        <v>2007</v>
      </c>
      <c r="C1682" s="71" t="s">
        <v>512</v>
      </c>
      <c r="D1682" s="71" t="s">
        <v>476</v>
      </c>
      <c r="E1682" s="71" t="s">
        <v>475</v>
      </c>
      <c r="F1682" s="66" t="s">
        <v>307</v>
      </c>
      <c r="G1682" s="70" t="s">
        <v>467</v>
      </c>
      <c r="H1682" s="70" t="s">
        <v>466</v>
      </c>
      <c r="I1682" s="363">
        <v>3</v>
      </c>
      <c r="J1682" s="64"/>
      <c r="K1682" s="64"/>
      <c r="L1682" s="64"/>
    </row>
    <row r="1683" spans="1:12" x14ac:dyDescent="0.25">
      <c r="A1683" s="71">
        <v>951200</v>
      </c>
      <c r="B1683" s="71">
        <v>2007</v>
      </c>
      <c r="C1683" s="71" t="s">
        <v>511</v>
      </c>
      <c r="D1683" s="71" t="s">
        <v>476</v>
      </c>
      <c r="E1683" s="71" t="s">
        <v>475</v>
      </c>
      <c r="F1683" s="66" t="s">
        <v>307</v>
      </c>
      <c r="G1683" s="70" t="s">
        <v>467</v>
      </c>
      <c r="H1683" s="70" t="s">
        <v>466</v>
      </c>
      <c r="I1683" s="363">
        <v>3</v>
      </c>
      <c r="J1683" s="64"/>
      <c r="K1683" s="64"/>
      <c r="L1683" s="64"/>
    </row>
    <row r="1684" spans="1:12" x14ac:dyDescent="0.25">
      <c r="A1684" s="71">
        <v>951201</v>
      </c>
      <c r="B1684" s="71">
        <v>2007</v>
      </c>
      <c r="C1684" s="71" t="s">
        <v>510</v>
      </c>
      <c r="D1684" s="71" t="s">
        <v>476</v>
      </c>
      <c r="E1684" s="71" t="s">
        <v>475</v>
      </c>
      <c r="F1684" s="66" t="s">
        <v>307</v>
      </c>
      <c r="G1684" s="70" t="s">
        <v>467</v>
      </c>
      <c r="H1684" s="70" t="s">
        <v>466</v>
      </c>
      <c r="I1684" s="363">
        <v>3</v>
      </c>
      <c r="J1684" s="64"/>
      <c r="K1684" s="64"/>
      <c r="L1684" s="64"/>
    </row>
    <row r="1685" spans="1:12" x14ac:dyDescent="0.25">
      <c r="A1685" s="71">
        <v>951209</v>
      </c>
      <c r="B1685" s="71">
        <v>2007</v>
      </c>
      <c r="C1685" s="71" t="s">
        <v>509</v>
      </c>
      <c r="D1685" s="71" t="s">
        <v>476</v>
      </c>
      <c r="E1685" s="71" t="s">
        <v>475</v>
      </c>
      <c r="F1685" s="66" t="s">
        <v>307</v>
      </c>
      <c r="G1685" s="70" t="s">
        <v>467</v>
      </c>
      <c r="H1685" s="70" t="s">
        <v>466</v>
      </c>
      <c r="I1685" s="363">
        <v>3</v>
      </c>
      <c r="J1685" s="64"/>
      <c r="K1685" s="64"/>
      <c r="L1685" s="64"/>
    </row>
    <row r="1686" spans="1:12" x14ac:dyDescent="0.25">
      <c r="A1686" s="71">
        <v>952000</v>
      </c>
      <c r="B1686" s="71">
        <v>2007</v>
      </c>
      <c r="C1686" s="71" t="s">
        <v>508</v>
      </c>
      <c r="D1686" s="71" t="s">
        <v>476</v>
      </c>
      <c r="E1686" s="71" t="s">
        <v>475</v>
      </c>
      <c r="F1686" s="66" t="s">
        <v>307</v>
      </c>
      <c r="G1686" s="70" t="s">
        <v>467</v>
      </c>
      <c r="H1686" s="70" t="s">
        <v>466</v>
      </c>
      <c r="I1686" s="363">
        <v>3</v>
      </c>
      <c r="J1686" s="64"/>
      <c r="K1686" s="64"/>
      <c r="L1686" s="64"/>
    </row>
    <row r="1687" spans="1:12" x14ac:dyDescent="0.25">
      <c r="A1687" s="71">
        <v>952100</v>
      </c>
      <c r="B1687" s="71">
        <v>2007</v>
      </c>
      <c r="C1687" s="71" t="s">
        <v>507</v>
      </c>
      <c r="D1687" s="71" t="s">
        <v>476</v>
      </c>
      <c r="E1687" s="71" t="s">
        <v>475</v>
      </c>
      <c r="F1687" s="66" t="s">
        <v>307</v>
      </c>
      <c r="G1687" s="70" t="s">
        <v>467</v>
      </c>
      <c r="H1687" s="70" t="s">
        <v>466</v>
      </c>
      <c r="I1687" s="363">
        <v>3</v>
      </c>
      <c r="J1687" s="64"/>
      <c r="K1687" s="64"/>
      <c r="L1687" s="64"/>
    </row>
    <row r="1688" spans="1:12" x14ac:dyDescent="0.25">
      <c r="A1688" s="71">
        <v>952200</v>
      </c>
      <c r="B1688" s="71">
        <v>2007</v>
      </c>
      <c r="C1688" s="71" t="s">
        <v>506</v>
      </c>
      <c r="D1688" s="71" t="s">
        <v>476</v>
      </c>
      <c r="E1688" s="71" t="s">
        <v>475</v>
      </c>
      <c r="F1688" s="66" t="s">
        <v>307</v>
      </c>
      <c r="G1688" s="70" t="s">
        <v>467</v>
      </c>
      <c r="H1688" s="70" t="s">
        <v>466</v>
      </c>
      <c r="I1688" s="363">
        <v>3</v>
      </c>
      <c r="J1688" s="64"/>
      <c r="K1688" s="64"/>
      <c r="L1688" s="64"/>
    </row>
    <row r="1689" spans="1:12" x14ac:dyDescent="0.25">
      <c r="A1689" s="71">
        <v>952201</v>
      </c>
      <c r="B1689" s="71">
        <v>2007</v>
      </c>
      <c r="C1689" s="71" t="s">
        <v>505</v>
      </c>
      <c r="D1689" s="71" t="s">
        <v>476</v>
      </c>
      <c r="E1689" s="71" t="s">
        <v>475</v>
      </c>
      <c r="F1689" s="66" t="s">
        <v>307</v>
      </c>
      <c r="G1689" s="70" t="s">
        <v>467</v>
      </c>
      <c r="H1689" s="70" t="s">
        <v>466</v>
      </c>
      <c r="I1689" s="363">
        <v>3</v>
      </c>
      <c r="J1689" s="64"/>
      <c r="K1689" s="64"/>
      <c r="L1689" s="64"/>
    </row>
    <row r="1690" spans="1:12" x14ac:dyDescent="0.25">
      <c r="A1690" s="71">
        <v>952202</v>
      </c>
      <c r="B1690" s="71">
        <v>2007</v>
      </c>
      <c r="C1690" s="71" t="s">
        <v>504</v>
      </c>
      <c r="D1690" s="71" t="s">
        <v>476</v>
      </c>
      <c r="E1690" s="71" t="s">
        <v>475</v>
      </c>
      <c r="F1690" s="66" t="s">
        <v>307</v>
      </c>
      <c r="G1690" s="70" t="s">
        <v>467</v>
      </c>
      <c r="H1690" s="70" t="s">
        <v>466</v>
      </c>
      <c r="I1690" s="363">
        <v>3</v>
      </c>
      <c r="J1690" s="64"/>
      <c r="K1690" s="64"/>
      <c r="L1690" s="64"/>
    </row>
    <row r="1691" spans="1:12" x14ac:dyDescent="0.25">
      <c r="A1691" s="71">
        <v>952300</v>
      </c>
      <c r="B1691" s="71">
        <v>2007</v>
      </c>
      <c r="C1691" s="71" t="s">
        <v>503</v>
      </c>
      <c r="D1691" s="71" t="s">
        <v>476</v>
      </c>
      <c r="E1691" s="71" t="s">
        <v>475</v>
      </c>
      <c r="F1691" s="66" t="s">
        <v>307</v>
      </c>
      <c r="G1691" s="70" t="s">
        <v>467</v>
      </c>
      <c r="H1691" s="70" t="s">
        <v>466</v>
      </c>
      <c r="I1691" s="363">
        <v>3</v>
      </c>
      <c r="J1691" s="64"/>
      <c r="K1691" s="64"/>
      <c r="L1691" s="64"/>
    </row>
    <row r="1692" spans="1:12" x14ac:dyDescent="0.25">
      <c r="A1692" s="71">
        <v>952400</v>
      </c>
      <c r="B1692" s="71">
        <v>2007</v>
      </c>
      <c r="C1692" s="71" t="s">
        <v>502</v>
      </c>
      <c r="D1692" s="71" t="s">
        <v>476</v>
      </c>
      <c r="E1692" s="71" t="s">
        <v>475</v>
      </c>
      <c r="F1692" s="66" t="s">
        <v>307</v>
      </c>
      <c r="G1692" s="70" t="s">
        <v>467</v>
      </c>
      <c r="H1692" s="70" t="s">
        <v>466</v>
      </c>
      <c r="I1692" s="363">
        <v>3</v>
      </c>
      <c r="J1692" s="64"/>
      <c r="K1692" s="64"/>
      <c r="L1692" s="64"/>
    </row>
    <row r="1693" spans="1:12" x14ac:dyDescent="0.25">
      <c r="A1693" s="71">
        <v>952401</v>
      </c>
      <c r="B1693" s="71">
        <v>2007</v>
      </c>
      <c r="C1693" s="71" t="s">
        <v>502</v>
      </c>
      <c r="D1693" s="71" t="s">
        <v>476</v>
      </c>
      <c r="E1693" s="71" t="s">
        <v>475</v>
      </c>
      <c r="F1693" s="66" t="s">
        <v>307</v>
      </c>
      <c r="G1693" s="70" t="s">
        <v>467</v>
      </c>
      <c r="H1693" s="70" t="s">
        <v>466</v>
      </c>
      <c r="I1693" s="363">
        <v>3</v>
      </c>
      <c r="J1693" s="64"/>
      <c r="K1693" s="64"/>
      <c r="L1693" s="64"/>
    </row>
    <row r="1694" spans="1:12" x14ac:dyDescent="0.25">
      <c r="A1694" s="71">
        <v>952402</v>
      </c>
      <c r="B1694" s="71">
        <v>2007</v>
      </c>
      <c r="C1694" s="71" t="s">
        <v>501</v>
      </c>
      <c r="D1694" s="71" t="s">
        <v>476</v>
      </c>
      <c r="E1694" s="71" t="s">
        <v>475</v>
      </c>
      <c r="F1694" s="66" t="s">
        <v>307</v>
      </c>
      <c r="G1694" s="70" t="s">
        <v>467</v>
      </c>
      <c r="H1694" s="70" t="s">
        <v>466</v>
      </c>
      <c r="I1694" s="363">
        <v>3</v>
      </c>
      <c r="J1694" s="64"/>
      <c r="K1694" s="64"/>
      <c r="L1694" s="64"/>
    </row>
    <row r="1695" spans="1:12" x14ac:dyDescent="0.25">
      <c r="A1695" s="71">
        <v>952500</v>
      </c>
      <c r="B1695" s="71">
        <v>2007</v>
      </c>
      <c r="C1695" s="71" t="s">
        <v>500</v>
      </c>
      <c r="D1695" s="71" t="s">
        <v>476</v>
      </c>
      <c r="E1695" s="71" t="s">
        <v>475</v>
      </c>
      <c r="F1695" s="66" t="s">
        <v>307</v>
      </c>
      <c r="G1695" s="70" t="s">
        <v>467</v>
      </c>
      <c r="H1695" s="70" t="s">
        <v>466</v>
      </c>
      <c r="I1695" s="363">
        <v>3</v>
      </c>
      <c r="J1695" s="64"/>
      <c r="K1695" s="64"/>
      <c r="L1695" s="64"/>
    </row>
    <row r="1696" spans="1:12" x14ac:dyDescent="0.25">
      <c r="A1696" s="71">
        <v>952900</v>
      </c>
      <c r="B1696" s="71">
        <v>2007</v>
      </c>
      <c r="C1696" s="71" t="s">
        <v>499</v>
      </c>
      <c r="D1696" s="71" t="s">
        <v>476</v>
      </c>
      <c r="E1696" s="71" t="s">
        <v>475</v>
      </c>
      <c r="F1696" s="66" t="s">
        <v>307</v>
      </c>
      <c r="G1696" s="70" t="s">
        <v>467</v>
      </c>
      <c r="H1696" s="70" t="s">
        <v>466</v>
      </c>
      <c r="I1696" s="363">
        <v>3</v>
      </c>
      <c r="J1696" s="64"/>
      <c r="K1696" s="64"/>
      <c r="L1696" s="64"/>
    </row>
    <row r="1697" spans="1:12" x14ac:dyDescent="0.25">
      <c r="A1697" s="71">
        <v>952901</v>
      </c>
      <c r="B1697" s="71">
        <v>2007</v>
      </c>
      <c r="C1697" s="71" t="s">
        <v>498</v>
      </c>
      <c r="D1697" s="71" t="s">
        <v>476</v>
      </c>
      <c r="E1697" s="71" t="s">
        <v>475</v>
      </c>
      <c r="F1697" s="66" t="s">
        <v>307</v>
      </c>
      <c r="G1697" s="70" t="s">
        <v>467</v>
      </c>
      <c r="H1697" s="70" t="s">
        <v>466</v>
      </c>
      <c r="I1697" s="363">
        <v>3</v>
      </c>
      <c r="J1697" s="64"/>
      <c r="K1697" s="64"/>
      <c r="L1697" s="64"/>
    </row>
    <row r="1698" spans="1:12" x14ac:dyDescent="0.25">
      <c r="A1698" s="71">
        <v>952902</v>
      </c>
      <c r="B1698" s="71">
        <v>2007</v>
      </c>
      <c r="C1698" s="71" t="s">
        <v>497</v>
      </c>
      <c r="D1698" s="71" t="s">
        <v>476</v>
      </c>
      <c r="E1698" s="71" t="s">
        <v>475</v>
      </c>
      <c r="F1698" s="66" t="s">
        <v>307</v>
      </c>
      <c r="G1698" s="70" t="s">
        <v>467</v>
      </c>
      <c r="H1698" s="70" t="s">
        <v>466</v>
      </c>
      <c r="I1698" s="363">
        <v>3</v>
      </c>
      <c r="J1698" s="64"/>
      <c r="K1698" s="64"/>
      <c r="L1698" s="64"/>
    </row>
    <row r="1699" spans="1:12" x14ac:dyDescent="0.25">
      <c r="A1699" s="71">
        <v>952903</v>
      </c>
      <c r="B1699" s="71">
        <v>2007</v>
      </c>
      <c r="C1699" s="71" t="s">
        <v>496</v>
      </c>
      <c r="D1699" s="71" t="s">
        <v>476</v>
      </c>
      <c r="E1699" s="71" t="s">
        <v>475</v>
      </c>
      <c r="F1699" s="66" t="s">
        <v>307</v>
      </c>
      <c r="G1699" s="70" t="s">
        <v>467</v>
      </c>
      <c r="H1699" s="70" t="s">
        <v>466</v>
      </c>
      <c r="I1699" s="363">
        <v>3</v>
      </c>
      <c r="J1699" s="64"/>
      <c r="K1699" s="64"/>
      <c r="L1699" s="64"/>
    </row>
    <row r="1700" spans="1:12" x14ac:dyDescent="0.25">
      <c r="A1700" s="71">
        <v>952904</v>
      </c>
      <c r="B1700" s="71">
        <v>2007</v>
      </c>
      <c r="C1700" s="71" t="s">
        <v>495</v>
      </c>
      <c r="D1700" s="71" t="s">
        <v>476</v>
      </c>
      <c r="E1700" s="71" t="s">
        <v>475</v>
      </c>
      <c r="F1700" s="66" t="s">
        <v>307</v>
      </c>
      <c r="G1700" s="70" t="s">
        <v>467</v>
      </c>
      <c r="H1700" s="70" t="s">
        <v>466</v>
      </c>
      <c r="I1700" s="363">
        <v>3</v>
      </c>
      <c r="J1700" s="64"/>
      <c r="K1700" s="64"/>
      <c r="L1700" s="64"/>
    </row>
    <row r="1701" spans="1:12" x14ac:dyDescent="0.25">
      <c r="A1701" s="71">
        <v>952909</v>
      </c>
      <c r="B1701" s="71">
        <v>2007</v>
      </c>
      <c r="C1701" s="71" t="s">
        <v>494</v>
      </c>
      <c r="D1701" s="71" t="s">
        <v>476</v>
      </c>
      <c r="E1701" s="71" t="s">
        <v>475</v>
      </c>
      <c r="F1701" s="66" t="s">
        <v>307</v>
      </c>
      <c r="G1701" s="70" t="s">
        <v>467</v>
      </c>
      <c r="H1701" s="70" t="s">
        <v>466</v>
      </c>
      <c r="I1701" s="363">
        <v>3</v>
      </c>
      <c r="J1701" s="64"/>
      <c r="K1701" s="64"/>
      <c r="L1701" s="64"/>
    </row>
    <row r="1702" spans="1:12" x14ac:dyDescent="0.25">
      <c r="A1702" s="71">
        <v>960000</v>
      </c>
      <c r="B1702" s="71">
        <v>2007</v>
      </c>
      <c r="C1702" s="71" t="s">
        <v>493</v>
      </c>
      <c r="D1702" s="71" t="s">
        <v>476</v>
      </c>
      <c r="E1702" s="71" t="s">
        <v>475</v>
      </c>
      <c r="F1702" s="66" t="s">
        <v>307</v>
      </c>
      <c r="G1702" s="70" t="s">
        <v>467</v>
      </c>
      <c r="H1702" s="70" t="s">
        <v>466</v>
      </c>
      <c r="I1702" s="363">
        <v>3</v>
      </c>
      <c r="J1702" s="64"/>
      <c r="K1702" s="64"/>
      <c r="L1702" s="64"/>
    </row>
    <row r="1703" spans="1:12" x14ac:dyDescent="0.25">
      <c r="A1703" s="71">
        <v>960100</v>
      </c>
      <c r="B1703" s="71">
        <v>2007</v>
      </c>
      <c r="C1703" s="71" t="s">
        <v>492</v>
      </c>
      <c r="D1703" s="71" t="s">
        <v>476</v>
      </c>
      <c r="E1703" s="71" t="s">
        <v>475</v>
      </c>
      <c r="F1703" s="66" t="s">
        <v>307</v>
      </c>
      <c r="G1703" s="70" t="s">
        <v>467</v>
      </c>
      <c r="H1703" s="70" t="s">
        <v>466</v>
      </c>
      <c r="I1703" s="363">
        <v>3</v>
      </c>
      <c r="J1703" s="64"/>
      <c r="K1703" s="64"/>
      <c r="L1703" s="64"/>
    </row>
    <row r="1704" spans="1:12" x14ac:dyDescent="0.25">
      <c r="A1704" s="71">
        <v>960110</v>
      </c>
      <c r="B1704" s="71">
        <v>2007</v>
      </c>
      <c r="C1704" s="71" t="s">
        <v>491</v>
      </c>
      <c r="D1704" s="71" t="s">
        <v>476</v>
      </c>
      <c r="E1704" s="71" t="s">
        <v>475</v>
      </c>
      <c r="F1704" s="66" t="s">
        <v>307</v>
      </c>
      <c r="G1704" s="70" t="s">
        <v>467</v>
      </c>
      <c r="H1704" s="70" t="s">
        <v>466</v>
      </c>
      <c r="I1704" s="363">
        <v>3</v>
      </c>
      <c r="J1704" s="64"/>
      <c r="K1704" s="64"/>
      <c r="L1704" s="64"/>
    </row>
    <row r="1705" spans="1:12" x14ac:dyDescent="0.25">
      <c r="A1705" s="71">
        <v>960120</v>
      </c>
      <c r="B1705" s="71">
        <v>2007</v>
      </c>
      <c r="C1705" s="71" t="s">
        <v>490</v>
      </c>
      <c r="D1705" s="71" t="s">
        <v>476</v>
      </c>
      <c r="E1705" s="71" t="s">
        <v>475</v>
      </c>
      <c r="F1705" s="66" t="s">
        <v>307</v>
      </c>
      <c r="G1705" s="70" t="s">
        <v>467</v>
      </c>
      <c r="H1705" s="70" t="s">
        <v>466</v>
      </c>
      <c r="I1705" s="363">
        <v>3</v>
      </c>
      <c r="J1705" s="64"/>
      <c r="K1705" s="64"/>
      <c r="L1705" s="64"/>
    </row>
    <row r="1706" spans="1:12" x14ac:dyDescent="0.25">
      <c r="A1706" s="71">
        <v>960200</v>
      </c>
      <c r="B1706" s="71">
        <v>2007</v>
      </c>
      <c r="C1706" s="71" t="s">
        <v>489</v>
      </c>
      <c r="D1706" s="71" t="s">
        <v>476</v>
      </c>
      <c r="E1706" s="71" t="s">
        <v>475</v>
      </c>
      <c r="F1706" s="66" t="s">
        <v>307</v>
      </c>
      <c r="G1706" s="70" t="s">
        <v>467</v>
      </c>
      <c r="H1706" s="70" t="s">
        <v>466</v>
      </c>
      <c r="I1706" s="363">
        <v>3</v>
      </c>
      <c r="J1706" s="64"/>
      <c r="K1706" s="64"/>
      <c r="L1706" s="64"/>
    </row>
    <row r="1707" spans="1:12" x14ac:dyDescent="0.25">
      <c r="A1707" s="71">
        <v>960201</v>
      </c>
      <c r="B1707" s="71">
        <v>2007</v>
      </c>
      <c r="C1707" s="71" t="s">
        <v>488</v>
      </c>
      <c r="D1707" s="71" t="s">
        <v>476</v>
      </c>
      <c r="E1707" s="71" t="s">
        <v>475</v>
      </c>
      <c r="F1707" s="66" t="s">
        <v>307</v>
      </c>
      <c r="G1707" s="70" t="s">
        <v>467</v>
      </c>
      <c r="H1707" s="70" t="s">
        <v>466</v>
      </c>
      <c r="I1707" s="363">
        <v>3</v>
      </c>
      <c r="J1707" s="64"/>
      <c r="K1707" s="64"/>
      <c r="L1707" s="64"/>
    </row>
    <row r="1708" spans="1:12" x14ac:dyDescent="0.25">
      <c r="A1708" s="71">
        <v>960202</v>
      </c>
      <c r="B1708" s="71">
        <v>2007</v>
      </c>
      <c r="C1708" s="71" t="s">
        <v>487</v>
      </c>
      <c r="D1708" s="71" t="s">
        <v>476</v>
      </c>
      <c r="E1708" s="71" t="s">
        <v>475</v>
      </c>
      <c r="F1708" s="66" t="s">
        <v>307</v>
      </c>
      <c r="G1708" s="70" t="s">
        <v>467</v>
      </c>
      <c r="H1708" s="70" t="s">
        <v>466</v>
      </c>
      <c r="I1708" s="363">
        <v>3</v>
      </c>
      <c r="J1708" s="64"/>
      <c r="K1708" s="64"/>
      <c r="L1708" s="64"/>
    </row>
    <row r="1709" spans="1:12" x14ac:dyDescent="0.25">
      <c r="A1709" s="71">
        <v>960203</v>
      </c>
      <c r="B1709" s="71">
        <v>2007</v>
      </c>
      <c r="C1709" s="71" t="s">
        <v>486</v>
      </c>
      <c r="D1709" s="71" t="s">
        <v>476</v>
      </c>
      <c r="E1709" s="71" t="s">
        <v>475</v>
      </c>
      <c r="F1709" s="66" t="s">
        <v>307</v>
      </c>
      <c r="G1709" s="70" t="s">
        <v>467</v>
      </c>
      <c r="H1709" s="70" t="s">
        <v>466</v>
      </c>
      <c r="I1709" s="363">
        <v>3</v>
      </c>
      <c r="J1709" s="64"/>
      <c r="K1709" s="64"/>
      <c r="L1709" s="64"/>
    </row>
    <row r="1710" spans="1:12" x14ac:dyDescent="0.25">
      <c r="A1710" s="71">
        <v>960300</v>
      </c>
      <c r="B1710" s="71">
        <v>2007</v>
      </c>
      <c r="C1710" s="71" t="s">
        <v>485</v>
      </c>
      <c r="D1710" s="71" t="s">
        <v>476</v>
      </c>
      <c r="E1710" s="71" t="s">
        <v>475</v>
      </c>
      <c r="F1710" s="66" t="s">
        <v>307</v>
      </c>
      <c r="G1710" s="70" t="s">
        <v>467</v>
      </c>
      <c r="H1710" s="70" t="s">
        <v>466</v>
      </c>
      <c r="I1710" s="363">
        <v>3</v>
      </c>
      <c r="J1710" s="64"/>
      <c r="K1710" s="64"/>
      <c r="L1710" s="64"/>
    </row>
    <row r="1711" spans="1:12" x14ac:dyDescent="0.25">
      <c r="A1711" s="71">
        <v>960400</v>
      </c>
      <c r="B1711" s="71">
        <v>2007</v>
      </c>
      <c r="C1711" s="71" t="s">
        <v>484</v>
      </c>
      <c r="D1711" s="71" t="s">
        <v>476</v>
      </c>
      <c r="E1711" s="71" t="s">
        <v>475</v>
      </c>
      <c r="F1711" s="66" t="s">
        <v>307</v>
      </c>
      <c r="G1711" s="70" t="s">
        <v>467</v>
      </c>
      <c r="H1711" s="70" t="s">
        <v>466</v>
      </c>
      <c r="I1711" s="363">
        <v>3</v>
      </c>
      <c r="J1711" s="64"/>
      <c r="K1711" s="64"/>
      <c r="L1711" s="64"/>
    </row>
    <row r="1712" spans="1:12" x14ac:dyDescent="0.25">
      <c r="A1712" s="71">
        <v>960410</v>
      </c>
      <c r="B1712" s="71">
        <v>2007</v>
      </c>
      <c r="C1712" s="71" t="s">
        <v>483</v>
      </c>
      <c r="D1712" s="71" t="s">
        <v>476</v>
      </c>
      <c r="E1712" s="71" t="s">
        <v>475</v>
      </c>
      <c r="F1712" s="66" t="s">
        <v>307</v>
      </c>
      <c r="G1712" s="70" t="s">
        <v>467</v>
      </c>
      <c r="H1712" s="70" t="s">
        <v>466</v>
      </c>
      <c r="I1712" s="363">
        <v>3</v>
      </c>
      <c r="J1712" s="64"/>
      <c r="K1712" s="64"/>
      <c r="L1712" s="64"/>
    </row>
    <row r="1713" spans="1:12" x14ac:dyDescent="0.25">
      <c r="A1713" s="71">
        <v>960420</v>
      </c>
      <c r="B1713" s="71">
        <v>2007</v>
      </c>
      <c r="C1713" s="71" t="s">
        <v>482</v>
      </c>
      <c r="D1713" s="71" t="s">
        <v>476</v>
      </c>
      <c r="E1713" s="71" t="s">
        <v>475</v>
      </c>
      <c r="F1713" s="66" t="s">
        <v>307</v>
      </c>
      <c r="G1713" s="70" t="s">
        <v>467</v>
      </c>
      <c r="H1713" s="70" t="s">
        <v>466</v>
      </c>
      <c r="I1713" s="363">
        <v>3</v>
      </c>
      <c r="J1713" s="64"/>
      <c r="K1713" s="64"/>
      <c r="L1713" s="64"/>
    </row>
    <row r="1714" spans="1:12" x14ac:dyDescent="0.25">
      <c r="A1714" s="71">
        <v>960900</v>
      </c>
      <c r="B1714" s="71">
        <v>2007</v>
      </c>
      <c r="C1714" s="71" t="s">
        <v>477</v>
      </c>
      <c r="D1714" s="71" t="s">
        <v>476</v>
      </c>
      <c r="E1714" s="71" t="s">
        <v>475</v>
      </c>
      <c r="F1714" s="66" t="s">
        <v>307</v>
      </c>
      <c r="G1714" s="70" t="s">
        <v>467</v>
      </c>
      <c r="H1714" s="70" t="s">
        <v>466</v>
      </c>
      <c r="I1714" s="363">
        <v>3</v>
      </c>
      <c r="J1714" s="64"/>
      <c r="K1714" s="64"/>
      <c r="L1714" s="64"/>
    </row>
    <row r="1715" spans="1:12" x14ac:dyDescent="0.25">
      <c r="A1715" s="71">
        <v>960901</v>
      </c>
      <c r="B1715" s="71">
        <v>2007</v>
      </c>
      <c r="C1715" s="71" t="s">
        <v>481</v>
      </c>
      <c r="D1715" s="71" t="s">
        <v>476</v>
      </c>
      <c r="E1715" s="71" t="s">
        <v>475</v>
      </c>
      <c r="F1715" s="66" t="s">
        <v>307</v>
      </c>
      <c r="G1715" s="70" t="s">
        <v>467</v>
      </c>
      <c r="H1715" s="70" t="s">
        <v>466</v>
      </c>
      <c r="I1715" s="363">
        <v>3</v>
      </c>
      <c r="J1715" s="64"/>
      <c r="K1715" s="64"/>
      <c r="L1715" s="64"/>
    </row>
    <row r="1716" spans="1:12" x14ac:dyDescent="0.25">
      <c r="A1716" s="71">
        <v>960902</v>
      </c>
      <c r="B1716" s="71">
        <v>2007</v>
      </c>
      <c r="C1716" s="71" t="s">
        <v>480</v>
      </c>
      <c r="D1716" s="71" t="s">
        <v>476</v>
      </c>
      <c r="E1716" s="71" t="s">
        <v>475</v>
      </c>
      <c r="F1716" s="66" t="s">
        <v>307</v>
      </c>
      <c r="G1716" s="70" t="s">
        <v>467</v>
      </c>
      <c r="H1716" s="70" t="s">
        <v>466</v>
      </c>
      <c r="I1716" s="363">
        <v>3</v>
      </c>
      <c r="J1716" s="64"/>
      <c r="K1716" s="64"/>
      <c r="L1716" s="64"/>
    </row>
    <row r="1717" spans="1:12" x14ac:dyDescent="0.25">
      <c r="A1717" s="71">
        <v>960903</v>
      </c>
      <c r="B1717" s="71">
        <v>2007</v>
      </c>
      <c r="C1717" s="71" t="s">
        <v>479</v>
      </c>
      <c r="D1717" s="71" t="s">
        <v>476</v>
      </c>
      <c r="E1717" s="71" t="s">
        <v>475</v>
      </c>
      <c r="F1717" s="66" t="s">
        <v>307</v>
      </c>
      <c r="G1717" s="70" t="s">
        <v>467</v>
      </c>
      <c r="H1717" s="70" t="s">
        <v>466</v>
      </c>
      <c r="I1717" s="363">
        <v>3</v>
      </c>
      <c r="J1717" s="64"/>
      <c r="K1717" s="64"/>
      <c r="L1717" s="64"/>
    </row>
    <row r="1718" spans="1:12" x14ac:dyDescent="0.25">
      <c r="A1718" s="71">
        <v>960904</v>
      </c>
      <c r="B1718" s="71">
        <v>2007</v>
      </c>
      <c r="C1718" s="71" t="s">
        <v>478</v>
      </c>
      <c r="D1718" s="71" t="s">
        <v>476</v>
      </c>
      <c r="E1718" s="71" t="s">
        <v>475</v>
      </c>
      <c r="F1718" s="66" t="s">
        <v>307</v>
      </c>
      <c r="G1718" s="70" t="s">
        <v>467</v>
      </c>
      <c r="H1718" s="70" t="s">
        <v>466</v>
      </c>
      <c r="I1718" s="363">
        <v>3</v>
      </c>
      <c r="J1718" s="64"/>
      <c r="K1718" s="64"/>
      <c r="L1718" s="64"/>
    </row>
    <row r="1719" spans="1:12" x14ac:dyDescent="0.25">
      <c r="A1719" s="71">
        <v>960909</v>
      </c>
      <c r="B1719" s="71">
        <v>2007</v>
      </c>
      <c r="C1719" s="71" t="s">
        <v>477</v>
      </c>
      <c r="D1719" s="71" t="s">
        <v>476</v>
      </c>
      <c r="E1719" s="71" t="s">
        <v>475</v>
      </c>
      <c r="F1719" s="66" t="s">
        <v>307</v>
      </c>
      <c r="G1719" s="70" t="s">
        <v>467</v>
      </c>
      <c r="H1719" s="70" t="s">
        <v>466</v>
      </c>
      <c r="I1719" s="363">
        <v>3</v>
      </c>
      <c r="J1719" s="64"/>
      <c r="K1719" s="64"/>
      <c r="L1719" s="64"/>
    </row>
    <row r="1720" spans="1:12" x14ac:dyDescent="0.25">
      <c r="A1720" s="71">
        <v>970000</v>
      </c>
      <c r="B1720" s="71">
        <v>2007</v>
      </c>
      <c r="C1720" s="71" t="s">
        <v>474</v>
      </c>
      <c r="D1720" s="71" t="s">
        <v>469</v>
      </c>
      <c r="E1720" s="71" t="s">
        <v>468</v>
      </c>
      <c r="F1720" s="66" t="s">
        <v>307</v>
      </c>
      <c r="G1720" s="70" t="s">
        <v>467</v>
      </c>
      <c r="H1720" s="70" t="s">
        <v>466</v>
      </c>
      <c r="I1720" s="363">
        <v>3</v>
      </c>
      <c r="J1720" s="64"/>
      <c r="K1720" s="64"/>
      <c r="L1720" s="64"/>
    </row>
    <row r="1721" spans="1:12" x14ac:dyDescent="0.25">
      <c r="A1721" s="71">
        <v>980000</v>
      </c>
      <c r="B1721" s="71">
        <v>2007</v>
      </c>
      <c r="C1721" s="71" t="s">
        <v>473</v>
      </c>
      <c r="D1721" s="71" t="s">
        <v>469</v>
      </c>
      <c r="E1721" s="71" t="s">
        <v>468</v>
      </c>
      <c r="F1721" s="66" t="s">
        <v>307</v>
      </c>
      <c r="G1721" s="70" t="s">
        <v>467</v>
      </c>
      <c r="H1721" s="70" t="s">
        <v>466</v>
      </c>
      <c r="I1721" s="363">
        <v>3</v>
      </c>
      <c r="J1721" s="64"/>
      <c r="K1721" s="64"/>
      <c r="L1721" s="64"/>
    </row>
    <row r="1722" spans="1:12" x14ac:dyDescent="0.25">
      <c r="A1722" s="71">
        <v>981000</v>
      </c>
      <c r="B1722" s="71">
        <v>2007</v>
      </c>
      <c r="C1722" s="71" t="s">
        <v>472</v>
      </c>
      <c r="D1722" s="71" t="s">
        <v>469</v>
      </c>
      <c r="E1722" s="71" t="s">
        <v>468</v>
      </c>
      <c r="F1722" s="66" t="s">
        <v>307</v>
      </c>
      <c r="G1722" s="70" t="s">
        <v>467</v>
      </c>
      <c r="H1722" s="70" t="s">
        <v>466</v>
      </c>
      <c r="I1722" s="363">
        <v>3</v>
      </c>
      <c r="J1722" s="64"/>
      <c r="K1722" s="64"/>
      <c r="L1722" s="64"/>
    </row>
    <row r="1723" spans="1:12" x14ac:dyDescent="0.25">
      <c r="A1723" s="71">
        <v>982000</v>
      </c>
      <c r="B1723" s="71">
        <v>2007</v>
      </c>
      <c r="C1723" s="71" t="s">
        <v>471</v>
      </c>
      <c r="D1723" s="71" t="s">
        <v>469</v>
      </c>
      <c r="E1723" s="71" t="s">
        <v>468</v>
      </c>
      <c r="F1723" s="66" t="s">
        <v>307</v>
      </c>
      <c r="G1723" s="70" t="s">
        <v>467</v>
      </c>
      <c r="H1723" s="70" t="s">
        <v>466</v>
      </c>
      <c r="I1723" s="363">
        <v>3</v>
      </c>
      <c r="J1723" s="64"/>
      <c r="K1723" s="64"/>
      <c r="L1723" s="64"/>
    </row>
    <row r="1724" spans="1:12" x14ac:dyDescent="0.25">
      <c r="A1724" s="71">
        <v>990000</v>
      </c>
      <c r="B1724" s="71">
        <v>2007</v>
      </c>
      <c r="C1724" s="71" t="s">
        <v>470</v>
      </c>
      <c r="D1724" s="71" t="s">
        <v>469</v>
      </c>
      <c r="E1724" s="71" t="s">
        <v>468</v>
      </c>
      <c r="F1724" s="66" t="s">
        <v>307</v>
      </c>
      <c r="G1724" s="70" t="s">
        <v>467</v>
      </c>
      <c r="H1724" s="70" t="s">
        <v>466</v>
      </c>
      <c r="I1724" s="363">
        <v>3</v>
      </c>
      <c r="J1724" s="64"/>
      <c r="K1724" s="64"/>
      <c r="L1724" s="64"/>
    </row>
  </sheetData>
  <sheetProtection algorithmName="SHA-512" hashValue="wxndeeLbi9L1G21TKoKK5xS1uyzXeJ0bnSQQ3h0so9corpXru4JrlGmy3SP/Ru5OsWMSpw9jbgnGFR5IEd2CJw==" saltValue="3L1PkedQNDheFdVPVJPVTg==" spinCount="100000" sheet="1" autoFilter="0"/>
  <autoFilter ref="A1:V1724" xr:uid="{00000000-0009-0000-0000-000007000000}">
    <filterColumn colId="14" showButton="0"/>
    <filterColumn colId="15" showButton="0"/>
    <filterColumn colId="16" showButton="0"/>
    <filterColumn colId="17" showButton="0"/>
    <filterColumn colId="18" showButton="0"/>
    <filterColumn colId="19" showButton="0"/>
  </autoFilter>
  <mergeCells count="1">
    <mergeCell ref="O1:U1"/>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8"/>
  <dimension ref="A1:E807"/>
  <sheetViews>
    <sheetView workbookViewId="0"/>
  </sheetViews>
  <sheetFormatPr defaultColWidth="9.140625" defaultRowHeight="15" x14ac:dyDescent="0.25"/>
  <cols>
    <col min="1" max="1" width="9.140625" style="64"/>
    <col min="2" max="2" width="52.7109375" style="64" bestFit="1" customWidth="1"/>
    <col min="3" max="3" width="7.140625" style="456" customWidth="1"/>
    <col min="4" max="4" width="31.5703125" style="64" bestFit="1" customWidth="1"/>
    <col min="5" max="5" width="13.28515625" style="64" bestFit="1" customWidth="1"/>
    <col min="6" max="16384" width="9.140625" style="64"/>
  </cols>
  <sheetData>
    <row r="1" spans="1:5" ht="15.75" thickBot="1" x14ac:dyDescent="0.3">
      <c r="A1" s="443" t="s">
        <v>2600</v>
      </c>
      <c r="B1" s="443" t="s">
        <v>2601</v>
      </c>
      <c r="C1" s="443" t="s">
        <v>2602</v>
      </c>
      <c r="D1" s="443" t="s">
        <v>2603</v>
      </c>
      <c r="E1" s="443" t="s">
        <v>2604</v>
      </c>
    </row>
    <row r="2" spans="1:5" x14ac:dyDescent="0.25">
      <c r="A2" s="444">
        <v>38</v>
      </c>
      <c r="B2" s="444" t="s">
        <v>2605</v>
      </c>
      <c r="C2" s="445" t="s">
        <v>2606</v>
      </c>
      <c r="D2" s="64" t="s">
        <v>2607</v>
      </c>
      <c r="E2" s="64" t="s">
        <v>2608</v>
      </c>
    </row>
    <row r="3" spans="1:5" x14ac:dyDescent="0.25">
      <c r="A3" s="446">
        <v>39</v>
      </c>
      <c r="B3" s="446" t="s">
        <v>2609</v>
      </c>
      <c r="C3" s="447" t="s">
        <v>2606</v>
      </c>
      <c r="D3" s="64" t="s">
        <v>2610</v>
      </c>
      <c r="E3" s="64" t="s">
        <v>2611</v>
      </c>
    </row>
    <row r="4" spans="1:5" x14ac:dyDescent="0.25">
      <c r="A4" s="446">
        <v>40</v>
      </c>
      <c r="B4" s="446" t="s">
        <v>2612</v>
      </c>
      <c r="C4" s="447" t="s">
        <v>2606</v>
      </c>
      <c r="D4" s="64" t="s">
        <v>2610</v>
      </c>
      <c r="E4" s="64" t="s">
        <v>2611</v>
      </c>
    </row>
    <row r="5" spans="1:5" x14ac:dyDescent="0.25">
      <c r="A5" s="446">
        <v>41</v>
      </c>
      <c r="B5" s="446" t="s">
        <v>2613</v>
      </c>
      <c r="C5" s="447" t="s">
        <v>2606</v>
      </c>
      <c r="D5" s="64" t="s">
        <v>2607</v>
      </c>
      <c r="E5" s="64" t="s">
        <v>2608</v>
      </c>
    </row>
    <row r="6" spans="1:5" x14ac:dyDescent="0.25">
      <c r="A6" s="446">
        <v>42</v>
      </c>
      <c r="B6" s="446" t="s">
        <v>2614</v>
      </c>
      <c r="C6" s="447" t="s">
        <v>2606</v>
      </c>
      <c r="D6" s="64" t="s">
        <v>2607</v>
      </c>
      <c r="E6" s="64" t="s">
        <v>2608</v>
      </c>
    </row>
    <row r="7" spans="1:5" x14ac:dyDescent="0.25">
      <c r="A7" s="446">
        <v>43</v>
      </c>
      <c r="B7" s="446" t="s">
        <v>2615</v>
      </c>
      <c r="C7" s="447" t="s">
        <v>2606</v>
      </c>
      <c r="D7" s="64" t="s">
        <v>2607</v>
      </c>
      <c r="E7" s="64" t="s">
        <v>2608</v>
      </c>
    </row>
    <row r="8" spans="1:5" x14ac:dyDescent="0.25">
      <c r="A8" s="446">
        <v>44</v>
      </c>
      <c r="B8" s="446" t="s">
        <v>2616</v>
      </c>
      <c r="C8" s="447" t="s">
        <v>2606</v>
      </c>
      <c r="D8" s="64" t="s">
        <v>2607</v>
      </c>
      <c r="E8" s="64" t="s">
        <v>2608</v>
      </c>
    </row>
    <row r="9" spans="1:5" x14ac:dyDescent="0.25">
      <c r="A9" s="446">
        <v>45</v>
      </c>
      <c r="B9" s="446" t="s">
        <v>2617</v>
      </c>
      <c r="C9" s="447" t="s">
        <v>2606</v>
      </c>
      <c r="D9" s="64" t="s">
        <v>2607</v>
      </c>
      <c r="E9" s="64" t="s">
        <v>2608</v>
      </c>
    </row>
    <row r="10" spans="1:5" x14ac:dyDescent="0.25">
      <c r="A10" s="446">
        <v>46</v>
      </c>
      <c r="B10" s="446" t="s">
        <v>2618</v>
      </c>
      <c r="C10" s="447" t="s">
        <v>2606</v>
      </c>
      <c r="D10" s="64" t="s">
        <v>2607</v>
      </c>
      <c r="E10" s="64" t="s">
        <v>2608</v>
      </c>
    </row>
    <row r="11" spans="1:5" x14ac:dyDescent="0.25">
      <c r="A11" s="446">
        <v>47</v>
      </c>
      <c r="B11" s="446" t="s">
        <v>2619</v>
      </c>
      <c r="C11" s="447" t="s">
        <v>2606</v>
      </c>
      <c r="D11" s="64" t="s">
        <v>2607</v>
      </c>
      <c r="E11" s="64" t="s">
        <v>2608</v>
      </c>
    </row>
    <row r="12" spans="1:5" x14ac:dyDescent="0.25">
      <c r="A12" s="446">
        <v>48</v>
      </c>
      <c r="B12" s="446" t="s">
        <v>2620</v>
      </c>
      <c r="C12" s="447" t="s">
        <v>2606</v>
      </c>
      <c r="D12" s="64" t="s">
        <v>2607</v>
      </c>
      <c r="E12" s="64" t="s">
        <v>2608</v>
      </c>
    </row>
    <row r="13" spans="1:5" x14ac:dyDescent="0.25">
      <c r="A13" s="446">
        <v>49</v>
      </c>
      <c r="B13" s="446" t="s">
        <v>2621</v>
      </c>
      <c r="C13" s="447" t="s">
        <v>2606</v>
      </c>
      <c r="D13" s="64" t="s">
        <v>2607</v>
      </c>
      <c r="E13" s="64" t="s">
        <v>2608</v>
      </c>
    </row>
    <row r="14" spans="1:5" x14ac:dyDescent="0.25">
      <c r="A14" s="446">
        <v>50</v>
      </c>
      <c r="B14" s="446" t="s">
        <v>2622</v>
      </c>
      <c r="C14" s="447" t="s">
        <v>2606</v>
      </c>
      <c r="D14" s="64" t="s">
        <v>2607</v>
      </c>
      <c r="E14" s="64" t="s">
        <v>2608</v>
      </c>
    </row>
    <row r="15" spans="1:5" x14ac:dyDescent="0.25">
      <c r="A15" s="446">
        <v>51</v>
      </c>
      <c r="B15" s="446" t="s">
        <v>2623</v>
      </c>
      <c r="C15" s="447" t="s">
        <v>2606</v>
      </c>
      <c r="D15" s="64" t="s">
        <v>2610</v>
      </c>
      <c r="E15" s="64" t="s">
        <v>2611</v>
      </c>
    </row>
    <row r="16" spans="1:5" x14ac:dyDescent="0.25">
      <c r="A16" s="446">
        <v>52</v>
      </c>
      <c r="B16" s="446" t="s">
        <v>2624</v>
      </c>
      <c r="C16" s="447" t="s">
        <v>2606</v>
      </c>
      <c r="D16" s="64" t="s">
        <v>2607</v>
      </c>
      <c r="E16" s="64" t="s">
        <v>2608</v>
      </c>
    </row>
    <row r="17" spans="1:5" x14ac:dyDescent="0.25">
      <c r="A17" s="446">
        <v>53</v>
      </c>
      <c r="B17" s="446" t="s">
        <v>2625</v>
      </c>
      <c r="C17" s="447" t="s">
        <v>2606</v>
      </c>
      <c r="D17" s="64" t="s">
        <v>2610</v>
      </c>
      <c r="E17" s="64" t="s">
        <v>2611</v>
      </c>
    </row>
    <row r="18" spans="1:5" x14ac:dyDescent="0.25">
      <c r="A18" s="446">
        <v>65</v>
      </c>
      <c r="B18" s="446" t="s">
        <v>2626</v>
      </c>
      <c r="C18" s="447" t="s">
        <v>2606</v>
      </c>
      <c r="D18" s="64" t="s">
        <v>2607</v>
      </c>
      <c r="E18" s="64" t="s">
        <v>2608</v>
      </c>
    </row>
    <row r="19" spans="1:5" x14ac:dyDescent="0.25">
      <c r="A19" s="446">
        <v>200</v>
      </c>
      <c r="B19" s="446" t="s">
        <v>2627</v>
      </c>
      <c r="C19" s="447" t="s">
        <v>2606</v>
      </c>
      <c r="D19" s="64" t="s">
        <v>2610</v>
      </c>
      <c r="E19" s="64" t="s">
        <v>2611</v>
      </c>
    </row>
    <row r="20" spans="1:5" x14ac:dyDescent="0.25">
      <c r="A20" s="446">
        <v>281</v>
      </c>
      <c r="B20" s="446" t="s">
        <v>2628</v>
      </c>
      <c r="C20" s="447" t="s">
        <v>2606</v>
      </c>
      <c r="D20" s="64" t="s">
        <v>2610</v>
      </c>
      <c r="E20" s="64" t="s">
        <v>2611</v>
      </c>
    </row>
    <row r="21" spans="1:5" x14ac:dyDescent="0.25">
      <c r="A21" s="446">
        <v>282</v>
      </c>
      <c r="B21" s="446" t="s">
        <v>2629</v>
      </c>
      <c r="C21" s="447" t="s">
        <v>2606</v>
      </c>
      <c r="D21" s="64" t="s">
        <v>2610</v>
      </c>
      <c r="E21" s="64" t="s">
        <v>2611</v>
      </c>
    </row>
    <row r="22" spans="1:5" x14ac:dyDescent="0.25">
      <c r="A22" s="446">
        <v>283</v>
      </c>
      <c r="B22" s="446" t="s">
        <v>2630</v>
      </c>
      <c r="C22" s="447" t="s">
        <v>2606</v>
      </c>
      <c r="D22" s="64" t="s">
        <v>2610</v>
      </c>
      <c r="E22" s="64" t="s">
        <v>2611</v>
      </c>
    </row>
    <row r="23" spans="1:5" x14ac:dyDescent="0.25">
      <c r="A23" s="446">
        <v>602</v>
      </c>
      <c r="B23" s="446" t="s">
        <v>2631</v>
      </c>
      <c r="C23" s="447" t="s">
        <v>2606</v>
      </c>
      <c r="D23" s="64" t="s">
        <v>2607</v>
      </c>
      <c r="E23" s="64" t="s">
        <v>2608</v>
      </c>
    </row>
    <row r="24" spans="1:5" x14ac:dyDescent="0.25">
      <c r="A24" s="446">
        <v>603</v>
      </c>
      <c r="B24" s="446" t="s">
        <v>2632</v>
      </c>
      <c r="C24" s="447" t="s">
        <v>2606</v>
      </c>
      <c r="D24" s="64" t="s">
        <v>2607</v>
      </c>
      <c r="E24" s="64" t="s">
        <v>2608</v>
      </c>
    </row>
    <row r="25" spans="1:5" x14ac:dyDescent="0.25">
      <c r="A25" s="446">
        <v>617</v>
      </c>
      <c r="B25" s="446" t="s">
        <v>2633</v>
      </c>
      <c r="C25" s="447" t="s">
        <v>2606</v>
      </c>
      <c r="D25" s="64" t="s">
        <v>2607</v>
      </c>
      <c r="E25" s="64" t="s">
        <v>2608</v>
      </c>
    </row>
    <row r="26" spans="1:5" x14ac:dyDescent="0.25">
      <c r="A26" s="446">
        <v>619</v>
      </c>
      <c r="B26" s="446" t="s">
        <v>2634</v>
      </c>
      <c r="C26" s="447" t="s">
        <v>2606</v>
      </c>
      <c r="D26" s="64" t="s">
        <v>2607</v>
      </c>
      <c r="E26" s="64" t="s">
        <v>2608</v>
      </c>
    </row>
    <row r="27" spans="1:5" x14ac:dyDescent="0.25">
      <c r="A27" s="446">
        <v>681</v>
      </c>
      <c r="B27" s="446" t="s">
        <v>2635</v>
      </c>
      <c r="C27" s="447" t="s">
        <v>2606</v>
      </c>
      <c r="D27" s="64" t="s">
        <v>2610</v>
      </c>
      <c r="E27" s="64" t="s">
        <v>2611</v>
      </c>
    </row>
    <row r="28" spans="1:5" x14ac:dyDescent="0.25">
      <c r="A28" s="446">
        <v>682</v>
      </c>
      <c r="B28" s="446" t="s">
        <v>2636</v>
      </c>
      <c r="C28" s="447" t="s">
        <v>2606</v>
      </c>
      <c r="D28" s="64" t="s">
        <v>2610</v>
      </c>
      <c r="E28" s="64" t="s">
        <v>2611</v>
      </c>
    </row>
    <row r="29" spans="1:5" x14ac:dyDescent="0.25">
      <c r="A29" s="446">
        <v>683</v>
      </c>
      <c r="B29" s="446" t="s">
        <v>2637</v>
      </c>
      <c r="C29" s="447" t="s">
        <v>2606</v>
      </c>
      <c r="D29" s="64" t="s">
        <v>2610</v>
      </c>
      <c r="E29" s="64" t="s">
        <v>2611</v>
      </c>
    </row>
    <row r="30" spans="1:5" x14ac:dyDescent="0.25">
      <c r="A30" s="446">
        <v>706</v>
      </c>
      <c r="B30" s="446" t="s">
        <v>2638</v>
      </c>
      <c r="C30" s="447" t="s">
        <v>2606</v>
      </c>
      <c r="D30" s="64" t="s">
        <v>2610</v>
      </c>
      <c r="E30" s="64" t="s">
        <v>2611</v>
      </c>
    </row>
    <row r="31" spans="1:5" x14ac:dyDescent="0.25">
      <c r="A31" s="446">
        <v>712</v>
      </c>
      <c r="B31" s="446" t="s">
        <v>2639</v>
      </c>
      <c r="C31" s="447" t="s">
        <v>2606</v>
      </c>
      <c r="D31" s="64" t="s">
        <v>2610</v>
      </c>
      <c r="E31" s="64" t="s">
        <v>2611</v>
      </c>
    </row>
    <row r="32" spans="1:5" x14ac:dyDescent="0.25">
      <c r="A32" s="446">
        <v>726</v>
      </c>
      <c r="B32" s="446" t="s">
        <v>2640</v>
      </c>
      <c r="C32" s="447" t="s">
        <v>2606</v>
      </c>
      <c r="D32" s="64" t="s">
        <v>2610</v>
      </c>
      <c r="E32" s="64" t="s">
        <v>2611</v>
      </c>
    </row>
    <row r="33" spans="1:5" x14ac:dyDescent="0.25">
      <c r="A33" s="446">
        <v>732</v>
      </c>
      <c r="B33" s="446" t="s">
        <v>2641</v>
      </c>
      <c r="C33" s="447" t="s">
        <v>2606</v>
      </c>
      <c r="D33" s="64" t="s">
        <v>2610</v>
      </c>
      <c r="E33" s="64" t="s">
        <v>2611</v>
      </c>
    </row>
    <row r="34" spans="1:5" x14ac:dyDescent="0.25">
      <c r="A34" s="446">
        <v>733</v>
      </c>
      <c r="B34" s="446" t="s">
        <v>2642</v>
      </c>
      <c r="C34" s="447" t="s">
        <v>2606</v>
      </c>
      <c r="D34" s="64" t="s">
        <v>2610</v>
      </c>
      <c r="E34" s="64" t="s">
        <v>2611</v>
      </c>
    </row>
    <row r="35" spans="1:5" x14ac:dyDescent="0.25">
      <c r="A35" s="446">
        <v>830</v>
      </c>
      <c r="B35" s="446" t="s">
        <v>2643</v>
      </c>
      <c r="C35" s="447" t="s">
        <v>2606</v>
      </c>
      <c r="D35" s="64" t="s">
        <v>2610</v>
      </c>
      <c r="E35" s="64" t="s">
        <v>2611</v>
      </c>
    </row>
    <row r="36" spans="1:5" x14ac:dyDescent="0.25">
      <c r="A36" s="446">
        <v>1190</v>
      </c>
      <c r="B36" s="446" t="s">
        <v>2644</v>
      </c>
      <c r="C36" s="447" t="s">
        <v>2606</v>
      </c>
      <c r="D36" s="64" t="s">
        <v>2607</v>
      </c>
      <c r="E36" s="64" t="s">
        <v>2608</v>
      </c>
    </row>
    <row r="37" spans="1:5" x14ac:dyDescent="0.25">
      <c r="A37" s="446">
        <v>3200</v>
      </c>
      <c r="B37" s="446" t="s">
        <v>2645</v>
      </c>
      <c r="C37" s="447" t="s">
        <v>2606</v>
      </c>
      <c r="D37" s="64" t="s">
        <v>2607</v>
      </c>
      <c r="E37" s="64" t="s">
        <v>2608</v>
      </c>
    </row>
    <row r="38" spans="1:5" x14ac:dyDescent="0.25">
      <c r="A38" s="446">
        <v>3201</v>
      </c>
      <c r="B38" s="446" t="s">
        <v>2646</v>
      </c>
      <c r="C38" s="447" t="s">
        <v>2606</v>
      </c>
      <c r="D38" s="64" t="s">
        <v>2607</v>
      </c>
      <c r="E38" s="64" t="s">
        <v>2608</v>
      </c>
    </row>
    <row r="39" spans="1:5" x14ac:dyDescent="0.25">
      <c r="A39" s="446">
        <v>7602</v>
      </c>
      <c r="B39" s="446" t="s">
        <v>2647</v>
      </c>
      <c r="C39" s="447" t="s">
        <v>2606</v>
      </c>
      <c r="D39" s="64" t="s">
        <v>2607</v>
      </c>
      <c r="E39" s="64" t="s">
        <v>2608</v>
      </c>
    </row>
    <row r="40" spans="1:5" x14ac:dyDescent="0.25">
      <c r="A40" s="446">
        <v>7603</v>
      </c>
      <c r="B40" s="446" t="s">
        <v>2648</v>
      </c>
      <c r="C40" s="447" t="s">
        <v>2606</v>
      </c>
      <c r="D40" s="64" t="s">
        <v>2607</v>
      </c>
      <c r="E40" s="64" t="s">
        <v>2608</v>
      </c>
    </row>
    <row r="41" spans="1:5" x14ac:dyDescent="0.25">
      <c r="A41" s="446">
        <v>7617</v>
      </c>
      <c r="B41" s="446" t="s">
        <v>2649</v>
      </c>
      <c r="C41" s="447" t="s">
        <v>2606</v>
      </c>
      <c r="D41" s="64" t="s">
        <v>2607</v>
      </c>
      <c r="E41" s="64" t="s">
        <v>2608</v>
      </c>
    </row>
    <row r="42" spans="1:5" x14ac:dyDescent="0.25">
      <c r="A42" s="446">
        <v>7619</v>
      </c>
      <c r="B42" s="446" t="s">
        <v>2650</v>
      </c>
      <c r="C42" s="447" t="s">
        <v>2606</v>
      </c>
      <c r="D42" s="64" t="s">
        <v>2607</v>
      </c>
      <c r="E42" s="64" t="s">
        <v>2608</v>
      </c>
    </row>
    <row r="43" spans="1:5" x14ac:dyDescent="0.25">
      <c r="A43" s="446">
        <v>7705</v>
      </c>
      <c r="B43" s="446" t="s">
        <v>2651</v>
      </c>
      <c r="C43" s="447" t="s">
        <v>2606</v>
      </c>
      <c r="D43" s="64" t="s">
        <v>2610</v>
      </c>
      <c r="E43" s="64" t="s">
        <v>2611</v>
      </c>
    </row>
    <row r="44" spans="1:5" x14ac:dyDescent="0.25">
      <c r="A44" s="446">
        <v>7706</v>
      </c>
      <c r="B44" s="446" t="s">
        <v>2652</v>
      </c>
      <c r="C44" s="447" t="s">
        <v>2606</v>
      </c>
      <c r="D44" s="64" t="s">
        <v>2610</v>
      </c>
      <c r="E44" s="64" t="s">
        <v>2611</v>
      </c>
    </row>
    <row r="45" spans="1:5" x14ac:dyDescent="0.25">
      <c r="A45" s="446">
        <v>7712</v>
      </c>
      <c r="B45" s="446" t="s">
        <v>2653</v>
      </c>
      <c r="C45" s="447" t="s">
        <v>2606</v>
      </c>
      <c r="D45" s="64" t="s">
        <v>2610</v>
      </c>
      <c r="E45" s="64" t="s">
        <v>2611</v>
      </c>
    </row>
    <row r="46" spans="1:5" x14ac:dyDescent="0.25">
      <c r="A46" s="446">
        <v>7726</v>
      </c>
      <c r="B46" s="446" t="s">
        <v>2654</v>
      </c>
      <c r="C46" s="447" t="s">
        <v>2606</v>
      </c>
      <c r="D46" s="64" t="s">
        <v>2610</v>
      </c>
      <c r="E46" s="64" t="s">
        <v>2611</v>
      </c>
    </row>
    <row r="47" spans="1:5" x14ac:dyDescent="0.25">
      <c r="A47" s="446">
        <v>7732</v>
      </c>
      <c r="B47" s="446" t="s">
        <v>2655</v>
      </c>
      <c r="C47" s="447" t="s">
        <v>2606</v>
      </c>
      <c r="D47" s="64" t="s">
        <v>2610</v>
      </c>
      <c r="E47" s="64" t="s">
        <v>2611</v>
      </c>
    </row>
    <row r="48" spans="1:5" x14ac:dyDescent="0.25">
      <c r="A48" s="446">
        <v>7733</v>
      </c>
      <c r="B48" s="446" t="s">
        <v>2656</v>
      </c>
      <c r="C48" s="447" t="s">
        <v>2606</v>
      </c>
      <c r="D48" s="64" t="s">
        <v>2610</v>
      </c>
      <c r="E48" s="64" t="s">
        <v>2611</v>
      </c>
    </row>
    <row r="49" spans="1:5" x14ac:dyDescent="0.25">
      <c r="A49" s="446">
        <v>8602</v>
      </c>
      <c r="B49" s="446" t="s">
        <v>2657</v>
      </c>
      <c r="C49" s="447" t="s">
        <v>2606</v>
      </c>
      <c r="D49" s="64" t="s">
        <v>2607</v>
      </c>
      <c r="E49" s="64" t="s">
        <v>2608</v>
      </c>
    </row>
    <row r="50" spans="1:5" x14ac:dyDescent="0.25">
      <c r="A50" s="446">
        <v>8603</v>
      </c>
      <c r="B50" s="446" t="s">
        <v>2658</v>
      </c>
      <c r="C50" s="447" t="s">
        <v>2606</v>
      </c>
      <c r="D50" s="64" t="s">
        <v>2607</v>
      </c>
      <c r="E50" s="64" t="s">
        <v>2608</v>
      </c>
    </row>
    <row r="51" spans="1:5" x14ac:dyDescent="0.25">
      <c r="A51" s="446">
        <v>8617</v>
      </c>
      <c r="B51" s="446" t="s">
        <v>2659</v>
      </c>
      <c r="C51" s="447" t="s">
        <v>2606</v>
      </c>
      <c r="D51" s="64" t="s">
        <v>2607</v>
      </c>
      <c r="E51" s="64" t="s">
        <v>2608</v>
      </c>
    </row>
    <row r="52" spans="1:5" x14ac:dyDescent="0.25">
      <c r="A52" s="446">
        <v>8619</v>
      </c>
      <c r="B52" s="446" t="s">
        <v>2660</v>
      </c>
      <c r="C52" s="447" t="s">
        <v>2606</v>
      </c>
      <c r="D52" s="64" t="s">
        <v>2607</v>
      </c>
      <c r="E52" s="64" t="s">
        <v>2608</v>
      </c>
    </row>
    <row r="53" spans="1:5" x14ac:dyDescent="0.25">
      <c r="A53" s="446">
        <v>8705</v>
      </c>
      <c r="B53" s="446" t="s">
        <v>2661</v>
      </c>
      <c r="C53" s="447" t="s">
        <v>2606</v>
      </c>
      <c r="D53" s="64" t="s">
        <v>2610</v>
      </c>
      <c r="E53" s="64" t="s">
        <v>2611</v>
      </c>
    </row>
    <row r="54" spans="1:5" x14ac:dyDescent="0.25">
      <c r="A54" s="446">
        <v>8706</v>
      </c>
      <c r="B54" s="446" t="s">
        <v>2662</v>
      </c>
      <c r="C54" s="447" t="s">
        <v>2606</v>
      </c>
      <c r="D54" s="64" t="s">
        <v>2610</v>
      </c>
      <c r="E54" s="64" t="s">
        <v>2611</v>
      </c>
    </row>
    <row r="55" spans="1:5" x14ac:dyDescent="0.25">
      <c r="A55" s="446">
        <v>8712</v>
      </c>
      <c r="B55" s="446" t="s">
        <v>2663</v>
      </c>
      <c r="C55" s="447" t="s">
        <v>2606</v>
      </c>
      <c r="D55" s="64" t="s">
        <v>2610</v>
      </c>
      <c r="E55" s="64" t="s">
        <v>2611</v>
      </c>
    </row>
    <row r="56" spans="1:5" x14ac:dyDescent="0.25">
      <c r="A56" s="446">
        <v>8726</v>
      </c>
      <c r="B56" s="446" t="s">
        <v>2664</v>
      </c>
      <c r="C56" s="447" t="s">
        <v>2606</v>
      </c>
      <c r="D56" s="64" t="s">
        <v>2610</v>
      </c>
      <c r="E56" s="64" t="s">
        <v>2611</v>
      </c>
    </row>
    <row r="57" spans="1:5" x14ac:dyDescent="0.25">
      <c r="A57" s="446">
        <v>8732</v>
      </c>
      <c r="B57" s="446" t="s">
        <v>2665</v>
      </c>
      <c r="C57" s="447" t="s">
        <v>2606</v>
      </c>
      <c r="D57" s="64" t="s">
        <v>2610</v>
      </c>
      <c r="E57" s="64" t="s">
        <v>2611</v>
      </c>
    </row>
    <row r="58" spans="1:5" x14ac:dyDescent="0.25">
      <c r="A58" s="446">
        <v>8733</v>
      </c>
      <c r="B58" s="446" t="s">
        <v>2666</v>
      </c>
      <c r="C58" s="447" t="s">
        <v>2606</v>
      </c>
      <c r="D58" s="64" t="s">
        <v>2610</v>
      </c>
      <c r="E58" s="64" t="s">
        <v>2611</v>
      </c>
    </row>
    <row r="59" spans="1:5" x14ac:dyDescent="0.25">
      <c r="A59" s="446">
        <v>9200</v>
      </c>
      <c r="B59" s="446" t="s">
        <v>2667</v>
      </c>
      <c r="C59" s="447" t="s">
        <v>2606</v>
      </c>
      <c r="D59" s="64" t="s">
        <v>2610</v>
      </c>
      <c r="E59" s="64" t="s">
        <v>2611</v>
      </c>
    </row>
    <row r="60" spans="1:5" x14ac:dyDescent="0.25">
      <c r="A60" s="446">
        <v>9281</v>
      </c>
      <c r="B60" s="446" t="s">
        <v>2668</v>
      </c>
      <c r="C60" s="447" t="s">
        <v>2606</v>
      </c>
      <c r="D60" s="64" t="s">
        <v>2610</v>
      </c>
      <c r="E60" s="64" t="s">
        <v>2611</v>
      </c>
    </row>
    <row r="61" spans="1:5" x14ac:dyDescent="0.25">
      <c r="A61" s="446">
        <v>9282</v>
      </c>
      <c r="B61" s="446" t="s">
        <v>2669</v>
      </c>
      <c r="C61" s="447" t="s">
        <v>2606</v>
      </c>
      <c r="D61" s="64" t="s">
        <v>2610</v>
      </c>
      <c r="E61" s="64" t="s">
        <v>2611</v>
      </c>
    </row>
    <row r="62" spans="1:5" x14ac:dyDescent="0.25">
      <c r="A62" s="446">
        <v>9283</v>
      </c>
      <c r="B62" s="446" t="s">
        <v>2670</v>
      </c>
      <c r="C62" s="447" t="s">
        <v>2606</v>
      </c>
      <c r="D62" s="64" t="s">
        <v>2610</v>
      </c>
      <c r="E62" s="64" t="s">
        <v>2611</v>
      </c>
    </row>
    <row r="63" spans="1:5" x14ac:dyDescent="0.25">
      <c r="A63" s="446">
        <v>9602</v>
      </c>
      <c r="B63" s="446" t="s">
        <v>2671</v>
      </c>
      <c r="C63" s="447" t="s">
        <v>2606</v>
      </c>
      <c r="D63" s="64" t="s">
        <v>2607</v>
      </c>
      <c r="E63" s="64" t="s">
        <v>2608</v>
      </c>
    </row>
    <row r="64" spans="1:5" x14ac:dyDescent="0.25">
      <c r="A64" s="446">
        <v>9617</v>
      </c>
      <c r="B64" s="446" t="s">
        <v>2672</v>
      </c>
      <c r="C64" s="447" t="s">
        <v>2606</v>
      </c>
      <c r="D64" s="64" t="s">
        <v>2607</v>
      </c>
      <c r="E64" s="64" t="s">
        <v>2608</v>
      </c>
    </row>
    <row r="65" spans="1:5" x14ac:dyDescent="0.25">
      <c r="A65" s="446">
        <v>9619</v>
      </c>
      <c r="B65" s="446" t="s">
        <v>2673</v>
      </c>
      <c r="C65" s="447" t="s">
        <v>2606</v>
      </c>
      <c r="D65" s="64" t="s">
        <v>2607</v>
      </c>
      <c r="E65" s="64" t="s">
        <v>2608</v>
      </c>
    </row>
    <row r="66" spans="1:5" x14ac:dyDescent="0.25">
      <c r="A66" s="446">
        <v>9681</v>
      </c>
      <c r="B66" s="446" t="s">
        <v>2674</v>
      </c>
      <c r="C66" s="447" t="s">
        <v>2606</v>
      </c>
      <c r="D66" s="64" t="s">
        <v>2610</v>
      </c>
      <c r="E66" s="64" t="s">
        <v>2611</v>
      </c>
    </row>
    <row r="67" spans="1:5" x14ac:dyDescent="0.25">
      <c r="A67" s="446">
        <v>9682</v>
      </c>
      <c r="B67" s="446" t="s">
        <v>2675</v>
      </c>
      <c r="C67" s="447" t="s">
        <v>2606</v>
      </c>
      <c r="D67" s="64" t="s">
        <v>2610</v>
      </c>
      <c r="E67" s="64" t="s">
        <v>2611</v>
      </c>
    </row>
    <row r="68" spans="1:5" x14ac:dyDescent="0.25">
      <c r="A68" s="446">
        <v>9683</v>
      </c>
      <c r="B68" s="446" t="s">
        <v>2676</v>
      </c>
      <c r="C68" s="447" t="s">
        <v>2606</v>
      </c>
      <c r="D68" s="64" t="s">
        <v>2610</v>
      </c>
      <c r="E68" s="64" t="s">
        <v>2611</v>
      </c>
    </row>
    <row r="69" spans="1:5" x14ac:dyDescent="0.25">
      <c r="A69" s="446">
        <v>9706</v>
      </c>
      <c r="B69" s="446" t="s">
        <v>2677</v>
      </c>
      <c r="C69" s="447" t="s">
        <v>2606</v>
      </c>
      <c r="D69" s="64" t="s">
        <v>2610</v>
      </c>
      <c r="E69" s="64" t="s">
        <v>2611</v>
      </c>
    </row>
    <row r="70" spans="1:5" x14ac:dyDescent="0.25">
      <c r="A70" s="446">
        <v>9712</v>
      </c>
      <c r="B70" s="446" t="s">
        <v>2678</v>
      </c>
      <c r="C70" s="447" t="s">
        <v>2606</v>
      </c>
      <c r="D70" s="64" t="s">
        <v>2610</v>
      </c>
      <c r="E70" s="64" t="s">
        <v>2611</v>
      </c>
    </row>
    <row r="71" spans="1:5" x14ac:dyDescent="0.25">
      <c r="A71" s="446">
        <v>9726</v>
      </c>
      <c r="B71" s="446" t="s">
        <v>2679</v>
      </c>
      <c r="C71" s="447" t="s">
        <v>2606</v>
      </c>
      <c r="D71" s="64" t="s">
        <v>2610</v>
      </c>
      <c r="E71" s="64" t="s">
        <v>2611</v>
      </c>
    </row>
    <row r="72" spans="1:5" x14ac:dyDescent="0.25">
      <c r="A72" s="446">
        <v>9732</v>
      </c>
      <c r="B72" s="446" t="s">
        <v>2680</v>
      </c>
      <c r="C72" s="447" t="s">
        <v>2606</v>
      </c>
      <c r="D72" s="64" t="s">
        <v>2610</v>
      </c>
      <c r="E72" s="64" t="s">
        <v>2611</v>
      </c>
    </row>
    <row r="73" spans="1:5" x14ac:dyDescent="0.25">
      <c r="A73" s="446">
        <v>9733</v>
      </c>
      <c r="B73" s="446" t="s">
        <v>2681</v>
      </c>
      <c r="C73" s="447" t="s">
        <v>2606</v>
      </c>
      <c r="D73" s="64" t="s">
        <v>2610</v>
      </c>
      <c r="E73" s="64" t="s">
        <v>2611</v>
      </c>
    </row>
    <row r="74" spans="1:5" x14ac:dyDescent="0.25">
      <c r="A74" s="448">
        <v>125</v>
      </c>
      <c r="B74" s="448" t="s">
        <v>2682</v>
      </c>
      <c r="C74" s="449" t="s">
        <v>2683</v>
      </c>
      <c r="D74" s="64" t="s">
        <v>2684</v>
      </c>
      <c r="E74" s="64" t="s">
        <v>2685</v>
      </c>
    </row>
    <row r="75" spans="1:5" x14ac:dyDescent="0.25">
      <c r="A75" s="450">
        <v>284</v>
      </c>
      <c r="B75" s="450" t="s">
        <v>2686</v>
      </c>
      <c r="C75" s="451" t="s">
        <v>2683</v>
      </c>
      <c r="D75" s="64" t="s">
        <v>2684</v>
      </c>
      <c r="E75" s="64" t="s">
        <v>2685</v>
      </c>
    </row>
    <row r="76" spans="1:5" x14ac:dyDescent="0.25">
      <c r="A76" s="450">
        <v>285</v>
      </c>
      <c r="B76" s="450" t="s">
        <v>2687</v>
      </c>
      <c r="C76" s="451" t="s">
        <v>2683</v>
      </c>
      <c r="D76" s="64" t="s">
        <v>2684</v>
      </c>
      <c r="E76" s="64" t="s">
        <v>2685</v>
      </c>
    </row>
    <row r="77" spans="1:5" x14ac:dyDescent="0.25">
      <c r="A77" s="450">
        <v>300</v>
      </c>
      <c r="B77" s="450" t="s">
        <v>2688</v>
      </c>
      <c r="C77" s="451" t="s">
        <v>2683</v>
      </c>
      <c r="D77" s="64" t="s">
        <v>2689</v>
      </c>
      <c r="E77" s="64" t="s">
        <v>2611</v>
      </c>
    </row>
    <row r="78" spans="1:5" x14ac:dyDescent="0.25">
      <c r="A78" s="450">
        <v>350</v>
      </c>
      <c r="B78" s="450" t="s">
        <v>2690</v>
      </c>
      <c r="C78" s="451" t="s">
        <v>2683</v>
      </c>
      <c r="D78" s="64" t="s">
        <v>2689</v>
      </c>
      <c r="E78" s="64" t="s">
        <v>2611</v>
      </c>
    </row>
    <row r="79" spans="1:5" x14ac:dyDescent="0.25">
      <c r="A79" s="450">
        <v>351</v>
      </c>
      <c r="B79" s="450" t="s">
        <v>2691</v>
      </c>
      <c r="C79" s="451" t="s">
        <v>2683</v>
      </c>
      <c r="D79" s="64" t="s">
        <v>2689</v>
      </c>
      <c r="E79" s="64" t="s">
        <v>2611</v>
      </c>
    </row>
    <row r="80" spans="1:5" x14ac:dyDescent="0.25">
      <c r="A80" s="450">
        <v>352</v>
      </c>
      <c r="B80" s="450" t="s">
        <v>2692</v>
      </c>
      <c r="C80" s="451" t="s">
        <v>2683</v>
      </c>
      <c r="D80" s="64" t="s">
        <v>2689</v>
      </c>
      <c r="E80" s="64" t="s">
        <v>2611</v>
      </c>
    </row>
    <row r="81" spans="1:5" x14ac:dyDescent="0.25">
      <c r="A81" s="450">
        <v>353</v>
      </c>
      <c r="B81" s="450" t="s">
        <v>2693</v>
      </c>
      <c r="C81" s="451" t="s">
        <v>2683</v>
      </c>
      <c r="D81" s="64" t="s">
        <v>2689</v>
      </c>
      <c r="E81" s="64" t="s">
        <v>2611</v>
      </c>
    </row>
    <row r="82" spans="1:5" x14ac:dyDescent="0.25">
      <c r="A82" s="450">
        <v>354</v>
      </c>
      <c r="B82" s="450" t="s">
        <v>2694</v>
      </c>
      <c r="C82" s="451" t="s">
        <v>2683</v>
      </c>
      <c r="D82" s="64" t="s">
        <v>2689</v>
      </c>
      <c r="E82" s="64" t="s">
        <v>2611</v>
      </c>
    </row>
    <row r="83" spans="1:5" x14ac:dyDescent="0.25">
      <c r="A83" s="450">
        <v>355</v>
      </c>
      <c r="B83" s="450" t="s">
        <v>2695</v>
      </c>
      <c r="C83" s="451" t="s">
        <v>2683</v>
      </c>
      <c r="D83" s="64" t="s">
        <v>2689</v>
      </c>
      <c r="E83" s="64" t="s">
        <v>2611</v>
      </c>
    </row>
    <row r="84" spans="1:5" x14ac:dyDescent="0.25">
      <c r="A84" s="450">
        <v>500</v>
      </c>
      <c r="B84" s="450" t="s">
        <v>2696</v>
      </c>
      <c r="C84" s="451" t="s">
        <v>2683</v>
      </c>
      <c r="D84" s="64" t="s">
        <v>2697</v>
      </c>
      <c r="E84" s="64" t="s">
        <v>2611</v>
      </c>
    </row>
    <row r="85" spans="1:5" x14ac:dyDescent="0.25">
      <c r="A85" s="450">
        <v>501</v>
      </c>
      <c r="B85" s="450" t="s">
        <v>2698</v>
      </c>
      <c r="C85" s="451" t="s">
        <v>2683</v>
      </c>
      <c r="D85" s="64" t="s">
        <v>2697</v>
      </c>
      <c r="E85" s="64" t="s">
        <v>2611</v>
      </c>
    </row>
    <row r="86" spans="1:5" x14ac:dyDescent="0.25">
      <c r="A86" s="450">
        <v>502</v>
      </c>
      <c r="B86" s="450" t="s">
        <v>2699</v>
      </c>
      <c r="C86" s="451" t="s">
        <v>2683</v>
      </c>
      <c r="D86" s="64" t="s">
        <v>2697</v>
      </c>
      <c r="E86" s="64" t="s">
        <v>2611</v>
      </c>
    </row>
    <row r="87" spans="1:5" x14ac:dyDescent="0.25">
      <c r="A87" s="450">
        <v>503</v>
      </c>
      <c r="B87" s="450" t="s">
        <v>2700</v>
      </c>
      <c r="C87" s="451" t="s">
        <v>2683</v>
      </c>
      <c r="D87" s="64" t="s">
        <v>2697</v>
      </c>
      <c r="E87" s="64" t="s">
        <v>2611</v>
      </c>
    </row>
    <row r="88" spans="1:5" x14ac:dyDescent="0.25">
      <c r="A88" s="450">
        <v>504</v>
      </c>
      <c r="B88" s="450" t="s">
        <v>2701</v>
      </c>
      <c r="C88" s="451" t="s">
        <v>2683</v>
      </c>
      <c r="D88" s="64" t="s">
        <v>2697</v>
      </c>
      <c r="E88" s="64" t="s">
        <v>2611</v>
      </c>
    </row>
    <row r="89" spans="1:5" x14ac:dyDescent="0.25">
      <c r="A89" s="450">
        <v>505</v>
      </c>
      <c r="B89" s="450" t="s">
        <v>2702</v>
      </c>
      <c r="C89" s="451" t="s">
        <v>2683</v>
      </c>
      <c r="D89" s="64" t="s">
        <v>2697</v>
      </c>
      <c r="E89" s="64" t="s">
        <v>2611</v>
      </c>
    </row>
    <row r="90" spans="1:5" x14ac:dyDescent="0.25">
      <c r="A90" s="450">
        <v>506</v>
      </c>
      <c r="B90" s="450" t="s">
        <v>2703</v>
      </c>
      <c r="C90" s="451" t="s">
        <v>2683</v>
      </c>
      <c r="D90" s="64" t="s">
        <v>2697</v>
      </c>
      <c r="E90" s="64" t="s">
        <v>2611</v>
      </c>
    </row>
    <row r="91" spans="1:5" x14ac:dyDescent="0.25">
      <c r="A91" s="450">
        <v>507</v>
      </c>
      <c r="B91" s="450" t="s">
        <v>2704</v>
      </c>
      <c r="C91" s="451" t="s">
        <v>2683</v>
      </c>
      <c r="D91" s="64" t="s">
        <v>2697</v>
      </c>
      <c r="E91" s="64" t="s">
        <v>2611</v>
      </c>
    </row>
    <row r="92" spans="1:5" x14ac:dyDescent="0.25">
      <c r="A92" s="450">
        <v>508</v>
      </c>
      <c r="B92" s="450" t="s">
        <v>2705</v>
      </c>
      <c r="C92" s="451" t="s">
        <v>2683</v>
      </c>
      <c r="D92" s="64" t="s">
        <v>2697</v>
      </c>
      <c r="E92" s="64" t="s">
        <v>2611</v>
      </c>
    </row>
    <row r="93" spans="1:5" x14ac:dyDescent="0.25">
      <c r="A93" s="450">
        <v>509</v>
      </c>
      <c r="B93" s="450" t="s">
        <v>2706</v>
      </c>
      <c r="C93" s="451" t="s">
        <v>2683</v>
      </c>
      <c r="D93" s="64" t="s">
        <v>2697</v>
      </c>
      <c r="E93" s="64" t="s">
        <v>2611</v>
      </c>
    </row>
    <row r="94" spans="1:5" x14ac:dyDescent="0.25">
      <c r="A94" s="450">
        <v>510</v>
      </c>
      <c r="B94" s="450" t="s">
        <v>2707</v>
      </c>
      <c r="C94" s="451" t="s">
        <v>2683</v>
      </c>
      <c r="D94" s="64" t="s">
        <v>2697</v>
      </c>
      <c r="E94" s="64" t="s">
        <v>2611</v>
      </c>
    </row>
    <row r="95" spans="1:5" x14ac:dyDescent="0.25">
      <c r="A95" s="450">
        <v>511</v>
      </c>
      <c r="B95" s="450" t="s">
        <v>2708</v>
      </c>
      <c r="C95" s="451" t="s">
        <v>2683</v>
      </c>
      <c r="D95" s="64" t="s">
        <v>2697</v>
      </c>
      <c r="E95" s="64" t="s">
        <v>2611</v>
      </c>
    </row>
    <row r="96" spans="1:5" x14ac:dyDescent="0.25">
      <c r="A96" s="450">
        <v>512</v>
      </c>
      <c r="B96" s="450" t="s">
        <v>2709</v>
      </c>
      <c r="C96" s="451" t="s">
        <v>2683</v>
      </c>
      <c r="D96" s="64" t="s">
        <v>2697</v>
      </c>
      <c r="E96" s="64" t="s">
        <v>2611</v>
      </c>
    </row>
    <row r="97" spans="1:5" x14ac:dyDescent="0.25">
      <c r="A97" s="450">
        <v>513</v>
      </c>
      <c r="B97" s="450" t="s">
        <v>2710</v>
      </c>
      <c r="C97" s="451" t="s">
        <v>2683</v>
      </c>
      <c r="D97" s="64" t="s">
        <v>2697</v>
      </c>
      <c r="E97" s="64" t="s">
        <v>2611</v>
      </c>
    </row>
    <row r="98" spans="1:5" x14ac:dyDescent="0.25">
      <c r="A98" s="450">
        <v>514</v>
      </c>
      <c r="B98" s="450" t="s">
        <v>2711</v>
      </c>
      <c r="C98" s="451" t="s">
        <v>2683</v>
      </c>
      <c r="D98" s="64" t="s">
        <v>2697</v>
      </c>
      <c r="E98" s="64" t="s">
        <v>2611</v>
      </c>
    </row>
    <row r="99" spans="1:5" x14ac:dyDescent="0.25">
      <c r="A99" s="450">
        <v>515</v>
      </c>
      <c r="B99" s="450" t="s">
        <v>2712</v>
      </c>
      <c r="C99" s="451" t="s">
        <v>2683</v>
      </c>
      <c r="D99" s="64" t="s">
        <v>2697</v>
      </c>
      <c r="E99" s="64" t="s">
        <v>2611</v>
      </c>
    </row>
    <row r="100" spans="1:5" x14ac:dyDescent="0.25">
      <c r="A100" s="450">
        <v>516</v>
      </c>
      <c r="B100" s="450" t="s">
        <v>2713</v>
      </c>
      <c r="C100" s="451" t="s">
        <v>2683</v>
      </c>
      <c r="D100" s="64" t="s">
        <v>2697</v>
      </c>
      <c r="E100" s="64" t="s">
        <v>2611</v>
      </c>
    </row>
    <row r="101" spans="1:5" x14ac:dyDescent="0.25">
      <c r="A101" s="450">
        <v>517</v>
      </c>
      <c r="B101" s="450" t="s">
        <v>2714</v>
      </c>
      <c r="C101" s="451" t="s">
        <v>2683</v>
      </c>
      <c r="D101" s="64" t="s">
        <v>2697</v>
      </c>
      <c r="E101" s="64" t="s">
        <v>2611</v>
      </c>
    </row>
    <row r="102" spans="1:5" x14ac:dyDescent="0.25">
      <c r="A102" s="450">
        <v>518</v>
      </c>
      <c r="B102" s="450" t="s">
        <v>2715</v>
      </c>
      <c r="C102" s="451" t="s">
        <v>2683</v>
      </c>
      <c r="D102" s="64" t="s">
        <v>2697</v>
      </c>
      <c r="E102" s="64" t="s">
        <v>2611</v>
      </c>
    </row>
    <row r="103" spans="1:5" x14ac:dyDescent="0.25">
      <c r="A103" s="450">
        <v>519</v>
      </c>
      <c r="B103" s="450" t="s">
        <v>2716</v>
      </c>
      <c r="C103" s="451" t="s">
        <v>2683</v>
      </c>
      <c r="D103" s="64" t="s">
        <v>2697</v>
      </c>
      <c r="E103" s="64" t="s">
        <v>2611</v>
      </c>
    </row>
    <row r="104" spans="1:5" x14ac:dyDescent="0.25">
      <c r="A104" s="450">
        <v>520</v>
      </c>
      <c r="B104" s="450" t="s">
        <v>2717</v>
      </c>
      <c r="C104" s="451" t="s">
        <v>2683</v>
      </c>
      <c r="D104" s="64" t="s">
        <v>2697</v>
      </c>
      <c r="E104" s="64" t="s">
        <v>2611</v>
      </c>
    </row>
    <row r="105" spans="1:5" x14ac:dyDescent="0.25">
      <c r="A105" s="450">
        <v>521</v>
      </c>
      <c r="B105" s="450" t="s">
        <v>2718</v>
      </c>
      <c r="C105" s="451" t="s">
        <v>2683</v>
      </c>
      <c r="D105" s="64" t="s">
        <v>2697</v>
      </c>
      <c r="E105" s="64" t="s">
        <v>2611</v>
      </c>
    </row>
    <row r="106" spans="1:5" x14ac:dyDescent="0.25">
      <c r="A106" s="450">
        <v>522</v>
      </c>
      <c r="B106" s="450" t="s">
        <v>2719</v>
      </c>
      <c r="C106" s="451" t="s">
        <v>2683</v>
      </c>
      <c r="D106" s="64" t="s">
        <v>2697</v>
      </c>
      <c r="E106" s="64" t="s">
        <v>2611</v>
      </c>
    </row>
    <row r="107" spans="1:5" x14ac:dyDescent="0.25">
      <c r="A107" s="450">
        <v>523</v>
      </c>
      <c r="B107" s="450" t="s">
        <v>2720</v>
      </c>
      <c r="C107" s="451" t="s">
        <v>2683</v>
      </c>
      <c r="D107" s="64" t="s">
        <v>2697</v>
      </c>
      <c r="E107" s="64" t="s">
        <v>2611</v>
      </c>
    </row>
    <row r="108" spans="1:5" x14ac:dyDescent="0.25">
      <c r="A108" s="450">
        <v>524</v>
      </c>
      <c r="B108" s="450" t="s">
        <v>2721</v>
      </c>
      <c r="C108" s="451" t="s">
        <v>2683</v>
      </c>
      <c r="D108" s="64" t="s">
        <v>2697</v>
      </c>
      <c r="E108" s="64" t="s">
        <v>2611</v>
      </c>
    </row>
    <row r="109" spans="1:5" x14ac:dyDescent="0.25">
      <c r="A109" s="450">
        <v>525</v>
      </c>
      <c r="B109" s="450" t="s">
        <v>2722</v>
      </c>
      <c r="C109" s="451" t="s">
        <v>2683</v>
      </c>
      <c r="D109" s="64" t="s">
        <v>2697</v>
      </c>
      <c r="E109" s="64" t="s">
        <v>2611</v>
      </c>
    </row>
    <row r="110" spans="1:5" x14ac:dyDescent="0.25">
      <c r="A110" s="450">
        <v>526</v>
      </c>
      <c r="B110" s="450" t="s">
        <v>2723</v>
      </c>
      <c r="C110" s="451" t="s">
        <v>2683</v>
      </c>
      <c r="D110" s="64" t="s">
        <v>2697</v>
      </c>
      <c r="E110" s="64" t="s">
        <v>2611</v>
      </c>
    </row>
    <row r="111" spans="1:5" x14ac:dyDescent="0.25">
      <c r="A111" s="450">
        <v>527</v>
      </c>
      <c r="B111" s="450" t="s">
        <v>2724</v>
      </c>
      <c r="C111" s="451" t="s">
        <v>2683</v>
      </c>
      <c r="D111" s="64" t="s">
        <v>2697</v>
      </c>
      <c r="E111" s="64" t="s">
        <v>2611</v>
      </c>
    </row>
    <row r="112" spans="1:5" x14ac:dyDescent="0.25">
      <c r="A112" s="450">
        <v>528</v>
      </c>
      <c r="B112" s="450" t="s">
        <v>2725</v>
      </c>
      <c r="C112" s="451" t="s">
        <v>2683</v>
      </c>
      <c r="D112" s="64" t="s">
        <v>2697</v>
      </c>
      <c r="E112" s="64" t="s">
        <v>2611</v>
      </c>
    </row>
    <row r="113" spans="1:5" x14ac:dyDescent="0.25">
      <c r="A113" s="450">
        <v>541</v>
      </c>
      <c r="B113" s="450" t="s">
        <v>2726</v>
      </c>
      <c r="C113" s="451" t="s">
        <v>2683</v>
      </c>
      <c r="D113" s="64" t="s">
        <v>2684</v>
      </c>
      <c r="E113" s="64" t="s">
        <v>2685</v>
      </c>
    </row>
    <row r="114" spans="1:5" x14ac:dyDescent="0.25">
      <c r="A114" s="450">
        <v>542</v>
      </c>
      <c r="B114" s="450" t="s">
        <v>2727</v>
      </c>
      <c r="C114" s="451" t="s">
        <v>2683</v>
      </c>
      <c r="D114" s="64" t="s">
        <v>2684</v>
      </c>
      <c r="E114" s="64" t="s">
        <v>2685</v>
      </c>
    </row>
    <row r="115" spans="1:5" x14ac:dyDescent="0.25">
      <c r="A115" s="450">
        <v>543</v>
      </c>
      <c r="B115" s="450" t="s">
        <v>2728</v>
      </c>
      <c r="C115" s="451" t="s">
        <v>2683</v>
      </c>
      <c r="D115" s="64" t="s">
        <v>2684</v>
      </c>
      <c r="E115" s="64" t="s">
        <v>2685</v>
      </c>
    </row>
    <row r="116" spans="1:5" x14ac:dyDescent="0.25">
      <c r="A116" s="450">
        <v>601</v>
      </c>
      <c r="B116" s="450" t="s">
        <v>2729</v>
      </c>
      <c r="C116" s="451" t="s">
        <v>2683</v>
      </c>
      <c r="D116" s="64" t="s">
        <v>2684</v>
      </c>
      <c r="E116" s="64" t="s">
        <v>2685</v>
      </c>
    </row>
    <row r="117" spans="1:5" x14ac:dyDescent="0.25">
      <c r="A117" s="450">
        <v>607</v>
      </c>
      <c r="B117" s="450" t="s">
        <v>2730</v>
      </c>
      <c r="C117" s="451" t="s">
        <v>2683</v>
      </c>
      <c r="D117" s="64" t="s">
        <v>2684</v>
      </c>
      <c r="E117" s="64" t="s">
        <v>2685</v>
      </c>
    </row>
    <row r="118" spans="1:5" x14ac:dyDescent="0.25">
      <c r="A118" s="450">
        <v>618</v>
      </c>
      <c r="B118" s="450" t="s">
        <v>2731</v>
      </c>
      <c r="C118" s="451" t="s">
        <v>2683</v>
      </c>
      <c r="D118" s="64" t="s">
        <v>2684</v>
      </c>
      <c r="E118" s="64" t="s">
        <v>2685</v>
      </c>
    </row>
    <row r="119" spans="1:5" x14ac:dyDescent="0.25">
      <c r="A119" s="450">
        <v>650</v>
      </c>
      <c r="B119" s="450" t="s">
        <v>2732</v>
      </c>
      <c r="C119" s="451" t="s">
        <v>2683</v>
      </c>
      <c r="D119" s="64" t="s">
        <v>2689</v>
      </c>
      <c r="E119" s="64" t="s">
        <v>2611</v>
      </c>
    </row>
    <row r="120" spans="1:5" x14ac:dyDescent="0.25">
      <c r="A120" s="450">
        <v>651</v>
      </c>
      <c r="B120" s="450" t="s">
        <v>2733</v>
      </c>
      <c r="C120" s="451" t="s">
        <v>2683</v>
      </c>
      <c r="D120" s="64" t="s">
        <v>2689</v>
      </c>
      <c r="E120" s="64" t="s">
        <v>2611</v>
      </c>
    </row>
    <row r="121" spans="1:5" x14ac:dyDescent="0.25">
      <c r="A121" s="450">
        <v>652</v>
      </c>
      <c r="B121" s="450" t="s">
        <v>2734</v>
      </c>
      <c r="C121" s="451" t="s">
        <v>2683</v>
      </c>
      <c r="D121" s="64" t="s">
        <v>2689</v>
      </c>
      <c r="E121" s="64" t="s">
        <v>2611</v>
      </c>
    </row>
    <row r="122" spans="1:5" x14ac:dyDescent="0.25">
      <c r="A122" s="450">
        <v>653</v>
      </c>
      <c r="B122" s="450" t="s">
        <v>2735</v>
      </c>
      <c r="C122" s="451" t="s">
        <v>2683</v>
      </c>
      <c r="D122" s="64" t="s">
        <v>2689</v>
      </c>
      <c r="E122" s="64" t="s">
        <v>2611</v>
      </c>
    </row>
    <row r="123" spans="1:5" x14ac:dyDescent="0.25">
      <c r="A123" s="450">
        <v>654</v>
      </c>
      <c r="B123" s="450" t="s">
        <v>2736</v>
      </c>
      <c r="C123" s="451" t="s">
        <v>2683</v>
      </c>
      <c r="D123" s="64" t="s">
        <v>2689</v>
      </c>
      <c r="E123" s="64" t="s">
        <v>2611</v>
      </c>
    </row>
    <row r="124" spans="1:5" x14ac:dyDescent="0.25">
      <c r="A124" s="450">
        <v>655</v>
      </c>
      <c r="B124" s="450" t="s">
        <v>2737</v>
      </c>
      <c r="C124" s="451" t="s">
        <v>2683</v>
      </c>
      <c r="D124" s="64" t="s">
        <v>2689</v>
      </c>
      <c r="E124" s="64" t="s">
        <v>2611</v>
      </c>
    </row>
    <row r="125" spans="1:5" x14ac:dyDescent="0.25">
      <c r="A125" s="450">
        <v>684</v>
      </c>
      <c r="B125" s="450" t="s">
        <v>2738</v>
      </c>
      <c r="C125" s="451" t="s">
        <v>2683</v>
      </c>
      <c r="D125" s="64" t="s">
        <v>2689</v>
      </c>
      <c r="E125" s="64" t="s">
        <v>2611</v>
      </c>
    </row>
    <row r="126" spans="1:5" x14ac:dyDescent="0.25">
      <c r="A126" s="450">
        <v>685</v>
      </c>
      <c r="B126" s="450" t="s">
        <v>2739</v>
      </c>
      <c r="C126" s="451" t="s">
        <v>2683</v>
      </c>
      <c r="D126" s="64" t="s">
        <v>2689</v>
      </c>
      <c r="E126" s="64" t="s">
        <v>2611</v>
      </c>
    </row>
    <row r="127" spans="1:5" x14ac:dyDescent="0.25">
      <c r="A127" s="450">
        <v>700</v>
      </c>
      <c r="B127" s="450" t="s">
        <v>2740</v>
      </c>
      <c r="C127" s="451" t="s">
        <v>2683</v>
      </c>
      <c r="D127" s="64" t="s">
        <v>2684</v>
      </c>
      <c r="E127" s="64" t="s">
        <v>2685</v>
      </c>
    </row>
    <row r="128" spans="1:5" x14ac:dyDescent="0.25">
      <c r="A128" s="450">
        <v>705</v>
      </c>
      <c r="B128" s="450" t="s">
        <v>2741</v>
      </c>
      <c r="C128" s="451" t="s">
        <v>2683</v>
      </c>
      <c r="D128" s="64" t="s">
        <v>2684</v>
      </c>
      <c r="E128" s="64" t="s">
        <v>2685</v>
      </c>
    </row>
    <row r="129" spans="1:5" x14ac:dyDescent="0.25">
      <c r="A129" s="450">
        <v>730</v>
      </c>
      <c r="B129" s="450" t="s">
        <v>2742</v>
      </c>
      <c r="C129" s="451" t="s">
        <v>2683</v>
      </c>
      <c r="D129" s="64" t="s">
        <v>2684</v>
      </c>
      <c r="E129" s="64" t="s">
        <v>2685</v>
      </c>
    </row>
    <row r="130" spans="1:5" x14ac:dyDescent="0.25">
      <c r="A130" s="450">
        <v>7125</v>
      </c>
      <c r="B130" s="450" t="s">
        <v>2743</v>
      </c>
      <c r="C130" s="451" t="s">
        <v>2683</v>
      </c>
      <c r="D130" s="64" t="s">
        <v>2684</v>
      </c>
      <c r="E130" s="64" t="s">
        <v>2685</v>
      </c>
    </row>
    <row r="131" spans="1:5" x14ac:dyDescent="0.25">
      <c r="A131" s="450">
        <v>7500</v>
      </c>
      <c r="B131" s="450" t="s">
        <v>2744</v>
      </c>
      <c r="C131" s="451" t="s">
        <v>2683</v>
      </c>
      <c r="D131" s="64" t="s">
        <v>2684</v>
      </c>
      <c r="E131" s="64" t="s">
        <v>2685</v>
      </c>
    </row>
    <row r="132" spans="1:5" x14ac:dyDescent="0.25">
      <c r="A132" s="450">
        <v>7501</v>
      </c>
      <c r="B132" s="450" t="s">
        <v>2745</v>
      </c>
      <c r="C132" s="451" t="s">
        <v>2683</v>
      </c>
      <c r="D132" s="64" t="s">
        <v>2684</v>
      </c>
      <c r="E132" s="64" t="s">
        <v>2685</v>
      </c>
    </row>
    <row r="133" spans="1:5" x14ac:dyDescent="0.25">
      <c r="A133" s="450">
        <v>7502</v>
      </c>
      <c r="B133" s="450" t="s">
        <v>2746</v>
      </c>
      <c r="C133" s="451" t="s">
        <v>2683</v>
      </c>
      <c r="D133" s="64" t="s">
        <v>2684</v>
      </c>
      <c r="E133" s="64" t="s">
        <v>2685</v>
      </c>
    </row>
    <row r="134" spans="1:5" x14ac:dyDescent="0.25">
      <c r="A134" s="450">
        <v>7503</v>
      </c>
      <c r="B134" s="450" t="s">
        <v>2747</v>
      </c>
      <c r="C134" s="451" t="s">
        <v>2683</v>
      </c>
      <c r="D134" s="64" t="s">
        <v>2684</v>
      </c>
      <c r="E134" s="64" t="s">
        <v>2685</v>
      </c>
    </row>
    <row r="135" spans="1:5" x14ac:dyDescent="0.25">
      <c r="A135" s="450">
        <v>7504</v>
      </c>
      <c r="B135" s="450" t="s">
        <v>2748</v>
      </c>
      <c r="C135" s="451" t="s">
        <v>2683</v>
      </c>
      <c r="D135" s="64" t="s">
        <v>2684</v>
      </c>
      <c r="E135" s="64" t="s">
        <v>2685</v>
      </c>
    </row>
    <row r="136" spans="1:5" x14ac:dyDescent="0.25">
      <c r="A136" s="450">
        <v>7506</v>
      </c>
      <c r="B136" s="450" t="s">
        <v>2749</v>
      </c>
      <c r="C136" s="451" t="s">
        <v>2683</v>
      </c>
      <c r="D136" s="64" t="s">
        <v>2684</v>
      </c>
      <c r="E136" s="64" t="s">
        <v>2685</v>
      </c>
    </row>
    <row r="137" spans="1:5" x14ac:dyDescent="0.25">
      <c r="A137" s="450">
        <v>7507</v>
      </c>
      <c r="B137" s="450" t="s">
        <v>2750</v>
      </c>
      <c r="C137" s="451" t="s">
        <v>2683</v>
      </c>
      <c r="D137" s="64" t="s">
        <v>2684</v>
      </c>
      <c r="E137" s="64" t="s">
        <v>2685</v>
      </c>
    </row>
    <row r="138" spans="1:5" x14ac:dyDescent="0.25">
      <c r="A138" s="450">
        <v>7508</v>
      </c>
      <c r="B138" s="450" t="s">
        <v>2751</v>
      </c>
      <c r="C138" s="451" t="s">
        <v>2683</v>
      </c>
      <c r="D138" s="64" t="s">
        <v>2684</v>
      </c>
      <c r="E138" s="64" t="s">
        <v>2685</v>
      </c>
    </row>
    <row r="139" spans="1:5" x14ac:dyDescent="0.25">
      <c r="A139" s="450">
        <v>7509</v>
      </c>
      <c r="B139" s="450" t="s">
        <v>2752</v>
      </c>
      <c r="C139" s="451" t="s">
        <v>2683</v>
      </c>
      <c r="D139" s="64" t="s">
        <v>2684</v>
      </c>
      <c r="E139" s="64" t="s">
        <v>2685</v>
      </c>
    </row>
    <row r="140" spans="1:5" x14ac:dyDescent="0.25">
      <c r="A140" s="450">
        <v>7510</v>
      </c>
      <c r="B140" s="450" t="s">
        <v>2753</v>
      </c>
      <c r="C140" s="451" t="s">
        <v>2683</v>
      </c>
      <c r="D140" s="64" t="s">
        <v>2684</v>
      </c>
      <c r="E140" s="64" t="s">
        <v>2685</v>
      </c>
    </row>
    <row r="141" spans="1:5" x14ac:dyDescent="0.25">
      <c r="A141" s="450">
        <v>7511</v>
      </c>
      <c r="B141" s="450" t="s">
        <v>2754</v>
      </c>
      <c r="C141" s="451" t="s">
        <v>2683</v>
      </c>
      <c r="D141" s="64" t="s">
        <v>2684</v>
      </c>
      <c r="E141" s="64" t="s">
        <v>2685</v>
      </c>
    </row>
    <row r="142" spans="1:5" x14ac:dyDescent="0.25">
      <c r="A142" s="450">
        <v>7512</v>
      </c>
      <c r="B142" s="450" t="s">
        <v>2755</v>
      </c>
      <c r="C142" s="451" t="s">
        <v>2683</v>
      </c>
      <c r="D142" s="64" t="s">
        <v>2684</v>
      </c>
      <c r="E142" s="64" t="s">
        <v>2685</v>
      </c>
    </row>
    <row r="143" spans="1:5" x14ac:dyDescent="0.25">
      <c r="A143" s="450">
        <v>7513</v>
      </c>
      <c r="B143" s="450" t="s">
        <v>2756</v>
      </c>
      <c r="C143" s="451" t="s">
        <v>2683</v>
      </c>
      <c r="D143" s="64" t="s">
        <v>2684</v>
      </c>
      <c r="E143" s="64" t="s">
        <v>2685</v>
      </c>
    </row>
    <row r="144" spans="1:5" x14ac:dyDescent="0.25">
      <c r="A144" s="450">
        <v>7514</v>
      </c>
      <c r="B144" s="450" t="s">
        <v>2757</v>
      </c>
      <c r="C144" s="451" t="s">
        <v>2683</v>
      </c>
      <c r="D144" s="64" t="s">
        <v>2684</v>
      </c>
      <c r="E144" s="64" t="s">
        <v>2685</v>
      </c>
    </row>
    <row r="145" spans="1:5" x14ac:dyDescent="0.25">
      <c r="A145" s="450">
        <v>7515</v>
      </c>
      <c r="B145" s="450" t="s">
        <v>2758</v>
      </c>
      <c r="C145" s="451" t="s">
        <v>2683</v>
      </c>
      <c r="D145" s="64" t="s">
        <v>2684</v>
      </c>
      <c r="E145" s="64" t="s">
        <v>2685</v>
      </c>
    </row>
    <row r="146" spans="1:5" x14ac:dyDescent="0.25">
      <c r="A146" s="450">
        <v>7516</v>
      </c>
      <c r="B146" s="450" t="s">
        <v>2759</v>
      </c>
      <c r="C146" s="451" t="s">
        <v>2683</v>
      </c>
      <c r="D146" s="64" t="s">
        <v>2684</v>
      </c>
      <c r="E146" s="64" t="s">
        <v>2685</v>
      </c>
    </row>
    <row r="147" spans="1:5" x14ac:dyDescent="0.25">
      <c r="A147" s="450">
        <v>7517</v>
      </c>
      <c r="B147" s="450" t="s">
        <v>2760</v>
      </c>
      <c r="C147" s="451" t="s">
        <v>2683</v>
      </c>
      <c r="D147" s="64" t="s">
        <v>2684</v>
      </c>
      <c r="E147" s="64" t="s">
        <v>2685</v>
      </c>
    </row>
    <row r="148" spans="1:5" x14ac:dyDescent="0.25">
      <c r="A148" s="450">
        <v>7518</v>
      </c>
      <c r="B148" s="450" t="s">
        <v>2761</v>
      </c>
      <c r="C148" s="451" t="s">
        <v>2683</v>
      </c>
      <c r="D148" s="64" t="s">
        <v>2684</v>
      </c>
      <c r="E148" s="64" t="s">
        <v>2685</v>
      </c>
    </row>
    <row r="149" spans="1:5" x14ac:dyDescent="0.25">
      <c r="A149" s="450">
        <v>7519</v>
      </c>
      <c r="B149" s="450" t="s">
        <v>2762</v>
      </c>
      <c r="C149" s="451" t="s">
        <v>2683</v>
      </c>
      <c r="D149" s="64" t="s">
        <v>2684</v>
      </c>
      <c r="E149" s="64" t="s">
        <v>2685</v>
      </c>
    </row>
    <row r="150" spans="1:5" x14ac:dyDescent="0.25">
      <c r="A150" s="450">
        <v>7520</v>
      </c>
      <c r="B150" s="450" t="s">
        <v>2763</v>
      </c>
      <c r="C150" s="451" t="s">
        <v>2683</v>
      </c>
      <c r="D150" s="64" t="s">
        <v>2684</v>
      </c>
      <c r="E150" s="64" t="s">
        <v>2685</v>
      </c>
    </row>
    <row r="151" spans="1:5" x14ac:dyDescent="0.25">
      <c r="A151" s="450">
        <v>7521</v>
      </c>
      <c r="B151" s="450" t="s">
        <v>2764</v>
      </c>
      <c r="C151" s="451" t="s">
        <v>2683</v>
      </c>
      <c r="D151" s="64" t="s">
        <v>2684</v>
      </c>
      <c r="E151" s="64" t="s">
        <v>2685</v>
      </c>
    </row>
    <row r="152" spans="1:5" x14ac:dyDescent="0.25">
      <c r="A152" s="450">
        <v>7522</v>
      </c>
      <c r="B152" s="450" t="s">
        <v>2765</v>
      </c>
      <c r="C152" s="451" t="s">
        <v>2683</v>
      </c>
      <c r="D152" s="64" t="s">
        <v>2684</v>
      </c>
      <c r="E152" s="64" t="s">
        <v>2685</v>
      </c>
    </row>
    <row r="153" spans="1:5" x14ac:dyDescent="0.25">
      <c r="A153" s="450">
        <v>7523</v>
      </c>
      <c r="B153" s="450" t="s">
        <v>2766</v>
      </c>
      <c r="C153" s="451" t="s">
        <v>2683</v>
      </c>
      <c r="D153" s="64" t="s">
        <v>2684</v>
      </c>
      <c r="E153" s="64" t="s">
        <v>2685</v>
      </c>
    </row>
    <row r="154" spans="1:5" x14ac:dyDescent="0.25">
      <c r="A154" s="450">
        <v>7524</v>
      </c>
      <c r="B154" s="450" t="s">
        <v>2767</v>
      </c>
      <c r="C154" s="451" t="s">
        <v>2683</v>
      </c>
      <c r="D154" s="64" t="s">
        <v>2684</v>
      </c>
      <c r="E154" s="64" t="s">
        <v>2685</v>
      </c>
    </row>
    <row r="155" spans="1:5" x14ac:dyDescent="0.25">
      <c r="A155" s="450">
        <v>7525</v>
      </c>
      <c r="B155" s="450" t="s">
        <v>2768</v>
      </c>
      <c r="C155" s="451" t="s">
        <v>2683</v>
      </c>
      <c r="D155" s="64" t="s">
        <v>2684</v>
      </c>
      <c r="E155" s="64" t="s">
        <v>2685</v>
      </c>
    </row>
    <row r="156" spans="1:5" x14ac:dyDescent="0.25">
      <c r="A156" s="450">
        <v>7526</v>
      </c>
      <c r="B156" s="450" t="s">
        <v>2769</v>
      </c>
      <c r="C156" s="451" t="s">
        <v>2683</v>
      </c>
      <c r="D156" s="64" t="s">
        <v>2684</v>
      </c>
      <c r="E156" s="64" t="s">
        <v>2685</v>
      </c>
    </row>
    <row r="157" spans="1:5" x14ac:dyDescent="0.25">
      <c r="A157" s="450">
        <v>7527</v>
      </c>
      <c r="B157" s="450" t="s">
        <v>2770</v>
      </c>
      <c r="C157" s="451" t="s">
        <v>2683</v>
      </c>
      <c r="D157" s="64" t="s">
        <v>2684</v>
      </c>
      <c r="E157" s="64" t="s">
        <v>2685</v>
      </c>
    </row>
    <row r="158" spans="1:5" x14ac:dyDescent="0.25">
      <c r="A158" s="450">
        <v>7528</v>
      </c>
      <c r="B158" s="450" t="s">
        <v>2771</v>
      </c>
      <c r="C158" s="451" t="s">
        <v>2683</v>
      </c>
      <c r="D158" s="64" t="s">
        <v>2684</v>
      </c>
      <c r="E158" s="64" t="s">
        <v>2685</v>
      </c>
    </row>
    <row r="159" spans="1:5" x14ac:dyDescent="0.25">
      <c r="A159" s="450">
        <v>7601</v>
      </c>
      <c r="B159" s="450" t="s">
        <v>2772</v>
      </c>
      <c r="C159" s="451" t="s">
        <v>2683</v>
      </c>
      <c r="D159" s="64" t="s">
        <v>2684</v>
      </c>
      <c r="E159" s="64" t="s">
        <v>2685</v>
      </c>
    </row>
    <row r="160" spans="1:5" x14ac:dyDescent="0.25">
      <c r="A160" s="450">
        <v>7607</v>
      </c>
      <c r="B160" s="450" t="s">
        <v>2773</v>
      </c>
      <c r="C160" s="451" t="s">
        <v>2683</v>
      </c>
      <c r="D160" s="64" t="s">
        <v>2684</v>
      </c>
      <c r="E160" s="64" t="s">
        <v>2685</v>
      </c>
    </row>
    <row r="161" spans="1:5" x14ac:dyDescent="0.25">
      <c r="A161" s="450">
        <v>7618</v>
      </c>
      <c r="B161" s="450" t="s">
        <v>2774</v>
      </c>
      <c r="C161" s="451" t="s">
        <v>2683</v>
      </c>
      <c r="D161" s="64" t="s">
        <v>2684</v>
      </c>
      <c r="E161" s="64" t="s">
        <v>2685</v>
      </c>
    </row>
    <row r="162" spans="1:5" x14ac:dyDescent="0.25">
      <c r="A162" s="450">
        <v>7700</v>
      </c>
      <c r="B162" s="450" t="s">
        <v>2775</v>
      </c>
      <c r="C162" s="451" t="s">
        <v>2683</v>
      </c>
      <c r="D162" s="64" t="s">
        <v>2684</v>
      </c>
      <c r="E162" s="64" t="s">
        <v>2685</v>
      </c>
    </row>
    <row r="163" spans="1:5" x14ac:dyDescent="0.25">
      <c r="A163" s="450">
        <v>8125</v>
      </c>
      <c r="B163" s="450" t="s">
        <v>2776</v>
      </c>
      <c r="C163" s="451" t="s">
        <v>2683</v>
      </c>
      <c r="D163" s="64" t="s">
        <v>2684</v>
      </c>
      <c r="E163" s="64" t="s">
        <v>2685</v>
      </c>
    </row>
    <row r="164" spans="1:5" x14ac:dyDescent="0.25">
      <c r="A164" s="450">
        <v>8500</v>
      </c>
      <c r="B164" s="450" t="s">
        <v>2777</v>
      </c>
      <c r="C164" s="451" t="s">
        <v>2683</v>
      </c>
      <c r="D164" s="64" t="s">
        <v>2684</v>
      </c>
      <c r="E164" s="64" t="s">
        <v>2685</v>
      </c>
    </row>
    <row r="165" spans="1:5" x14ac:dyDescent="0.25">
      <c r="A165" s="450">
        <v>8501</v>
      </c>
      <c r="B165" s="450" t="s">
        <v>2778</v>
      </c>
      <c r="C165" s="451" t="s">
        <v>2683</v>
      </c>
      <c r="D165" s="64" t="s">
        <v>2684</v>
      </c>
      <c r="E165" s="64" t="s">
        <v>2685</v>
      </c>
    </row>
    <row r="166" spans="1:5" x14ac:dyDescent="0.25">
      <c r="A166" s="450">
        <v>8502</v>
      </c>
      <c r="B166" s="450" t="s">
        <v>2779</v>
      </c>
      <c r="C166" s="451" t="s">
        <v>2683</v>
      </c>
      <c r="D166" s="64" t="s">
        <v>2684</v>
      </c>
      <c r="E166" s="64" t="s">
        <v>2685</v>
      </c>
    </row>
    <row r="167" spans="1:5" x14ac:dyDescent="0.25">
      <c r="A167" s="450">
        <v>8503</v>
      </c>
      <c r="B167" s="450" t="s">
        <v>2780</v>
      </c>
      <c r="C167" s="451" t="s">
        <v>2683</v>
      </c>
      <c r="D167" s="64" t="s">
        <v>2684</v>
      </c>
      <c r="E167" s="64" t="s">
        <v>2685</v>
      </c>
    </row>
    <row r="168" spans="1:5" x14ac:dyDescent="0.25">
      <c r="A168" s="450">
        <v>8504</v>
      </c>
      <c r="B168" s="450" t="s">
        <v>2781</v>
      </c>
      <c r="C168" s="451" t="s">
        <v>2683</v>
      </c>
      <c r="D168" s="64" t="s">
        <v>2684</v>
      </c>
      <c r="E168" s="64" t="s">
        <v>2685</v>
      </c>
    </row>
    <row r="169" spans="1:5" x14ac:dyDescent="0.25">
      <c r="A169" s="450">
        <v>8505</v>
      </c>
      <c r="B169" s="450" t="s">
        <v>2782</v>
      </c>
      <c r="C169" s="451" t="s">
        <v>2683</v>
      </c>
      <c r="D169" s="64" t="s">
        <v>2684</v>
      </c>
      <c r="E169" s="64" t="s">
        <v>2685</v>
      </c>
    </row>
    <row r="170" spans="1:5" x14ac:dyDescent="0.25">
      <c r="A170" s="450">
        <v>8506</v>
      </c>
      <c r="B170" s="450" t="s">
        <v>2783</v>
      </c>
      <c r="C170" s="451" t="s">
        <v>2683</v>
      </c>
      <c r="D170" s="64" t="s">
        <v>2684</v>
      </c>
      <c r="E170" s="64" t="s">
        <v>2685</v>
      </c>
    </row>
    <row r="171" spans="1:5" x14ac:dyDescent="0.25">
      <c r="A171" s="450">
        <v>8507</v>
      </c>
      <c r="B171" s="450" t="s">
        <v>2784</v>
      </c>
      <c r="C171" s="451" t="s">
        <v>2683</v>
      </c>
      <c r="D171" s="64" t="s">
        <v>2684</v>
      </c>
      <c r="E171" s="64" t="s">
        <v>2685</v>
      </c>
    </row>
    <row r="172" spans="1:5" x14ac:dyDescent="0.25">
      <c r="A172" s="450">
        <v>8508</v>
      </c>
      <c r="B172" s="450" t="s">
        <v>2785</v>
      </c>
      <c r="C172" s="451" t="s">
        <v>2683</v>
      </c>
      <c r="D172" s="64" t="s">
        <v>2684</v>
      </c>
      <c r="E172" s="64" t="s">
        <v>2685</v>
      </c>
    </row>
    <row r="173" spans="1:5" x14ac:dyDescent="0.25">
      <c r="A173" s="450">
        <v>8509</v>
      </c>
      <c r="B173" s="450" t="s">
        <v>2786</v>
      </c>
      <c r="C173" s="451" t="s">
        <v>2683</v>
      </c>
      <c r="D173" s="64" t="s">
        <v>2684</v>
      </c>
      <c r="E173" s="64" t="s">
        <v>2685</v>
      </c>
    </row>
    <row r="174" spans="1:5" x14ac:dyDescent="0.25">
      <c r="A174" s="450">
        <v>8510</v>
      </c>
      <c r="B174" s="450" t="s">
        <v>2787</v>
      </c>
      <c r="C174" s="451" t="s">
        <v>2683</v>
      </c>
      <c r="D174" s="64" t="s">
        <v>2684</v>
      </c>
      <c r="E174" s="64" t="s">
        <v>2685</v>
      </c>
    </row>
    <row r="175" spans="1:5" x14ac:dyDescent="0.25">
      <c r="A175" s="450">
        <v>8511</v>
      </c>
      <c r="B175" s="450" t="s">
        <v>2788</v>
      </c>
      <c r="C175" s="451" t="s">
        <v>2683</v>
      </c>
      <c r="D175" s="64" t="s">
        <v>2684</v>
      </c>
      <c r="E175" s="64" t="s">
        <v>2685</v>
      </c>
    </row>
    <row r="176" spans="1:5" x14ac:dyDescent="0.25">
      <c r="A176" s="450">
        <v>8512</v>
      </c>
      <c r="B176" s="450" t="s">
        <v>2789</v>
      </c>
      <c r="C176" s="451" t="s">
        <v>2683</v>
      </c>
      <c r="D176" s="64" t="s">
        <v>2684</v>
      </c>
      <c r="E176" s="64" t="s">
        <v>2685</v>
      </c>
    </row>
    <row r="177" spans="1:5" x14ac:dyDescent="0.25">
      <c r="A177" s="450">
        <v>8513</v>
      </c>
      <c r="B177" s="450" t="s">
        <v>2790</v>
      </c>
      <c r="C177" s="451" t="s">
        <v>2683</v>
      </c>
      <c r="D177" s="64" t="s">
        <v>2684</v>
      </c>
      <c r="E177" s="64" t="s">
        <v>2685</v>
      </c>
    </row>
    <row r="178" spans="1:5" x14ac:dyDescent="0.25">
      <c r="A178" s="450">
        <v>8514</v>
      </c>
      <c r="B178" s="450" t="s">
        <v>2791</v>
      </c>
      <c r="C178" s="451" t="s">
        <v>2683</v>
      </c>
      <c r="D178" s="64" t="s">
        <v>2684</v>
      </c>
      <c r="E178" s="64" t="s">
        <v>2685</v>
      </c>
    </row>
    <row r="179" spans="1:5" x14ac:dyDescent="0.25">
      <c r="A179" s="450">
        <v>8515</v>
      </c>
      <c r="B179" s="450" t="s">
        <v>2792</v>
      </c>
      <c r="C179" s="451" t="s">
        <v>2683</v>
      </c>
      <c r="D179" s="64" t="s">
        <v>2684</v>
      </c>
      <c r="E179" s="64" t="s">
        <v>2685</v>
      </c>
    </row>
    <row r="180" spans="1:5" x14ac:dyDescent="0.25">
      <c r="A180" s="450">
        <v>8516</v>
      </c>
      <c r="B180" s="450" t="s">
        <v>2793</v>
      </c>
      <c r="C180" s="451" t="s">
        <v>2683</v>
      </c>
      <c r="D180" s="64" t="s">
        <v>2684</v>
      </c>
      <c r="E180" s="64" t="s">
        <v>2685</v>
      </c>
    </row>
    <row r="181" spans="1:5" x14ac:dyDescent="0.25">
      <c r="A181" s="450">
        <v>8517</v>
      </c>
      <c r="B181" s="450" t="s">
        <v>2794</v>
      </c>
      <c r="C181" s="451" t="s">
        <v>2683</v>
      </c>
      <c r="D181" s="64" t="s">
        <v>2684</v>
      </c>
      <c r="E181" s="64" t="s">
        <v>2685</v>
      </c>
    </row>
    <row r="182" spans="1:5" x14ac:dyDescent="0.25">
      <c r="A182" s="450">
        <v>8518</v>
      </c>
      <c r="B182" s="450" t="s">
        <v>2795</v>
      </c>
      <c r="C182" s="451" t="s">
        <v>2683</v>
      </c>
      <c r="D182" s="64" t="s">
        <v>2684</v>
      </c>
      <c r="E182" s="64" t="s">
        <v>2685</v>
      </c>
    </row>
    <row r="183" spans="1:5" x14ac:dyDescent="0.25">
      <c r="A183" s="450">
        <v>8519</v>
      </c>
      <c r="B183" s="450" t="s">
        <v>2796</v>
      </c>
      <c r="C183" s="451" t="s">
        <v>2683</v>
      </c>
      <c r="D183" s="64" t="s">
        <v>2684</v>
      </c>
      <c r="E183" s="64" t="s">
        <v>2685</v>
      </c>
    </row>
    <row r="184" spans="1:5" x14ac:dyDescent="0.25">
      <c r="A184" s="450">
        <v>8520</v>
      </c>
      <c r="B184" s="450" t="s">
        <v>2797</v>
      </c>
      <c r="C184" s="451" t="s">
        <v>2683</v>
      </c>
      <c r="D184" s="64" t="s">
        <v>2684</v>
      </c>
      <c r="E184" s="64" t="s">
        <v>2685</v>
      </c>
    </row>
    <row r="185" spans="1:5" x14ac:dyDescent="0.25">
      <c r="A185" s="450">
        <v>8521</v>
      </c>
      <c r="B185" s="450" t="s">
        <v>2798</v>
      </c>
      <c r="C185" s="451" t="s">
        <v>2683</v>
      </c>
      <c r="D185" s="64" t="s">
        <v>2684</v>
      </c>
      <c r="E185" s="64" t="s">
        <v>2685</v>
      </c>
    </row>
    <row r="186" spans="1:5" x14ac:dyDescent="0.25">
      <c r="A186" s="450">
        <v>8522</v>
      </c>
      <c r="B186" s="450" t="s">
        <v>2799</v>
      </c>
      <c r="C186" s="451" t="s">
        <v>2683</v>
      </c>
      <c r="D186" s="64" t="s">
        <v>2684</v>
      </c>
      <c r="E186" s="64" t="s">
        <v>2685</v>
      </c>
    </row>
    <row r="187" spans="1:5" x14ac:dyDescent="0.25">
      <c r="A187" s="450">
        <v>8523</v>
      </c>
      <c r="B187" s="450" t="s">
        <v>2800</v>
      </c>
      <c r="C187" s="451" t="s">
        <v>2683</v>
      </c>
      <c r="D187" s="64" t="s">
        <v>2684</v>
      </c>
      <c r="E187" s="64" t="s">
        <v>2685</v>
      </c>
    </row>
    <row r="188" spans="1:5" x14ac:dyDescent="0.25">
      <c r="A188" s="450">
        <v>8524</v>
      </c>
      <c r="B188" s="450" t="s">
        <v>2801</v>
      </c>
      <c r="C188" s="451" t="s">
        <v>2683</v>
      </c>
      <c r="D188" s="64" t="s">
        <v>2684</v>
      </c>
      <c r="E188" s="64" t="s">
        <v>2685</v>
      </c>
    </row>
    <row r="189" spans="1:5" x14ac:dyDescent="0.25">
      <c r="A189" s="450">
        <v>8525</v>
      </c>
      <c r="B189" s="450" t="s">
        <v>2802</v>
      </c>
      <c r="C189" s="451" t="s">
        <v>2683</v>
      </c>
      <c r="D189" s="64" t="s">
        <v>2684</v>
      </c>
      <c r="E189" s="64" t="s">
        <v>2685</v>
      </c>
    </row>
    <row r="190" spans="1:5" x14ac:dyDescent="0.25">
      <c r="A190" s="450">
        <v>8526</v>
      </c>
      <c r="B190" s="450" t="s">
        <v>2803</v>
      </c>
      <c r="C190" s="451" t="s">
        <v>2683</v>
      </c>
      <c r="D190" s="64" t="s">
        <v>2684</v>
      </c>
      <c r="E190" s="64" t="s">
        <v>2685</v>
      </c>
    </row>
    <row r="191" spans="1:5" x14ac:dyDescent="0.25">
      <c r="A191" s="450">
        <v>8527</v>
      </c>
      <c r="B191" s="450" t="s">
        <v>2804</v>
      </c>
      <c r="C191" s="451" t="s">
        <v>2683</v>
      </c>
      <c r="D191" s="64" t="s">
        <v>2684</v>
      </c>
      <c r="E191" s="64" t="s">
        <v>2685</v>
      </c>
    </row>
    <row r="192" spans="1:5" x14ac:dyDescent="0.25">
      <c r="A192" s="450">
        <v>8528</v>
      </c>
      <c r="B192" s="450" t="s">
        <v>2805</v>
      </c>
      <c r="C192" s="451" t="s">
        <v>2683</v>
      </c>
      <c r="D192" s="64" t="s">
        <v>2684</v>
      </c>
      <c r="E192" s="64" t="s">
        <v>2685</v>
      </c>
    </row>
    <row r="193" spans="1:5" x14ac:dyDescent="0.25">
      <c r="A193" s="450">
        <v>8601</v>
      </c>
      <c r="B193" s="450" t="s">
        <v>2806</v>
      </c>
      <c r="C193" s="451" t="s">
        <v>2683</v>
      </c>
      <c r="D193" s="64" t="s">
        <v>2684</v>
      </c>
      <c r="E193" s="64" t="s">
        <v>2685</v>
      </c>
    </row>
    <row r="194" spans="1:5" x14ac:dyDescent="0.25">
      <c r="A194" s="450">
        <v>8607</v>
      </c>
      <c r="B194" s="450" t="s">
        <v>2807</v>
      </c>
      <c r="C194" s="451" t="s">
        <v>2683</v>
      </c>
      <c r="D194" s="64" t="s">
        <v>2684</v>
      </c>
      <c r="E194" s="64" t="s">
        <v>2685</v>
      </c>
    </row>
    <row r="195" spans="1:5" x14ac:dyDescent="0.25">
      <c r="A195" s="450">
        <v>8618</v>
      </c>
      <c r="B195" s="450" t="s">
        <v>2808</v>
      </c>
      <c r="C195" s="451" t="s">
        <v>2683</v>
      </c>
      <c r="D195" s="64" t="s">
        <v>2684</v>
      </c>
      <c r="E195" s="64" t="s">
        <v>2685</v>
      </c>
    </row>
    <row r="196" spans="1:5" x14ac:dyDescent="0.25">
      <c r="A196" s="450">
        <v>8700</v>
      </c>
      <c r="B196" s="450" t="s">
        <v>2809</v>
      </c>
      <c r="C196" s="451" t="s">
        <v>2683</v>
      </c>
      <c r="D196" s="64" t="s">
        <v>2684</v>
      </c>
      <c r="E196" s="64" t="s">
        <v>2685</v>
      </c>
    </row>
    <row r="197" spans="1:5" x14ac:dyDescent="0.25">
      <c r="A197" s="450">
        <v>9125</v>
      </c>
      <c r="B197" s="450" t="s">
        <v>2810</v>
      </c>
      <c r="C197" s="451" t="s">
        <v>2683</v>
      </c>
      <c r="D197" s="64" t="s">
        <v>2684</v>
      </c>
      <c r="E197" s="64" t="s">
        <v>2685</v>
      </c>
    </row>
    <row r="198" spans="1:5" x14ac:dyDescent="0.25">
      <c r="A198" s="450">
        <v>9284</v>
      </c>
      <c r="B198" s="450" t="s">
        <v>2811</v>
      </c>
      <c r="C198" s="451" t="s">
        <v>2683</v>
      </c>
      <c r="D198" s="64" t="s">
        <v>2684</v>
      </c>
      <c r="E198" s="64" t="s">
        <v>2685</v>
      </c>
    </row>
    <row r="199" spans="1:5" x14ac:dyDescent="0.25">
      <c r="A199" s="450">
        <v>9285</v>
      </c>
      <c r="B199" s="450" t="s">
        <v>2812</v>
      </c>
      <c r="C199" s="451" t="s">
        <v>2683</v>
      </c>
      <c r="D199" s="64" t="s">
        <v>2684</v>
      </c>
      <c r="E199" s="64" t="s">
        <v>2685</v>
      </c>
    </row>
    <row r="200" spans="1:5" x14ac:dyDescent="0.25">
      <c r="A200" s="450">
        <v>9300</v>
      </c>
      <c r="B200" s="450" t="s">
        <v>2813</v>
      </c>
      <c r="C200" s="451" t="s">
        <v>2683</v>
      </c>
      <c r="D200" s="64" t="s">
        <v>2684</v>
      </c>
      <c r="E200" s="64" t="s">
        <v>2685</v>
      </c>
    </row>
    <row r="201" spans="1:5" x14ac:dyDescent="0.25">
      <c r="A201" s="450">
        <v>9350</v>
      </c>
      <c r="B201" s="450" t="s">
        <v>2814</v>
      </c>
      <c r="C201" s="451" t="s">
        <v>2683</v>
      </c>
      <c r="D201" s="64" t="s">
        <v>2689</v>
      </c>
      <c r="E201" s="64" t="s">
        <v>2611</v>
      </c>
    </row>
    <row r="202" spans="1:5" x14ac:dyDescent="0.25">
      <c r="A202" s="450">
        <v>9351</v>
      </c>
      <c r="B202" s="450" t="s">
        <v>2815</v>
      </c>
      <c r="C202" s="451" t="s">
        <v>2683</v>
      </c>
      <c r="D202" s="64" t="s">
        <v>2689</v>
      </c>
      <c r="E202" s="64" t="s">
        <v>2611</v>
      </c>
    </row>
    <row r="203" spans="1:5" x14ac:dyDescent="0.25">
      <c r="A203" s="450">
        <v>9352</v>
      </c>
      <c r="B203" s="450" t="s">
        <v>2816</v>
      </c>
      <c r="C203" s="451" t="s">
        <v>2683</v>
      </c>
      <c r="D203" s="64" t="s">
        <v>2689</v>
      </c>
      <c r="E203" s="64" t="s">
        <v>2611</v>
      </c>
    </row>
    <row r="204" spans="1:5" x14ac:dyDescent="0.25">
      <c r="A204" s="450">
        <v>9353</v>
      </c>
      <c r="B204" s="450" t="s">
        <v>2817</v>
      </c>
      <c r="C204" s="451" t="s">
        <v>2683</v>
      </c>
      <c r="D204" s="64" t="s">
        <v>2689</v>
      </c>
      <c r="E204" s="64" t="s">
        <v>2611</v>
      </c>
    </row>
    <row r="205" spans="1:5" x14ac:dyDescent="0.25">
      <c r="A205" s="450">
        <v>9354</v>
      </c>
      <c r="B205" s="450" t="s">
        <v>2818</v>
      </c>
      <c r="C205" s="451" t="s">
        <v>2683</v>
      </c>
      <c r="D205" s="64" t="s">
        <v>2689</v>
      </c>
      <c r="E205" s="64" t="s">
        <v>2611</v>
      </c>
    </row>
    <row r="206" spans="1:5" x14ac:dyDescent="0.25">
      <c r="A206" s="450">
        <v>9355</v>
      </c>
      <c r="B206" s="450" t="s">
        <v>2819</v>
      </c>
      <c r="C206" s="451" t="s">
        <v>2683</v>
      </c>
      <c r="D206" s="64" t="s">
        <v>2689</v>
      </c>
      <c r="E206" s="64" t="s">
        <v>2611</v>
      </c>
    </row>
    <row r="207" spans="1:5" x14ac:dyDescent="0.25">
      <c r="A207" s="450">
        <v>9500</v>
      </c>
      <c r="B207" s="450" t="s">
        <v>2820</v>
      </c>
      <c r="C207" s="451" t="s">
        <v>2683</v>
      </c>
      <c r="D207" s="64" t="s">
        <v>2684</v>
      </c>
      <c r="E207" s="64" t="s">
        <v>2685</v>
      </c>
    </row>
    <row r="208" spans="1:5" x14ac:dyDescent="0.25">
      <c r="A208" s="450">
        <v>9501</v>
      </c>
      <c r="B208" s="450" t="s">
        <v>2821</v>
      </c>
      <c r="C208" s="451" t="s">
        <v>2683</v>
      </c>
      <c r="D208" s="64" t="s">
        <v>2684</v>
      </c>
      <c r="E208" s="64" t="s">
        <v>2685</v>
      </c>
    </row>
    <row r="209" spans="1:5" x14ac:dyDescent="0.25">
      <c r="A209" s="450">
        <v>9502</v>
      </c>
      <c r="B209" s="450" t="s">
        <v>2822</v>
      </c>
      <c r="C209" s="451" t="s">
        <v>2683</v>
      </c>
      <c r="D209" s="64" t="s">
        <v>2684</v>
      </c>
      <c r="E209" s="64" t="s">
        <v>2685</v>
      </c>
    </row>
    <row r="210" spans="1:5" x14ac:dyDescent="0.25">
      <c r="A210" s="450">
        <v>9503</v>
      </c>
      <c r="B210" s="450" t="s">
        <v>2823</v>
      </c>
      <c r="C210" s="451" t="s">
        <v>2683</v>
      </c>
      <c r="D210" s="64" t="s">
        <v>2684</v>
      </c>
      <c r="E210" s="64" t="s">
        <v>2685</v>
      </c>
    </row>
    <row r="211" spans="1:5" x14ac:dyDescent="0.25">
      <c r="A211" s="450">
        <v>9504</v>
      </c>
      <c r="B211" s="450" t="s">
        <v>2824</v>
      </c>
      <c r="C211" s="451" t="s">
        <v>2683</v>
      </c>
      <c r="D211" s="64" t="s">
        <v>2684</v>
      </c>
      <c r="E211" s="64" t="s">
        <v>2685</v>
      </c>
    </row>
    <row r="212" spans="1:5" x14ac:dyDescent="0.25">
      <c r="A212" s="450">
        <v>9505</v>
      </c>
      <c r="B212" s="450" t="s">
        <v>2825</v>
      </c>
      <c r="C212" s="451" t="s">
        <v>2683</v>
      </c>
      <c r="D212" s="64" t="s">
        <v>2684</v>
      </c>
      <c r="E212" s="64" t="s">
        <v>2685</v>
      </c>
    </row>
    <row r="213" spans="1:5" x14ac:dyDescent="0.25">
      <c r="A213" s="450">
        <v>9506</v>
      </c>
      <c r="B213" s="450" t="s">
        <v>2826</v>
      </c>
      <c r="C213" s="451" t="s">
        <v>2683</v>
      </c>
      <c r="D213" s="64" t="s">
        <v>2684</v>
      </c>
      <c r="E213" s="64" t="s">
        <v>2685</v>
      </c>
    </row>
    <row r="214" spans="1:5" x14ac:dyDescent="0.25">
      <c r="A214" s="450">
        <v>9507</v>
      </c>
      <c r="B214" s="450" t="s">
        <v>2827</v>
      </c>
      <c r="C214" s="451" t="s">
        <v>2683</v>
      </c>
      <c r="D214" s="64" t="s">
        <v>2684</v>
      </c>
      <c r="E214" s="64" t="s">
        <v>2685</v>
      </c>
    </row>
    <row r="215" spans="1:5" x14ac:dyDescent="0.25">
      <c r="A215" s="450">
        <v>9508</v>
      </c>
      <c r="B215" s="450" t="s">
        <v>2828</v>
      </c>
      <c r="C215" s="451" t="s">
        <v>2683</v>
      </c>
      <c r="D215" s="64" t="s">
        <v>2684</v>
      </c>
      <c r="E215" s="64" t="s">
        <v>2685</v>
      </c>
    </row>
    <row r="216" spans="1:5" x14ac:dyDescent="0.25">
      <c r="A216" s="450">
        <v>9509</v>
      </c>
      <c r="B216" s="450" t="s">
        <v>2829</v>
      </c>
      <c r="C216" s="451" t="s">
        <v>2683</v>
      </c>
      <c r="D216" s="64" t="s">
        <v>2684</v>
      </c>
      <c r="E216" s="64" t="s">
        <v>2685</v>
      </c>
    </row>
    <row r="217" spans="1:5" x14ac:dyDescent="0.25">
      <c r="A217" s="450">
        <v>9510</v>
      </c>
      <c r="B217" s="450" t="s">
        <v>2830</v>
      </c>
      <c r="C217" s="451" t="s">
        <v>2683</v>
      </c>
      <c r="D217" s="64" t="s">
        <v>2684</v>
      </c>
      <c r="E217" s="64" t="s">
        <v>2685</v>
      </c>
    </row>
    <row r="218" spans="1:5" x14ac:dyDescent="0.25">
      <c r="A218" s="450">
        <v>9511</v>
      </c>
      <c r="B218" s="450" t="s">
        <v>2831</v>
      </c>
      <c r="C218" s="451" t="s">
        <v>2683</v>
      </c>
      <c r="D218" s="64" t="s">
        <v>2684</v>
      </c>
      <c r="E218" s="64" t="s">
        <v>2685</v>
      </c>
    </row>
    <row r="219" spans="1:5" x14ac:dyDescent="0.25">
      <c r="A219" s="450">
        <v>9512</v>
      </c>
      <c r="B219" s="450" t="s">
        <v>2832</v>
      </c>
      <c r="C219" s="451" t="s">
        <v>2683</v>
      </c>
      <c r="D219" s="64" t="s">
        <v>2684</v>
      </c>
      <c r="E219" s="64" t="s">
        <v>2685</v>
      </c>
    </row>
    <row r="220" spans="1:5" x14ac:dyDescent="0.25">
      <c r="A220" s="450">
        <v>9513</v>
      </c>
      <c r="B220" s="450" t="s">
        <v>2833</v>
      </c>
      <c r="C220" s="451" t="s">
        <v>2683</v>
      </c>
      <c r="D220" s="64" t="s">
        <v>2684</v>
      </c>
      <c r="E220" s="64" t="s">
        <v>2685</v>
      </c>
    </row>
    <row r="221" spans="1:5" x14ac:dyDescent="0.25">
      <c r="A221" s="450">
        <v>9514</v>
      </c>
      <c r="B221" s="450" t="s">
        <v>2834</v>
      </c>
      <c r="C221" s="451" t="s">
        <v>2683</v>
      </c>
      <c r="D221" s="64" t="s">
        <v>2684</v>
      </c>
      <c r="E221" s="64" t="s">
        <v>2685</v>
      </c>
    </row>
    <row r="222" spans="1:5" x14ac:dyDescent="0.25">
      <c r="A222" s="450">
        <v>9515</v>
      </c>
      <c r="B222" s="450" t="s">
        <v>2835</v>
      </c>
      <c r="C222" s="451" t="s">
        <v>2683</v>
      </c>
      <c r="D222" s="64" t="s">
        <v>2684</v>
      </c>
      <c r="E222" s="64" t="s">
        <v>2685</v>
      </c>
    </row>
    <row r="223" spans="1:5" x14ac:dyDescent="0.25">
      <c r="A223" s="450">
        <v>9516</v>
      </c>
      <c r="B223" s="450" t="s">
        <v>2836</v>
      </c>
      <c r="C223" s="451" t="s">
        <v>2683</v>
      </c>
      <c r="D223" s="64" t="s">
        <v>2684</v>
      </c>
      <c r="E223" s="64" t="s">
        <v>2685</v>
      </c>
    </row>
    <row r="224" spans="1:5" x14ac:dyDescent="0.25">
      <c r="A224" s="450">
        <v>9517</v>
      </c>
      <c r="B224" s="450" t="s">
        <v>2837</v>
      </c>
      <c r="C224" s="451" t="s">
        <v>2683</v>
      </c>
      <c r="D224" s="64" t="s">
        <v>2684</v>
      </c>
      <c r="E224" s="64" t="s">
        <v>2685</v>
      </c>
    </row>
    <row r="225" spans="1:5" x14ac:dyDescent="0.25">
      <c r="A225" s="450">
        <v>9518</v>
      </c>
      <c r="B225" s="450" t="s">
        <v>2838</v>
      </c>
      <c r="C225" s="451" t="s">
        <v>2683</v>
      </c>
      <c r="D225" s="64" t="s">
        <v>2684</v>
      </c>
      <c r="E225" s="64" t="s">
        <v>2685</v>
      </c>
    </row>
    <row r="226" spans="1:5" x14ac:dyDescent="0.25">
      <c r="A226" s="450">
        <v>9519</v>
      </c>
      <c r="B226" s="450" t="s">
        <v>2839</v>
      </c>
      <c r="C226" s="451" t="s">
        <v>2683</v>
      </c>
      <c r="D226" s="64" t="s">
        <v>2684</v>
      </c>
      <c r="E226" s="64" t="s">
        <v>2685</v>
      </c>
    </row>
    <row r="227" spans="1:5" x14ac:dyDescent="0.25">
      <c r="A227" s="450">
        <v>9520</v>
      </c>
      <c r="B227" s="450" t="s">
        <v>2840</v>
      </c>
      <c r="C227" s="451" t="s">
        <v>2683</v>
      </c>
      <c r="D227" s="64" t="s">
        <v>2684</v>
      </c>
      <c r="E227" s="64" t="s">
        <v>2685</v>
      </c>
    </row>
    <row r="228" spans="1:5" x14ac:dyDescent="0.25">
      <c r="A228" s="450">
        <v>9521</v>
      </c>
      <c r="B228" s="450" t="s">
        <v>2841</v>
      </c>
      <c r="C228" s="451" t="s">
        <v>2683</v>
      </c>
      <c r="D228" s="64" t="s">
        <v>2684</v>
      </c>
      <c r="E228" s="64" t="s">
        <v>2685</v>
      </c>
    </row>
    <row r="229" spans="1:5" x14ac:dyDescent="0.25">
      <c r="A229" s="450">
        <v>9522</v>
      </c>
      <c r="B229" s="450" t="s">
        <v>2842</v>
      </c>
      <c r="C229" s="451" t="s">
        <v>2683</v>
      </c>
      <c r="D229" s="64" t="s">
        <v>2684</v>
      </c>
      <c r="E229" s="64" t="s">
        <v>2685</v>
      </c>
    </row>
    <row r="230" spans="1:5" x14ac:dyDescent="0.25">
      <c r="A230" s="450">
        <v>9523</v>
      </c>
      <c r="B230" s="450" t="s">
        <v>2843</v>
      </c>
      <c r="C230" s="451" t="s">
        <v>2683</v>
      </c>
      <c r="D230" s="64" t="s">
        <v>2684</v>
      </c>
      <c r="E230" s="64" t="s">
        <v>2685</v>
      </c>
    </row>
    <row r="231" spans="1:5" x14ac:dyDescent="0.25">
      <c r="A231" s="450">
        <v>9524</v>
      </c>
      <c r="B231" s="450" t="s">
        <v>2844</v>
      </c>
      <c r="C231" s="451" t="s">
        <v>2683</v>
      </c>
      <c r="D231" s="64" t="s">
        <v>2684</v>
      </c>
      <c r="E231" s="64" t="s">
        <v>2685</v>
      </c>
    </row>
    <row r="232" spans="1:5" x14ac:dyDescent="0.25">
      <c r="A232" s="450">
        <v>9525</v>
      </c>
      <c r="B232" s="450" t="s">
        <v>2845</v>
      </c>
      <c r="C232" s="451" t="s">
        <v>2683</v>
      </c>
      <c r="D232" s="64" t="s">
        <v>2684</v>
      </c>
      <c r="E232" s="64" t="s">
        <v>2685</v>
      </c>
    </row>
    <row r="233" spans="1:5" x14ac:dyDescent="0.25">
      <c r="A233" s="450">
        <v>9527</v>
      </c>
      <c r="B233" s="450" t="s">
        <v>2846</v>
      </c>
      <c r="C233" s="451" t="s">
        <v>2683</v>
      </c>
      <c r="D233" s="64" t="s">
        <v>2684</v>
      </c>
      <c r="E233" s="64" t="s">
        <v>2685</v>
      </c>
    </row>
    <row r="234" spans="1:5" x14ac:dyDescent="0.25">
      <c r="A234" s="450">
        <v>9528</v>
      </c>
      <c r="B234" s="450" t="s">
        <v>2847</v>
      </c>
      <c r="C234" s="451" t="s">
        <v>2683</v>
      </c>
      <c r="D234" s="64" t="s">
        <v>2684</v>
      </c>
      <c r="E234" s="64" t="s">
        <v>2685</v>
      </c>
    </row>
    <row r="235" spans="1:5" x14ac:dyDescent="0.25">
      <c r="A235" s="450">
        <v>9601</v>
      </c>
      <c r="B235" s="450" t="s">
        <v>2848</v>
      </c>
      <c r="C235" s="451" t="s">
        <v>2683</v>
      </c>
      <c r="D235" s="64" t="s">
        <v>2684</v>
      </c>
      <c r="E235" s="64" t="s">
        <v>2685</v>
      </c>
    </row>
    <row r="236" spans="1:5" x14ac:dyDescent="0.25">
      <c r="A236" s="450">
        <v>9607</v>
      </c>
      <c r="B236" s="450" t="s">
        <v>2849</v>
      </c>
      <c r="C236" s="451" t="s">
        <v>2683</v>
      </c>
      <c r="D236" s="64" t="s">
        <v>2684</v>
      </c>
      <c r="E236" s="64" t="s">
        <v>2685</v>
      </c>
    </row>
    <row r="237" spans="1:5" x14ac:dyDescent="0.25">
      <c r="A237" s="450">
        <v>9618</v>
      </c>
      <c r="B237" s="450" t="s">
        <v>2850</v>
      </c>
      <c r="C237" s="451" t="s">
        <v>2683</v>
      </c>
      <c r="D237" s="64" t="s">
        <v>2684</v>
      </c>
      <c r="E237" s="64" t="s">
        <v>2685</v>
      </c>
    </row>
    <row r="238" spans="1:5" x14ac:dyDescent="0.25">
      <c r="A238" s="450">
        <v>9650</v>
      </c>
      <c r="B238" s="450" t="s">
        <v>2851</v>
      </c>
      <c r="C238" s="451" t="s">
        <v>2683</v>
      </c>
      <c r="D238" s="64" t="s">
        <v>2689</v>
      </c>
      <c r="E238" s="64" t="s">
        <v>2611</v>
      </c>
    </row>
    <row r="239" spans="1:5" x14ac:dyDescent="0.25">
      <c r="A239" s="450">
        <v>9651</v>
      </c>
      <c r="B239" s="450" t="s">
        <v>2852</v>
      </c>
      <c r="C239" s="451" t="s">
        <v>2683</v>
      </c>
      <c r="D239" s="64" t="s">
        <v>2689</v>
      </c>
      <c r="E239" s="64" t="s">
        <v>2611</v>
      </c>
    </row>
    <row r="240" spans="1:5" x14ac:dyDescent="0.25">
      <c r="A240" s="450">
        <v>9652</v>
      </c>
      <c r="B240" s="450" t="s">
        <v>2853</v>
      </c>
      <c r="C240" s="451" t="s">
        <v>2683</v>
      </c>
      <c r="D240" s="64" t="s">
        <v>2689</v>
      </c>
      <c r="E240" s="64" t="s">
        <v>2611</v>
      </c>
    </row>
    <row r="241" spans="1:5" x14ac:dyDescent="0.25">
      <c r="A241" s="450">
        <v>9653</v>
      </c>
      <c r="B241" s="450" t="s">
        <v>2854</v>
      </c>
      <c r="C241" s="451" t="s">
        <v>2683</v>
      </c>
      <c r="D241" s="64" t="s">
        <v>2689</v>
      </c>
      <c r="E241" s="64" t="s">
        <v>2611</v>
      </c>
    </row>
    <row r="242" spans="1:5" x14ac:dyDescent="0.25">
      <c r="A242" s="450">
        <v>9654</v>
      </c>
      <c r="B242" s="450" t="s">
        <v>2855</v>
      </c>
      <c r="C242" s="451" t="s">
        <v>2683</v>
      </c>
      <c r="D242" s="64" t="s">
        <v>2689</v>
      </c>
      <c r="E242" s="64" t="s">
        <v>2611</v>
      </c>
    </row>
    <row r="243" spans="1:5" x14ac:dyDescent="0.25">
      <c r="A243" s="450">
        <v>9684</v>
      </c>
      <c r="B243" s="450" t="s">
        <v>2856</v>
      </c>
      <c r="C243" s="451" t="s">
        <v>2683</v>
      </c>
      <c r="D243" s="64" t="s">
        <v>2684</v>
      </c>
      <c r="E243" s="64" t="s">
        <v>2685</v>
      </c>
    </row>
    <row r="244" spans="1:5" x14ac:dyDescent="0.25">
      <c r="A244" s="450">
        <v>9685</v>
      </c>
      <c r="B244" s="450" t="s">
        <v>2857</v>
      </c>
      <c r="C244" s="451" t="s">
        <v>2683</v>
      </c>
      <c r="D244" s="64" t="s">
        <v>2684</v>
      </c>
      <c r="E244" s="64" t="s">
        <v>2685</v>
      </c>
    </row>
    <row r="245" spans="1:5" x14ac:dyDescent="0.25">
      <c r="A245" s="450">
        <v>9700</v>
      </c>
      <c r="B245" s="450" t="s">
        <v>2858</v>
      </c>
      <c r="C245" s="451" t="s">
        <v>2683</v>
      </c>
      <c r="D245" s="64" t="s">
        <v>2684</v>
      </c>
      <c r="E245" s="64" t="s">
        <v>2685</v>
      </c>
    </row>
    <row r="246" spans="1:5" x14ac:dyDescent="0.25">
      <c r="A246" s="450">
        <v>9705</v>
      </c>
      <c r="B246" s="450" t="s">
        <v>2859</v>
      </c>
      <c r="C246" s="451" t="s">
        <v>2683</v>
      </c>
      <c r="D246" s="64" t="s">
        <v>2684</v>
      </c>
      <c r="E246" s="64" t="s">
        <v>2685</v>
      </c>
    </row>
    <row r="247" spans="1:5" x14ac:dyDescent="0.25">
      <c r="A247" s="452">
        <v>100</v>
      </c>
      <c r="B247" s="452" t="s">
        <v>2860</v>
      </c>
      <c r="C247" s="453" t="s">
        <v>2861</v>
      </c>
      <c r="D247" s="64" t="s">
        <v>2684</v>
      </c>
      <c r="E247" s="64" t="s">
        <v>2685</v>
      </c>
    </row>
    <row r="248" spans="1:5" x14ac:dyDescent="0.25">
      <c r="A248" s="452">
        <v>101</v>
      </c>
      <c r="B248" s="452" t="s">
        <v>2862</v>
      </c>
      <c r="C248" s="453" t="s">
        <v>2861</v>
      </c>
      <c r="D248" s="64" t="s">
        <v>2684</v>
      </c>
      <c r="E248" s="64" t="s">
        <v>2685</v>
      </c>
    </row>
    <row r="249" spans="1:5" x14ac:dyDescent="0.25">
      <c r="A249" s="452">
        <v>102</v>
      </c>
      <c r="B249" s="452" t="s">
        <v>2863</v>
      </c>
      <c r="C249" s="453" t="s">
        <v>2861</v>
      </c>
      <c r="D249" s="64" t="s">
        <v>2684</v>
      </c>
      <c r="E249" s="64" t="s">
        <v>2685</v>
      </c>
    </row>
    <row r="250" spans="1:5" x14ac:dyDescent="0.25">
      <c r="A250" s="452">
        <v>103</v>
      </c>
      <c r="B250" s="452" t="s">
        <v>2864</v>
      </c>
      <c r="C250" s="453" t="s">
        <v>2861</v>
      </c>
      <c r="D250" s="64" t="s">
        <v>2684</v>
      </c>
      <c r="E250" s="64" t="s">
        <v>2685</v>
      </c>
    </row>
    <row r="251" spans="1:5" x14ac:dyDescent="0.25">
      <c r="A251" s="452">
        <v>104</v>
      </c>
      <c r="B251" s="452" t="s">
        <v>2865</v>
      </c>
      <c r="C251" s="453" t="s">
        <v>2861</v>
      </c>
      <c r="D251" s="64" t="s">
        <v>2684</v>
      </c>
      <c r="E251" s="64" t="s">
        <v>2685</v>
      </c>
    </row>
    <row r="252" spans="1:5" x14ac:dyDescent="0.25">
      <c r="A252" s="452">
        <v>105</v>
      </c>
      <c r="B252" s="452" t="s">
        <v>2866</v>
      </c>
      <c r="C252" s="453" t="s">
        <v>2861</v>
      </c>
      <c r="D252" s="64" t="s">
        <v>2684</v>
      </c>
      <c r="E252" s="64" t="s">
        <v>2685</v>
      </c>
    </row>
    <row r="253" spans="1:5" x14ac:dyDescent="0.25">
      <c r="A253" s="452">
        <v>106</v>
      </c>
      <c r="B253" s="452" t="s">
        <v>2867</v>
      </c>
      <c r="C253" s="453" t="s">
        <v>2861</v>
      </c>
      <c r="D253" s="64" t="s">
        <v>2684</v>
      </c>
      <c r="E253" s="64" t="s">
        <v>2685</v>
      </c>
    </row>
    <row r="254" spans="1:5" x14ac:dyDescent="0.25">
      <c r="A254" s="452">
        <v>107</v>
      </c>
      <c r="B254" s="452" t="s">
        <v>2868</v>
      </c>
      <c r="C254" s="453" t="s">
        <v>2861</v>
      </c>
      <c r="D254" s="64" t="s">
        <v>2684</v>
      </c>
      <c r="E254" s="64" t="s">
        <v>2685</v>
      </c>
    </row>
    <row r="255" spans="1:5" x14ac:dyDescent="0.25">
      <c r="A255" s="452">
        <v>108</v>
      </c>
      <c r="B255" s="452" t="s">
        <v>2869</v>
      </c>
      <c r="C255" s="453" t="s">
        <v>2861</v>
      </c>
      <c r="D255" s="64" t="s">
        <v>2684</v>
      </c>
      <c r="E255" s="64" t="s">
        <v>2685</v>
      </c>
    </row>
    <row r="256" spans="1:5" x14ac:dyDescent="0.25">
      <c r="A256" s="452">
        <v>109</v>
      </c>
      <c r="B256" s="452" t="s">
        <v>2870</v>
      </c>
      <c r="C256" s="453" t="s">
        <v>2861</v>
      </c>
      <c r="D256" s="64" t="s">
        <v>2684</v>
      </c>
      <c r="E256" s="64" t="s">
        <v>2685</v>
      </c>
    </row>
    <row r="257" spans="1:5" x14ac:dyDescent="0.25">
      <c r="A257" s="452">
        <v>110</v>
      </c>
      <c r="B257" s="452" t="s">
        <v>2871</v>
      </c>
      <c r="C257" s="453" t="s">
        <v>2861</v>
      </c>
      <c r="D257" s="64" t="s">
        <v>2684</v>
      </c>
      <c r="E257" s="64" t="s">
        <v>2685</v>
      </c>
    </row>
    <row r="258" spans="1:5" x14ac:dyDescent="0.25">
      <c r="A258" s="452">
        <v>111</v>
      </c>
      <c r="B258" s="452" t="s">
        <v>2872</v>
      </c>
      <c r="C258" s="453" t="s">
        <v>2861</v>
      </c>
      <c r="D258" s="64" t="s">
        <v>2684</v>
      </c>
      <c r="E258" s="64" t="s">
        <v>2685</v>
      </c>
    </row>
    <row r="259" spans="1:5" x14ac:dyDescent="0.25">
      <c r="A259" s="452">
        <v>112</v>
      </c>
      <c r="B259" s="452" t="s">
        <v>2873</v>
      </c>
      <c r="C259" s="453" t="s">
        <v>2861</v>
      </c>
      <c r="D259" s="64" t="s">
        <v>2684</v>
      </c>
      <c r="E259" s="64" t="s">
        <v>2685</v>
      </c>
    </row>
    <row r="260" spans="1:5" x14ac:dyDescent="0.25">
      <c r="A260" s="452">
        <v>113</v>
      </c>
      <c r="B260" s="452" t="s">
        <v>2874</v>
      </c>
      <c r="C260" s="453" t="s">
        <v>2861</v>
      </c>
      <c r="D260" s="64" t="s">
        <v>2684</v>
      </c>
      <c r="E260" s="64" t="s">
        <v>2685</v>
      </c>
    </row>
    <row r="261" spans="1:5" x14ac:dyDescent="0.25">
      <c r="A261" s="452">
        <v>114</v>
      </c>
      <c r="B261" s="452" t="s">
        <v>2875</v>
      </c>
      <c r="C261" s="453" t="s">
        <v>2861</v>
      </c>
      <c r="D261" s="64" t="s">
        <v>2684</v>
      </c>
      <c r="E261" s="64" t="s">
        <v>2685</v>
      </c>
    </row>
    <row r="262" spans="1:5" x14ac:dyDescent="0.25">
      <c r="A262" s="452">
        <v>115</v>
      </c>
      <c r="B262" s="452" t="s">
        <v>2876</v>
      </c>
      <c r="C262" s="453" t="s">
        <v>2861</v>
      </c>
      <c r="D262" s="64" t="s">
        <v>2684</v>
      </c>
      <c r="E262" s="64" t="s">
        <v>2685</v>
      </c>
    </row>
    <row r="263" spans="1:5" x14ac:dyDescent="0.25">
      <c r="A263" s="452">
        <v>116</v>
      </c>
      <c r="B263" s="452" t="s">
        <v>2877</v>
      </c>
      <c r="C263" s="453" t="s">
        <v>2861</v>
      </c>
      <c r="D263" s="64" t="s">
        <v>2684</v>
      </c>
      <c r="E263" s="64" t="s">
        <v>2685</v>
      </c>
    </row>
    <row r="264" spans="1:5" x14ac:dyDescent="0.25">
      <c r="A264" s="452">
        <v>117</v>
      </c>
      <c r="B264" s="452" t="s">
        <v>2878</v>
      </c>
      <c r="C264" s="453" t="s">
        <v>2861</v>
      </c>
      <c r="D264" s="64" t="s">
        <v>2684</v>
      </c>
      <c r="E264" s="64" t="s">
        <v>2685</v>
      </c>
    </row>
    <row r="265" spans="1:5" x14ac:dyDescent="0.25">
      <c r="A265" s="452">
        <v>118</v>
      </c>
      <c r="B265" s="452" t="s">
        <v>2879</v>
      </c>
      <c r="C265" s="453" t="s">
        <v>2861</v>
      </c>
      <c r="D265" s="64" t="s">
        <v>2684</v>
      </c>
      <c r="E265" s="64" t="s">
        <v>2685</v>
      </c>
    </row>
    <row r="266" spans="1:5" x14ac:dyDescent="0.25">
      <c r="A266" s="452">
        <v>119</v>
      </c>
      <c r="B266" s="452" t="s">
        <v>2880</v>
      </c>
      <c r="C266" s="453" t="s">
        <v>2861</v>
      </c>
      <c r="D266" s="64" t="s">
        <v>2684</v>
      </c>
      <c r="E266" s="64" t="s">
        <v>2685</v>
      </c>
    </row>
    <row r="267" spans="1:5" x14ac:dyDescent="0.25">
      <c r="A267" s="452">
        <v>120</v>
      </c>
      <c r="B267" s="452" t="s">
        <v>2881</v>
      </c>
      <c r="C267" s="453" t="s">
        <v>2861</v>
      </c>
      <c r="D267" s="64" t="s">
        <v>2684</v>
      </c>
      <c r="E267" s="64" t="s">
        <v>2685</v>
      </c>
    </row>
    <row r="268" spans="1:5" x14ac:dyDescent="0.25">
      <c r="A268" s="452">
        <v>121</v>
      </c>
      <c r="B268" s="452" t="s">
        <v>2882</v>
      </c>
      <c r="C268" s="453" t="s">
        <v>2861</v>
      </c>
      <c r="D268" s="64" t="s">
        <v>2684</v>
      </c>
      <c r="E268" s="64" t="s">
        <v>2685</v>
      </c>
    </row>
    <row r="269" spans="1:5" x14ac:dyDescent="0.25">
      <c r="A269" s="452">
        <v>122</v>
      </c>
      <c r="B269" s="452" t="s">
        <v>2883</v>
      </c>
      <c r="C269" s="453" t="s">
        <v>2861</v>
      </c>
      <c r="D269" s="64" t="s">
        <v>2684</v>
      </c>
      <c r="E269" s="64" t="s">
        <v>2685</v>
      </c>
    </row>
    <row r="270" spans="1:5" x14ac:dyDescent="0.25">
      <c r="A270" s="452">
        <v>123</v>
      </c>
      <c r="B270" s="452" t="s">
        <v>2884</v>
      </c>
      <c r="C270" s="453" t="s">
        <v>2861</v>
      </c>
      <c r="D270" s="64" t="s">
        <v>2684</v>
      </c>
      <c r="E270" s="64" t="s">
        <v>2685</v>
      </c>
    </row>
    <row r="271" spans="1:5" x14ac:dyDescent="0.25">
      <c r="A271" s="452">
        <v>124</v>
      </c>
      <c r="B271" s="452" t="s">
        <v>2885</v>
      </c>
      <c r="C271" s="453" t="s">
        <v>2861</v>
      </c>
      <c r="D271" s="64" t="s">
        <v>2684</v>
      </c>
      <c r="E271" s="64" t="s">
        <v>2685</v>
      </c>
    </row>
    <row r="272" spans="1:5" x14ac:dyDescent="0.25">
      <c r="A272" s="452">
        <v>126</v>
      </c>
      <c r="B272" s="452" t="s">
        <v>2886</v>
      </c>
      <c r="C272" s="453" t="s">
        <v>2861</v>
      </c>
      <c r="D272" s="64" t="s">
        <v>2684</v>
      </c>
      <c r="E272" s="64" t="s">
        <v>2685</v>
      </c>
    </row>
    <row r="273" spans="1:5" x14ac:dyDescent="0.25">
      <c r="A273" s="452">
        <v>127</v>
      </c>
      <c r="B273" s="452" t="s">
        <v>2887</v>
      </c>
      <c r="C273" s="453" t="s">
        <v>2861</v>
      </c>
      <c r="D273" s="64" t="s">
        <v>2684</v>
      </c>
      <c r="E273" s="64" t="s">
        <v>2685</v>
      </c>
    </row>
    <row r="274" spans="1:5" x14ac:dyDescent="0.25">
      <c r="A274" s="452">
        <v>128</v>
      </c>
      <c r="B274" s="452" t="s">
        <v>2888</v>
      </c>
      <c r="C274" s="453" t="s">
        <v>2861</v>
      </c>
      <c r="D274" s="64" t="s">
        <v>2684</v>
      </c>
      <c r="E274" s="64" t="s">
        <v>2685</v>
      </c>
    </row>
    <row r="275" spans="1:5" x14ac:dyDescent="0.25">
      <c r="A275" s="452">
        <v>129</v>
      </c>
      <c r="B275" s="452" t="s">
        <v>2889</v>
      </c>
      <c r="C275" s="453" t="s">
        <v>2861</v>
      </c>
      <c r="D275" s="64" t="s">
        <v>2684</v>
      </c>
      <c r="E275" s="64" t="s">
        <v>2685</v>
      </c>
    </row>
    <row r="276" spans="1:5" x14ac:dyDescent="0.25">
      <c r="A276" s="452">
        <v>130</v>
      </c>
      <c r="B276" s="452" t="s">
        <v>2890</v>
      </c>
      <c r="C276" s="453" t="s">
        <v>2861</v>
      </c>
      <c r="D276" s="64" t="s">
        <v>2684</v>
      </c>
      <c r="E276" s="64" t="s">
        <v>2685</v>
      </c>
    </row>
    <row r="277" spans="1:5" x14ac:dyDescent="0.25">
      <c r="A277" s="452">
        <v>131</v>
      </c>
      <c r="B277" s="452" t="s">
        <v>2891</v>
      </c>
      <c r="C277" s="453" t="s">
        <v>2861</v>
      </c>
      <c r="D277" s="64" t="s">
        <v>2684</v>
      </c>
      <c r="E277" s="64" t="s">
        <v>2685</v>
      </c>
    </row>
    <row r="278" spans="1:5" x14ac:dyDescent="0.25">
      <c r="A278" s="452">
        <v>132</v>
      </c>
      <c r="B278" s="452" t="s">
        <v>2892</v>
      </c>
      <c r="C278" s="453" t="s">
        <v>2861</v>
      </c>
      <c r="D278" s="64" t="s">
        <v>2684</v>
      </c>
      <c r="E278" s="64" t="s">
        <v>2685</v>
      </c>
    </row>
    <row r="279" spans="1:5" x14ac:dyDescent="0.25">
      <c r="A279" s="452">
        <v>133</v>
      </c>
      <c r="B279" s="452" t="s">
        <v>2893</v>
      </c>
      <c r="C279" s="453" t="s">
        <v>2861</v>
      </c>
      <c r="D279" s="64" t="s">
        <v>2684</v>
      </c>
      <c r="E279" s="64" t="s">
        <v>2685</v>
      </c>
    </row>
    <row r="280" spans="1:5" x14ac:dyDescent="0.25">
      <c r="A280" s="452">
        <v>134</v>
      </c>
      <c r="B280" s="452" t="s">
        <v>2894</v>
      </c>
      <c r="C280" s="453" t="s">
        <v>2861</v>
      </c>
      <c r="D280" s="64" t="s">
        <v>2684</v>
      </c>
      <c r="E280" s="64" t="s">
        <v>2685</v>
      </c>
    </row>
    <row r="281" spans="1:5" x14ac:dyDescent="0.25">
      <c r="A281" s="452">
        <v>135</v>
      </c>
      <c r="B281" s="452" t="s">
        <v>2895</v>
      </c>
      <c r="C281" s="453" t="s">
        <v>2861</v>
      </c>
      <c r="D281" s="64" t="s">
        <v>2684</v>
      </c>
      <c r="E281" s="64" t="s">
        <v>2685</v>
      </c>
    </row>
    <row r="282" spans="1:5" x14ac:dyDescent="0.25">
      <c r="A282" s="452">
        <v>136</v>
      </c>
      <c r="B282" s="452" t="s">
        <v>2896</v>
      </c>
      <c r="C282" s="453" t="s">
        <v>2861</v>
      </c>
      <c r="D282" s="64" t="s">
        <v>2684</v>
      </c>
      <c r="E282" s="64" t="s">
        <v>2685</v>
      </c>
    </row>
    <row r="283" spans="1:5" x14ac:dyDescent="0.25">
      <c r="A283" s="452">
        <v>137</v>
      </c>
      <c r="B283" s="452" t="s">
        <v>2897</v>
      </c>
      <c r="C283" s="453" t="s">
        <v>2861</v>
      </c>
      <c r="D283" s="64" t="s">
        <v>2684</v>
      </c>
      <c r="E283" s="64" t="s">
        <v>2685</v>
      </c>
    </row>
    <row r="284" spans="1:5" x14ac:dyDescent="0.25">
      <c r="A284" s="452">
        <v>138</v>
      </c>
      <c r="B284" s="452" t="s">
        <v>2898</v>
      </c>
      <c r="C284" s="453" t="s">
        <v>2861</v>
      </c>
      <c r="D284" s="64" t="s">
        <v>2684</v>
      </c>
      <c r="E284" s="64" t="s">
        <v>2685</v>
      </c>
    </row>
    <row r="285" spans="1:5" x14ac:dyDescent="0.25">
      <c r="A285" s="452">
        <v>139</v>
      </c>
      <c r="B285" s="452" t="s">
        <v>2899</v>
      </c>
      <c r="C285" s="453" t="s">
        <v>2861</v>
      </c>
      <c r="D285" s="64" t="s">
        <v>2684</v>
      </c>
      <c r="E285" s="64" t="s">
        <v>2685</v>
      </c>
    </row>
    <row r="286" spans="1:5" x14ac:dyDescent="0.25">
      <c r="A286" s="452">
        <v>140</v>
      </c>
      <c r="B286" s="452" t="s">
        <v>2900</v>
      </c>
      <c r="C286" s="453" t="s">
        <v>2861</v>
      </c>
      <c r="D286" s="64" t="s">
        <v>2684</v>
      </c>
      <c r="E286" s="64" t="s">
        <v>2685</v>
      </c>
    </row>
    <row r="287" spans="1:5" x14ac:dyDescent="0.25">
      <c r="A287" s="452">
        <v>141</v>
      </c>
      <c r="B287" s="452" t="s">
        <v>2901</v>
      </c>
      <c r="C287" s="453" t="s">
        <v>2861</v>
      </c>
      <c r="D287" s="64" t="s">
        <v>2684</v>
      </c>
      <c r="E287" s="64" t="s">
        <v>2685</v>
      </c>
    </row>
    <row r="288" spans="1:5" x14ac:dyDescent="0.25">
      <c r="A288" s="452">
        <v>142</v>
      </c>
      <c r="B288" s="452" t="s">
        <v>2902</v>
      </c>
      <c r="C288" s="453" t="s">
        <v>2861</v>
      </c>
      <c r="D288" s="64" t="s">
        <v>2684</v>
      </c>
      <c r="E288" s="64" t="s">
        <v>2685</v>
      </c>
    </row>
    <row r="289" spans="1:5" x14ac:dyDescent="0.25">
      <c r="A289" s="452">
        <v>143</v>
      </c>
      <c r="B289" s="452" t="s">
        <v>2903</v>
      </c>
      <c r="C289" s="453" t="s">
        <v>2861</v>
      </c>
      <c r="D289" s="64" t="s">
        <v>2684</v>
      </c>
      <c r="E289" s="64" t="s">
        <v>2685</v>
      </c>
    </row>
    <row r="290" spans="1:5" x14ac:dyDescent="0.25">
      <c r="A290" s="452">
        <v>144</v>
      </c>
      <c r="B290" s="452" t="s">
        <v>2904</v>
      </c>
      <c r="C290" s="453" t="s">
        <v>2861</v>
      </c>
      <c r="D290" s="64" t="s">
        <v>2684</v>
      </c>
      <c r="E290" s="64" t="s">
        <v>2685</v>
      </c>
    </row>
    <row r="291" spans="1:5" x14ac:dyDescent="0.25">
      <c r="A291" s="452">
        <v>145</v>
      </c>
      <c r="B291" s="452" t="s">
        <v>2905</v>
      </c>
      <c r="C291" s="453" t="s">
        <v>2861</v>
      </c>
      <c r="D291" s="64" t="s">
        <v>2684</v>
      </c>
      <c r="E291" s="64" t="s">
        <v>2685</v>
      </c>
    </row>
    <row r="292" spans="1:5" x14ac:dyDescent="0.25">
      <c r="A292" s="452">
        <v>146</v>
      </c>
      <c r="B292" s="452" t="s">
        <v>2906</v>
      </c>
      <c r="C292" s="453" t="s">
        <v>2861</v>
      </c>
      <c r="D292" s="64" t="s">
        <v>2684</v>
      </c>
      <c r="E292" s="64" t="s">
        <v>2685</v>
      </c>
    </row>
    <row r="293" spans="1:5" x14ac:dyDescent="0.25">
      <c r="A293" s="452">
        <v>147</v>
      </c>
      <c r="B293" s="452" t="s">
        <v>2907</v>
      </c>
      <c r="C293" s="453" t="s">
        <v>2861</v>
      </c>
      <c r="D293" s="64" t="s">
        <v>2684</v>
      </c>
      <c r="E293" s="64" t="s">
        <v>2685</v>
      </c>
    </row>
    <row r="294" spans="1:5" x14ac:dyDescent="0.25">
      <c r="A294" s="452">
        <v>148</v>
      </c>
      <c r="B294" s="452" t="s">
        <v>2908</v>
      </c>
      <c r="C294" s="453" t="s">
        <v>2861</v>
      </c>
      <c r="D294" s="64" t="s">
        <v>2684</v>
      </c>
      <c r="E294" s="64" t="s">
        <v>2685</v>
      </c>
    </row>
    <row r="295" spans="1:5" x14ac:dyDescent="0.25">
      <c r="A295" s="452">
        <v>149</v>
      </c>
      <c r="B295" s="452" t="s">
        <v>2909</v>
      </c>
      <c r="C295" s="453" t="s">
        <v>2861</v>
      </c>
      <c r="D295" s="64" t="s">
        <v>2684</v>
      </c>
      <c r="E295" s="64" t="s">
        <v>2685</v>
      </c>
    </row>
    <row r="296" spans="1:5" x14ac:dyDescent="0.25">
      <c r="A296" s="452">
        <v>150</v>
      </c>
      <c r="B296" s="452" t="s">
        <v>2910</v>
      </c>
      <c r="C296" s="453" t="s">
        <v>2861</v>
      </c>
      <c r="D296" s="64" t="s">
        <v>2684</v>
      </c>
      <c r="E296" s="64" t="s">
        <v>2685</v>
      </c>
    </row>
    <row r="297" spans="1:5" x14ac:dyDescent="0.25">
      <c r="A297" s="452">
        <v>151</v>
      </c>
      <c r="B297" s="452" t="s">
        <v>2911</v>
      </c>
      <c r="C297" s="453" t="s">
        <v>2861</v>
      </c>
      <c r="D297" s="64" t="s">
        <v>2684</v>
      </c>
      <c r="E297" s="64" t="s">
        <v>2685</v>
      </c>
    </row>
    <row r="298" spans="1:5" x14ac:dyDescent="0.25">
      <c r="A298" s="452">
        <v>152</v>
      </c>
      <c r="B298" s="452" t="s">
        <v>2912</v>
      </c>
      <c r="C298" s="453" t="s">
        <v>2861</v>
      </c>
      <c r="D298" s="64" t="s">
        <v>2684</v>
      </c>
      <c r="E298" s="64" t="s">
        <v>2685</v>
      </c>
    </row>
    <row r="299" spans="1:5" x14ac:dyDescent="0.25">
      <c r="A299" s="452">
        <v>153</v>
      </c>
      <c r="B299" s="452" t="s">
        <v>2913</v>
      </c>
      <c r="C299" s="453" t="s">
        <v>2861</v>
      </c>
      <c r="D299" s="64" t="s">
        <v>2684</v>
      </c>
      <c r="E299" s="64" t="s">
        <v>2685</v>
      </c>
    </row>
    <row r="300" spans="1:5" x14ac:dyDescent="0.25">
      <c r="A300" s="452">
        <v>154</v>
      </c>
      <c r="B300" s="452" t="s">
        <v>2914</v>
      </c>
      <c r="C300" s="453" t="s">
        <v>2861</v>
      </c>
      <c r="D300" s="64" t="s">
        <v>2684</v>
      </c>
      <c r="E300" s="64" t="s">
        <v>2685</v>
      </c>
    </row>
    <row r="301" spans="1:5" x14ac:dyDescent="0.25">
      <c r="A301" s="452">
        <v>155</v>
      </c>
      <c r="B301" s="452" t="s">
        <v>2915</v>
      </c>
      <c r="C301" s="453" t="s">
        <v>2861</v>
      </c>
      <c r="D301" s="64" t="s">
        <v>2684</v>
      </c>
      <c r="E301" s="64" t="s">
        <v>2685</v>
      </c>
    </row>
    <row r="302" spans="1:5" x14ac:dyDescent="0.25">
      <c r="A302" s="452">
        <v>161</v>
      </c>
      <c r="B302" s="452" t="s">
        <v>2916</v>
      </c>
      <c r="C302" s="453" t="s">
        <v>2861</v>
      </c>
      <c r="D302" s="64" t="s">
        <v>2684</v>
      </c>
      <c r="E302" s="64" t="s">
        <v>2685</v>
      </c>
    </row>
    <row r="303" spans="1:5" x14ac:dyDescent="0.25">
      <c r="A303" s="452">
        <v>162</v>
      </c>
      <c r="B303" s="452" t="s">
        <v>2917</v>
      </c>
      <c r="C303" s="453" t="s">
        <v>2861</v>
      </c>
      <c r="D303" s="64" t="s">
        <v>2684</v>
      </c>
      <c r="E303" s="64" t="s">
        <v>2685</v>
      </c>
    </row>
    <row r="304" spans="1:5" x14ac:dyDescent="0.25">
      <c r="A304" s="452">
        <v>163</v>
      </c>
      <c r="B304" s="452" t="s">
        <v>2918</v>
      </c>
      <c r="C304" s="453" t="s">
        <v>2861</v>
      </c>
      <c r="D304" s="64" t="s">
        <v>2684</v>
      </c>
      <c r="E304" s="64" t="s">
        <v>2685</v>
      </c>
    </row>
    <row r="305" spans="1:5" x14ac:dyDescent="0.25">
      <c r="A305" s="452">
        <v>164</v>
      </c>
      <c r="B305" s="452" t="s">
        <v>2919</v>
      </c>
      <c r="C305" s="453" t="s">
        <v>2861</v>
      </c>
      <c r="D305" s="64" t="s">
        <v>2684</v>
      </c>
      <c r="E305" s="64" t="s">
        <v>2685</v>
      </c>
    </row>
    <row r="306" spans="1:5" x14ac:dyDescent="0.25">
      <c r="A306" s="452">
        <v>165</v>
      </c>
      <c r="B306" s="452" t="s">
        <v>2920</v>
      </c>
      <c r="C306" s="453" t="s">
        <v>2861</v>
      </c>
      <c r="D306" s="64" t="s">
        <v>2684</v>
      </c>
      <c r="E306" s="64" t="s">
        <v>2685</v>
      </c>
    </row>
    <row r="307" spans="1:5" x14ac:dyDescent="0.25">
      <c r="A307" s="452">
        <v>166</v>
      </c>
      <c r="B307" s="452" t="s">
        <v>2921</v>
      </c>
      <c r="C307" s="453" t="s">
        <v>2861</v>
      </c>
      <c r="D307" s="64" t="s">
        <v>2684</v>
      </c>
      <c r="E307" s="64" t="s">
        <v>2685</v>
      </c>
    </row>
    <row r="308" spans="1:5" x14ac:dyDescent="0.25">
      <c r="A308" s="452">
        <v>167</v>
      </c>
      <c r="B308" s="452" t="s">
        <v>2922</v>
      </c>
      <c r="C308" s="453" t="s">
        <v>2861</v>
      </c>
      <c r="D308" s="64" t="s">
        <v>2684</v>
      </c>
      <c r="E308" s="64" t="s">
        <v>2685</v>
      </c>
    </row>
    <row r="309" spans="1:5" x14ac:dyDescent="0.25">
      <c r="A309" s="452">
        <v>168</v>
      </c>
      <c r="B309" s="452" t="s">
        <v>2923</v>
      </c>
      <c r="C309" s="453" t="s">
        <v>2861</v>
      </c>
      <c r="D309" s="64" t="s">
        <v>2684</v>
      </c>
      <c r="E309" s="64" t="s">
        <v>2685</v>
      </c>
    </row>
    <row r="310" spans="1:5" x14ac:dyDescent="0.25">
      <c r="A310" s="452">
        <v>169</v>
      </c>
      <c r="B310" s="452" t="s">
        <v>2924</v>
      </c>
      <c r="C310" s="453" t="s">
        <v>2861</v>
      </c>
      <c r="D310" s="64" t="s">
        <v>2684</v>
      </c>
      <c r="E310" s="64" t="s">
        <v>2685</v>
      </c>
    </row>
    <row r="311" spans="1:5" x14ac:dyDescent="0.25">
      <c r="A311" s="452">
        <v>170</v>
      </c>
      <c r="B311" s="452" t="s">
        <v>2925</v>
      </c>
      <c r="C311" s="453" t="s">
        <v>2861</v>
      </c>
      <c r="D311" s="64" t="s">
        <v>2684</v>
      </c>
      <c r="E311" s="64" t="s">
        <v>2685</v>
      </c>
    </row>
    <row r="312" spans="1:5" x14ac:dyDescent="0.25">
      <c r="A312" s="452">
        <v>171</v>
      </c>
      <c r="B312" s="452" t="s">
        <v>2926</v>
      </c>
      <c r="C312" s="453" t="s">
        <v>2861</v>
      </c>
      <c r="D312" s="64" t="s">
        <v>2684</v>
      </c>
      <c r="E312" s="64" t="s">
        <v>2685</v>
      </c>
    </row>
    <row r="313" spans="1:5" x14ac:dyDescent="0.25">
      <c r="A313" s="452">
        <v>172</v>
      </c>
      <c r="B313" s="452" t="s">
        <v>2927</v>
      </c>
      <c r="C313" s="453" t="s">
        <v>2861</v>
      </c>
      <c r="D313" s="64" t="s">
        <v>2684</v>
      </c>
      <c r="E313" s="64" t="s">
        <v>2685</v>
      </c>
    </row>
    <row r="314" spans="1:5" x14ac:dyDescent="0.25">
      <c r="A314" s="452">
        <v>173</v>
      </c>
      <c r="B314" s="452" t="s">
        <v>2928</v>
      </c>
      <c r="C314" s="453" t="s">
        <v>2861</v>
      </c>
      <c r="D314" s="64" t="s">
        <v>2684</v>
      </c>
      <c r="E314" s="64" t="s">
        <v>2685</v>
      </c>
    </row>
    <row r="315" spans="1:5" x14ac:dyDescent="0.25">
      <c r="A315" s="452">
        <v>174</v>
      </c>
      <c r="B315" s="452" t="s">
        <v>2929</v>
      </c>
      <c r="C315" s="453" t="s">
        <v>2861</v>
      </c>
      <c r="D315" s="64" t="s">
        <v>2684</v>
      </c>
      <c r="E315" s="64" t="s">
        <v>2685</v>
      </c>
    </row>
    <row r="316" spans="1:5" x14ac:dyDescent="0.25">
      <c r="A316" s="452">
        <v>175</v>
      </c>
      <c r="B316" s="452" t="s">
        <v>2930</v>
      </c>
      <c r="C316" s="453" t="s">
        <v>2861</v>
      </c>
      <c r="D316" s="64" t="s">
        <v>2684</v>
      </c>
      <c r="E316" s="64" t="s">
        <v>2685</v>
      </c>
    </row>
    <row r="317" spans="1:5" x14ac:dyDescent="0.25">
      <c r="A317" s="452">
        <v>176</v>
      </c>
      <c r="B317" s="452" t="s">
        <v>2931</v>
      </c>
      <c r="C317" s="453" t="s">
        <v>2861</v>
      </c>
      <c r="D317" s="64" t="s">
        <v>2684</v>
      </c>
      <c r="E317" s="64" t="s">
        <v>2685</v>
      </c>
    </row>
    <row r="318" spans="1:5" x14ac:dyDescent="0.25">
      <c r="A318" s="452">
        <v>177</v>
      </c>
      <c r="B318" s="452" t="s">
        <v>2932</v>
      </c>
      <c r="C318" s="453" t="s">
        <v>2861</v>
      </c>
      <c r="D318" s="64" t="s">
        <v>2684</v>
      </c>
      <c r="E318" s="64" t="s">
        <v>2685</v>
      </c>
    </row>
    <row r="319" spans="1:5" x14ac:dyDescent="0.25">
      <c r="A319" s="452">
        <v>178</v>
      </c>
      <c r="B319" s="452" t="s">
        <v>2933</v>
      </c>
      <c r="C319" s="453" t="s">
        <v>2861</v>
      </c>
      <c r="D319" s="64" t="s">
        <v>2684</v>
      </c>
      <c r="E319" s="64" t="s">
        <v>2685</v>
      </c>
    </row>
    <row r="320" spans="1:5" x14ac:dyDescent="0.25">
      <c r="A320" s="452">
        <v>301</v>
      </c>
      <c r="B320" s="452" t="s">
        <v>2934</v>
      </c>
      <c r="C320" s="453" t="s">
        <v>2861</v>
      </c>
      <c r="D320" s="64" t="s">
        <v>2684</v>
      </c>
      <c r="E320" s="64" t="s">
        <v>2685</v>
      </c>
    </row>
    <row r="321" spans="1:5" x14ac:dyDescent="0.25">
      <c r="A321" s="452">
        <v>302</v>
      </c>
      <c r="B321" s="452" t="s">
        <v>2935</v>
      </c>
      <c r="C321" s="453" t="s">
        <v>2861</v>
      </c>
      <c r="D321" s="64" t="s">
        <v>2684</v>
      </c>
      <c r="E321" s="64" t="s">
        <v>2685</v>
      </c>
    </row>
    <row r="322" spans="1:5" x14ac:dyDescent="0.25">
      <c r="A322" s="452">
        <v>303</v>
      </c>
      <c r="B322" s="452" t="s">
        <v>2936</v>
      </c>
      <c r="C322" s="453" t="s">
        <v>2861</v>
      </c>
      <c r="D322" s="64" t="s">
        <v>2684</v>
      </c>
      <c r="E322" s="64" t="s">
        <v>2685</v>
      </c>
    </row>
    <row r="323" spans="1:5" x14ac:dyDescent="0.25">
      <c r="A323" s="452">
        <v>304</v>
      </c>
      <c r="B323" s="452" t="s">
        <v>2937</v>
      </c>
      <c r="C323" s="453" t="s">
        <v>2861</v>
      </c>
      <c r="D323" s="64" t="s">
        <v>2684</v>
      </c>
      <c r="E323" s="64" t="s">
        <v>2685</v>
      </c>
    </row>
    <row r="324" spans="1:5" x14ac:dyDescent="0.25">
      <c r="A324" s="452">
        <v>305</v>
      </c>
      <c r="B324" s="452" t="s">
        <v>2938</v>
      </c>
      <c r="C324" s="453" t="s">
        <v>2861</v>
      </c>
      <c r="D324" s="64" t="s">
        <v>2684</v>
      </c>
      <c r="E324" s="64" t="s">
        <v>2685</v>
      </c>
    </row>
    <row r="325" spans="1:5" x14ac:dyDescent="0.25">
      <c r="A325" s="452">
        <v>306</v>
      </c>
      <c r="B325" s="452" t="s">
        <v>2939</v>
      </c>
      <c r="C325" s="453" t="s">
        <v>2861</v>
      </c>
      <c r="D325" s="64" t="s">
        <v>2684</v>
      </c>
      <c r="E325" s="64" t="s">
        <v>2685</v>
      </c>
    </row>
    <row r="326" spans="1:5" x14ac:dyDescent="0.25">
      <c r="A326" s="452">
        <v>307</v>
      </c>
      <c r="B326" s="452" t="s">
        <v>2940</v>
      </c>
      <c r="C326" s="453" t="s">
        <v>2861</v>
      </c>
      <c r="D326" s="64" t="s">
        <v>2684</v>
      </c>
      <c r="E326" s="64" t="s">
        <v>2685</v>
      </c>
    </row>
    <row r="327" spans="1:5" x14ac:dyDescent="0.25">
      <c r="A327" s="452">
        <v>308</v>
      </c>
      <c r="B327" s="452" t="s">
        <v>2941</v>
      </c>
      <c r="C327" s="453" t="s">
        <v>2861</v>
      </c>
      <c r="D327" s="64" t="s">
        <v>2684</v>
      </c>
      <c r="E327" s="64" t="s">
        <v>2685</v>
      </c>
    </row>
    <row r="328" spans="1:5" x14ac:dyDescent="0.25">
      <c r="A328" s="452">
        <v>309</v>
      </c>
      <c r="B328" s="452" t="s">
        <v>2942</v>
      </c>
      <c r="C328" s="453" t="s">
        <v>2861</v>
      </c>
      <c r="D328" s="64" t="s">
        <v>2684</v>
      </c>
      <c r="E328" s="64" t="s">
        <v>2685</v>
      </c>
    </row>
    <row r="329" spans="1:5" x14ac:dyDescent="0.25">
      <c r="A329" s="452">
        <v>310</v>
      </c>
      <c r="B329" s="452" t="s">
        <v>2943</v>
      </c>
      <c r="C329" s="453" t="s">
        <v>2861</v>
      </c>
      <c r="D329" s="64" t="s">
        <v>2684</v>
      </c>
      <c r="E329" s="64" t="s">
        <v>2685</v>
      </c>
    </row>
    <row r="330" spans="1:5" x14ac:dyDescent="0.25">
      <c r="A330" s="452">
        <v>311</v>
      </c>
      <c r="B330" s="452" t="s">
        <v>2944</v>
      </c>
      <c r="C330" s="453" t="s">
        <v>2861</v>
      </c>
      <c r="D330" s="64" t="s">
        <v>2684</v>
      </c>
      <c r="E330" s="64" t="s">
        <v>2685</v>
      </c>
    </row>
    <row r="331" spans="1:5" x14ac:dyDescent="0.25">
      <c r="A331" s="452">
        <v>312</v>
      </c>
      <c r="B331" s="452" t="s">
        <v>2945</v>
      </c>
      <c r="C331" s="453" t="s">
        <v>2861</v>
      </c>
      <c r="D331" s="64" t="s">
        <v>2684</v>
      </c>
      <c r="E331" s="64" t="s">
        <v>2685</v>
      </c>
    </row>
    <row r="332" spans="1:5" x14ac:dyDescent="0.25">
      <c r="A332" s="452">
        <v>313</v>
      </c>
      <c r="B332" s="452" t="s">
        <v>2946</v>
      </c>
      <c r="C332" s="453" t="s">
        <v>2861</v>
      </c>
      <c r="D332" s="64" t="s">
        <v>2684</v>
      </c>
      <c r="E332" s="64" t="s">
        <v>2685</v>
      </c>
    </row>
    <row r="333" spans="1:5" x14ac:dyDescent="0.25">
      <c r="A333" s="452">
        <v>400</v>
      </c>
      <c r="B333" s="452" t="s">
        <v>2947</v>
      </c>
      <c r="C333" s="453" t="s">
        <v>2861</v>
      </c>
      <c r="D333" s="64" t="s">
        <v>2684</v>
      </c>
      <c r="E333" s="64" t="s">
        <v>2685</v>
      </c>
    </row>
    <row r="334" spans="1:5" x14ac:dyDescent="0.25">
      <c r="A334" s="452">
        <v>401</v>
      </c>
      <c r="B334" s="452" t="s">
        <v>2948</v>
      </c>
      <c r="C334" s="453" t="s">
        <v>2861</v>
      </c>
      <c r="D334" s="64" t="s">
        <v>2684</v>
      </c>
      <c r="E334" s="64" t="s">
        <v>2685</v>
      </c>
    </row>
    <row r="335" spans="1:5" x14ac:dyDescent="0.25">
      <c r="A335" s="452">
        <v>402</v>
      </c>
      <c r="B335" s="452" t="s">
        <v>2877</v>
      </c>
      <c r="C335" s="453" t="s">
        <v>2861</v>
      </c>
      <c r="D335" s="64" t="s">
        <v>2684</v>
      </c>
      <c r="E335" s="64" t="s">
        <v>2685</v>
      </c>
    </row>
    <row r="336" spans="1:5" x14ac:dyDescent="0.25">
      <c r="A336" s="452">
        <v>403</v>
      </c>
      <c r="B336" s="452" t="s">
        <v>2949</v>
      </c>
      <c r="C336" s="453" t="s">
        <v>2861</v>
      </c>
      <c r="D336" s="64" t="s">
        <v>2684</v>
      </c>
      <c r="E336" s="64" t="s">
        <v>2685</v>
      </c>
    </row>
    <row r="337" spans="1:5" x14ac:dyDescent="0.25">
      <c r="A337" s="452">
        <v>404</v>
      </c>
      <c r="B337" s="452" t="s">
        <v>2950</v>
      </c>
      <c r="C337" s="453" t="s">
        <v>2861</v>
      </c>
      <c r="D337" s="64" t="s">
        <v>2684</v>
      </c>
      <c r="E337" s="64" t="s">
        <v>2685</v>
      </c>
    </row>
    <row r="338" spans="1:5" x14ac:dyDescent="0.25">
      <c r="A338" s="452">
        <v>405</v>
      </c>
      <c r="B338" s="452" t="s">
        <v>2951</v>
      </c>
      <c r="C338" s="453" t="s">
        <v>2861</v>
      </c>
      <c r="D338" s="64" t="s">
        <v>2684</v>
      </c>
      <c r="E338" s="64" t="s">
        <v>2685</v>
      </c>
    </row>
    <row r="339" spans="1:5" x14ac:dyDescent="0.25">
      <c r="A339" s="452">
        <v>406</v>
      </c>
      <c r="B339" s="452" t="s">
        <v>2952</v>
      </c>
      <c r="C339" s="453" t="s">
        <v>2861</v>
      </c>
      <c r="D339" s="64" t="s">
        <v>2684</v>
      </c>
      <c r="E339" s="64" t="s">
        <v>2685</v>
      </c>
    </row>
    <row r="340" spans="1:5" x14ac:dyDescent="0.25">
      <c r="A340" s="452">
        <v>407</v>
      </c>
      <c r="B340" s="452" t="s">
        <v>2953</v>
      </c>
      <c r="C340" s="453" t="s">
        <v>2861</v>
      </c>
      <c r="D340" s="64" t="s">
        <v>2684</v>
      </c>
      <c r="E340" s="64" t="s">
        <v>2685</v>
      </c>
    </row>
    <row r="341" spans="1:5" x14ac:dyDescent="0.25">
      <c r="A341" s="452">
        <v>408</v>
      </c>
      <c r="B341" s="452" t="s">
        <v>2954</v>
      </c>
      <c r="C341" s="453" t="s">
        <v>2861</v>
      </c>
      <c r="D341" s="64" t="s">
        <v>2684</v>
      </c>
      <c r="E341" s="64" t="s">
        <v>2685</v>
      </c>
    </row>
    <row r="342" spans="1:5" x14ac:dyDescent="0.25">
      <c r="A342" s="452">
        <v>409</v>
      </c>
      <c r="B342" s="452" t="s">
        <v>2955</v>
      </c>
      <c r="C342" s="453" t="s">
        <v>2861</v>
      </c>
      <c r="D342" s="64" t="s">
        <v>2684</v>
      </c>
      <c r="E342" s="64" t="s">
        <v>2685</v>
      </c>
    </row>
    <row r="343" spans="1:5" x14ac:dyDescent="0.25">
      <c r="A343" s="452">
        <v>410</v>
      </c>
      <c r="B343" s="452" t="s">
        <v>2956</v>
      </c>
      <c r="C343" s="453" t="s">
        <v>2861</v>
      </c>
      <c r="D343" s="64" t="s">
        <v>2684</v>
      </c>
      <c r="E343" s="64" t="s">
        <v>2685</v>
      </c>
    </row>
    <row r="344" spans="1:5" x14ac:dyDescent="0.25">
      <c r="A344" s="452">
        <v>411</v>
      </c>
      <c r="B344" s="452" t="s">
        <v>2957</v>
      </c>
      <c r="C344" s="453" t="s">
        <v>2861</v>
      </c>
      <c r="D344" s="64" t="s">
        <v>2684</v>
      </c>
      <c r="E344" s="64" t="s">
        <v>2685</v>
      </c>
    </row>
    <row r="345" spans="1:5" x14ac:dyDescent="0.25">
      <c r="A345" s="452">
        <v>413</v>
      </c>
      <c r="B345" s="452" t="s">
        <v>2958</v>
      </c>
      <c r="C345" s="453" t="s">
        <v>2861</v>
      </c>
      <c r="D345" s="64" t="s">
        <v>2684</v>
      </c>
      <c r="E345" s="64" t="s">
        <v>2685</v>
      </c>
    </row>
    <row r="346" spans="1:5" x14ac:dyDescent="0.25">
      <c r="A346" s="452">
        <v>600</v>
      </c>
      <c r="B346" s="452" t="s">
        <v>2959</v>
      </c>
      <c r="C346" s="453" t="s">
        <v>2861</v>
      </c>
      <c r="D346" s="64" t="s">
        <v>2684</v>
      </c>
      <c r="E346" s="64" t="s">
        <v>2685</v>
      </c>
    </row>
    <row r="347" spans="1:5" x14ac:dyDescent="0.25">
      <c r="A347" s="452">
        <v>604</v>
      </c>
      <c r="B347" s="452" t="s">
        <v>2960</v>
      </c>
      <c r="C347" s="453" t="s">
        <v>2861</v>
      </c>
      <c r="D347" s="64" t="s">
        <v>2684</v>
      </c>
      <c r="E347" s="64" t="s">
        <v>2685</v>
      </c>
    </row>
    <row r="348" spans="1:5" x14ac:dyDescent="0.25">
      <c r="A348" s="452">
        <v>605</v>
      </c>
      <c r="B348" s="452" t="s">
        <v>2961</v>
      </c>
      <c r="C348" s="453" t="s">
        <v>2861</v>
      </c>
      <c r="D348" s="64" t="s">
        <v>2684</v>
      </c>
      <c r="E348" s="64" t="s">
        <v>2685</v>
      </c>
    </row>
    <row r="349" spans="1:5" x14ac:dyDescent="0.25">
      <c r="A349" s="452">
        <v>608</v>
      </c>
      <c r="B349" s="452" t="s">
        <v>2962</v>
      </c>
      <c r="C349" s="453" t="s">
        <v>2861</v>
      </c>
      <c r="D349" s="64" t="s">
        <v>2684</v>
      </c>
      <c r="E349" s="64" t="s">
        <v>2685</v>
      </c>
    </row>
    <row r="350" spans="1:5" x14ac:dyDescent="0.25">
      <c r="A350" s="452">
        <v>609</v>
      </c>
      <c r="B350" s="452" t="s">
        <v>2963</v>
      </c>
      <c r="C350" s="453" t="s">
        <v>2861</v>
      </c>
      <c r="D350" s="64" t="s">
        <v>2684</v>
      </c>
      <c r="E350" s="64" t="s">
        <v>2685</v>
      </c>
    </row>
    <row r="351" spans="1:5" x14ac:dyDescent="0.25">
      <c r="A351" s="452">
        <v>610</v>
      </c>
      <c r="B351" s="452" t="s">
        <v>2964</v>
      </c>
      <c r="C351" s="453" t="s">
        <v>2861</v>
      </c>
      <c r="D351" s="64" t="s">
        <v>2684</v>
      </c>
      <c r="E351" s="64" t="s">
        <v>2685</v>
      </c>
    </row>
    <row r="352" spans="1:5" x14ac:dyDescent="0.25">
      <c r="A352" s="452">
        <v>611</v>
      </c>
      <c r="B352" s="452" t="s">
        <v>2965</v>
      </c>
      <c r="C352" s="453" t="s">
        <v>2861</v>
      </c>
      <c r="D352" s="64" t="s">
        <v>2684</v>
      </c>
      <c r="E352" s="64" t="s">
        <v>2685</v>
      </c>
    </row>
    <row r="353" spans="1:5" x14ac:dyDescent="0.25">
      <c r="A353" s="452">
        <v>612</v>
      </c>
      <c r="B353" s="452" t="s">
        <v>2966</v>
      </c>
      <c r="C353" s="453" t="s">
        <v>2861</v>
      </c>
      <c r="D353" s="64" t="s">
        <v>2684</v>
      </c>
      <c r="E353" s="64" t="s">
        <v>2685</v>
      </c>
    </row>
    <row r="354" spans="1:5" x14ac:dyDescent="0.25">
      <c r="A354" s="452">
        <v>613</v>
      </c>
      <c r="B354" s="452" t="s">
        <v>2967</v>
      </c>
      <c r="C354" s="453" t="s">
        <v>2861</v>
      </c>
      <c r="D354" s="64" t="s">
        <v>2684</v>
      </c>
      <c r="E354" s="64" t="s">
        <v>2685</v>
      </c>
    </row>
    <row r="355" spans="1:5" x14ac:dyDescent="0.25">
      <c r="A355" s="452">
        <v>614</v>
      </c>
      <c r="B355" s="452" t="s">
        <v>2968</v>
      </c>
      <c r="C355" s="453" t="s">
        <v>2861</v>
      </c>
      <c r="D355" s="64" t="s">
        <v>2684</v>
      </c>
      <c r="E355" s="64" t="s">
        <v>2685</v>
      </c>
    </row>
    <row r="356" spans="1:5" x14ac:dyDescent="0.25">
      <c r="A356" s="452">
        <v>615</v>
      </c>
      <c r="B356" s="452" t="s">
        <v>2969</v>
      </c>
      <c r="C356" s="453" t="s">
        <v>2861</v>
      </c>
      <c r="D356" s="64" t="s">
        <v>2684</v>
      </c>
      <c r="E356" s="64" t="s">
        <v>2685</v>
      </c>
    </row>
    <row r="357" spans="1:5" x14ac:dyDescent="0.25">
      <c r="A357" s="452">
        <v>616</v>
      </c>
      <c r="B357" s="452" t="s">
        <v>2970</v>
      </c>
      <c r="C357" s="453" t="s">
        <v>2861</v>
      </c>
      <c r="D357" s="64" t="s">
        <v>2684</v>
      </c>
      <c r="E357" s="64" t="s">
        <v>2685</v>
      </c>
    </row>
    <row r="358" spans="1:5" x14ac:dyDescent="0.25">
      <c r="A358" s="452">
        <v>620</v>
      </c>
      <c r="B358" s="452" t="s">
        <v>2971</v>
      </c>
      <c r="C358" s="453" t="s">
        <v>2861</v>
      </c>
      <c r="D358" s="64" t="s">
        <v>2684</v>
      </c>
      <c r="E358" s="64" t="s">
        <v>2685</v>
      </c>
    </row>
    <row r="359" spans="1:5" x14ac:dyDescent="0.25">
      <c r="A359" s="452">
        <v>621</v>
      </c>
      <c r="B359" s="452" t="s">
        <v>2972</v>
      </c>
      <c r="C359" s="453" t="s">
        <v>2861</v>
      </c>
      <c r="D359" s="64" t="s">
        <v>2684</v>
      </c>
      <c r="E359" s="64" t="s">
        <v>2685</v>
      </c>
    </row>
    <row r="360" spans="1:5" x14ac:dyDescent="0.25">
      <c r="A360" s="452">
        <v>622</v>
      </c>
      <c r="B360" s="452" t="s">
        <v>2973</v>
      </c>
      <c r="C360" s="453" t="s">
        <v>2861</v>
      </c>
      <c r="D360" s="64" t="s">
        <v>2684</v>
      </c>
      <c r="E360" s="64" t="s">
        <v>2685</v>
      </c>
    </row>
    <row r="361" spans="1:5" x14ac:dyDescent="0.25">
      <c r="A361" s="452">
        <v>623</v>
      </c>
      <c r="B361" s="452" t="s">
        <v>2974</v>
      </c>
      <c r="C361" s="453" t="s">
        <v>2861</v>
      </c>
      <c r="D361" s="64" t="s">
        <v>2684</v>
      </c>
      <c r="E361" s="64" t="s">
        <v>2685</v>
      </c>
    </row>
    <row r="362" spans="1:5" x14ac:dyDescent="0.25">
      <c r="A362" s="452">
        <v>624</v>
      </c>
      <c r="B362" s="452" t="s">
        <v>2975</v>
      </c>
      <c r="C362" s="453" t="s">
        <v>2861</v>
      </c>
      <c r="D362" s="64" t="s">
        <v>2684</v>
      </c>
      <c r="E362" s="64" t="s">
        <v>2685</v>
      </c>
    </row>
    <row r="363" spans="1:5" x14ac:dyDescent="0.25">
      <c r="A363" s="452">
        <v>625</v>
      </c>
      <c r="B363" s="452" t="s">
        <v>2976</v>
      </c>
      <c r="C363" s="453" t="s">
        <v>2861</v>
      </c>
      <c r="D363" s="64" t="s">
        <v>2684</v>
      </c>
      <c r="E363" s="64" t="s">
        <v>2685</v>
      </c>
    </row>
    <row r="364" spans="1:5" x14ac:dyDescent="0.25">
      <c r="A364" s="452">
        <v>627</v>
      </c>
      <c r="B364" s="452" t="s">
        <v>2977</v>
      </c>
      <c r="C364" s="453" t="s">
        <v>2861</v>
      </c>
      <c r="D364" s="64" t="s">
        <v>2684</v>
      </c>
      <c r="E364" s="64" t="s">
        <v>2685</v>
      </c>
    </row>
    <row r="365" spans="1:5" x14ac:dyDescent="0.25">
      <c r="A365" s="452">
        <v>628</v>
      </c>
      <c r="B365" s="452" t="s">
        <v>2978</v>
      </c>
      <c r="C365" s="453" t="s">
        <v>2861</v>
      </c>
      <c r="D365" s="64" t="s">
        <v>2684</v>
      </c>
      <c r="E365" s="64" t="s">
        <v>2685</v>
      </c>
    </row>
    <row r="366" spans="1:5" x14ac:dyDescent="0.25">
      <c r="A366" s="452">
        <v>631</v>
      </c>
      <c r="B366" s="452" t="s">
        <v>2979</v>
      </c>
      <c r="C366" s="453" t="s">
        <v>2861</v>
      </c>
      <c r="D366" s="64" t="s">
        <v>2684</v>
      </c>
      <c r="E366" s="64" t="s">
        <v>2685</v>
      </c>
    </row>
    <row r="367" spans="1:5" x14ac:dyDescent="0.25">
      <c r="A367" s="452">
        <v>661</v>
      </c>
      <c r="B367" s="452" t="s">
        <v>2980</v>
      </c>
      <c r="C367" s="453" t="s">
        <v>2861</v>
      </c>
      <c r="D367" s="64" t="s">
        <v>2684</v>
      </c>
      <c r="E367" s="64" t="s">
        <v>2685</v>
      </c>
    </row>
    <row r="368" spans="1:5" x14ac:dyDescent="0.25">
      <c r="A368" s="452">
        <v>662</v>
      </c>
      <c r="B368" s="452" t="s">
        <v>2981</v>
      </c>
      <c r="C368" s="453" t="s">
        <v>2861</v>
      </c>
      <c r="D368" s="64" t="s">
        <v>2684</v>
      </c>
      <c r="E368" s="64" t="s">
        <v>2685</v>
      </c>
    </row>
    <row r="369" spans="1:5" x14ac:dyDescent="0.25">
      <c r="A369" s="452">
        <v>663</v>
      </c>
      <c r="B369" s="452" t="s">
        <v>2982</v>
      </c>
      <c r="C369" s="453" t="s">
        <v>2861</v>
      </c>
      <c r="D369" s="64" t="s">
        <v>2684</v>
      </c>
      <c r="E369" s="64" t="s">
        <v>2685</v>
      </c>
    </row>
    <row r="370" spans="1:5" x14ac:dyDescent="0.25">
      <c r="A370" s="452">
        <v>664</v>
      </c>
      <c r="B370" s="452" t="s">
        <v>2983</v>
      </c>
      <c r="C370" s="453" t="s">
        <v>2861</v>
      </c>
      <c r="D370" s="64" t="s">
        <v>2684</v>
      </c>
      <c r="E370" s="64" t="s">
        <v>2685</v>
      </c>
    </row>
    <row r="371" spans="1:5" x14ac:dyDescent="0.25">
      <c r="A371" s="452">
        <v>665</v>
      </c>
      <c r="B371" s="452" t="s">
        <v>2984</v>
      </c>
      <c r="C371" s="453" t="s">
        <v>2861</v>
      </c>
      <c r="D371" s="64" t="s">
        <v>2684</v>
      </c>
      <c r="E371" s="64" t="s">
        <v>2685</v>
      </c>
    </row>
    <row r="372" spans="1:5" x14ac:dyDescent="0.25">
      <c r="A372" s="452">
        <v>666</v>
      </c>
      <c r="B372" s="452" t="s">
        <v>2985</v>
      </c>
      <c r="C372" s="453" t="s">
        <v>2861</v>
      </c>
      <c r="D372" s="64" t="s">
        <v>2684</v>
      </c>
      <c r="E372" s="64" t="s">
        <v>2685</v>
      </c>
    </row>
    <row r="373" spans="1:5" x14ac:dyDescent="0.25">
      <c r="A373" s="452">
        <v>667</v>
      </c>
      <c r="B373" s="452" t="s">
        <v>2986</v>
      </c>
      <c r="C373" s="453" t="s">
        <v>2861</v>
      </c>
      <c r="D373" s="64" t="s">
        <v>2684</v>
      </c>
      <c r="E373" s="64" t="s">
        <v>2685</v>
      </c>
    </row>
    <row r="374" spans="1:5" x14ac:dyDescent="0.25">
      <c r="A374" s="452">
        <v>668</v>
      </c>
      <c r="B374" s="452" t="s">
        <v>2987</v>
      </c>
      <c r="C374" s="453" t="s">
        <v>2861</v>
      </c>
      <c r="D374" s="64" t="s">
        <v>2684</v>
      </c>
      <c r="E374" s="64" t="s">
        <v>2685</v>
      </c>
    </row>
    <row r="375" spans="1:5" x14ac:dyDescent="0.25">
      <c r="A375" s="452">
        <v>669</v>
      </c>
      <c r="B375" s="452" t="s">
        <v>2988</v>
      </c>
      <c r="C375" s="453" t="s">
        <v>2861</v>
      </c>
      <c r="D375" s="64" t="s">
        <v>2684</v>
      </c>
      <c r="E375" s="64" t="s">
        <v>2685</v>
      </c>
    </row>
    <row r="376" spans="1:5" x14ac:dyDescent="0.25">
      <c r="A376" s="452">
        <v>670</v>
      </c>
      <c r="B376" s="452" t="s">
        <v>2989</v>
      </c>
      <c r="C376" s="453" t="s">
        <v>2861</v>
      </c>
      <c r="D376" s="64" t="s">
        <v>2684</v>
      </c>
      <c r="E376" s="64" t="s">
        <v>2685</v>
      </c>
    </row>
    <row r="377" spans="1:5" x14ac:dyDescent="0.25">
      <c r="A377" s="452">
        <v>671</v>
      </c>
      <c r="B377" s="452" t="s">
        <v>2990</v>
      </c>
      <c r="C377" s="453" t="s">
        <v>2861</v>
      </c>
      <c r="D377" s="64" t="s">
        <v>2684</v>
      </c>
      <c r="E377" s="64" t="s">
        <v>2685</v>
      </c>
    </row>
    <row r="378" spans="1:5" x14ac:dyDescent="0.25">
      <c r="A378" s="452">
        <v>672</v>
      </c>
      <c r="B378" s="452" t="s">
        <v>2991</v>
      </c>
      <c r="C378" s="453" t="s">
        <v>2861</v>
      </c>
      <c r="D378" s="64" t="s">
        <v>2684</v>
      </c>
      <c r="E378" s="64" t="s">
        <v>2685</v>
      </c>
    </row>
    <row r="379" spans="1:5" x14ac:dyDescent="0.25">
      <c r="A379" s="452">
        <v>673</v>
      </c>
      <c r="B379" s="452" t="s">
        <v>2992</v>
      </c>
      <c r="C379" s="453" t="s">
        <v>2861</v>
      </c>
      <c r="D379" s="64" t="s">
        <v>2684</v>
      </c>
      <c r="E379" s="64" t="s">
        <v>2685</v>
      </c>
    </row>
    <row r="380" spans="1:5" x14ac:dyDescent="0.25">
      <c r="A380" s="452">
        <v>674</v>
      </c>
      <c r="B380" s="452" t="s">
        <v>2993</v>
      </c>
      <c r="C380" s="453" t="s">
        <v>2861</v>
      </c>
      <c r="D380" s="64" t="s">
        <v>2684</v>
      </c>
      <c r="E380" s="64" t="s">
        <v>2685</v>
      </c>
    </row>
    <row r="381" spans="1:5" x14ac:dyDescent="0.25">
      <c r="A381" s="452">
        <v>675</v>
      </c>
      <c r="B381" s="452" t="s">
        <v>2994</v>
      </c>
      <c r="C381" s="453" t="s">
        <v>2861</v>
      </c>
      <c r="D381" s="64" t="s">
        <v>2684</v>
      </c>
      <c r="E381" s="64" t="s">
        <v>2685</v>
      </c>
    </row>
    <row r="382" spans="1:5" x14ac:dyDescent="0.25">
      <c r="A382" s="452">
        <v>676</v>
      </c>
      <c r="B382" s="452" t="s">
        <v>2995</v>
      </c>
      <c r="C382" s="453" t="s">
        <v>2861</v>
      </c>
      <c r="D382" s="64" t="s">
        <v>2684</v>
      </c>
      <c r="E382" s="64" t="s">
        <v>2685</v>
      </c>
    </row>
    <row r="383" spans="1:5" x14ac:dyDescent="0.25">
      <c r="A383" s="452">
        <v>677</v>
      </c>
      <c r="B383" s="452" t="s">
        <v>2996</v>
      </c>
      <c r="C383" s="453" t="s">
        <v>2861</v>
      </c>
      <c r="D383" s="64" t="s">
        <v>2684</v>
      </c>
      <c r="E383" s="64" t="s">
        <v>2685</v>
      </c>
    </row>
    <row r="384" spans="1:5" x14ac:dyDescent="0.25">
      <c r="A384" s="452">
        <v>678</v>
      </c>
      <c r="B384" s="452" t="s">
        <v>2997</v>
      </c>
      <c r="C384" s="453" t="s">
        <v>2861</v>
      </c>
      <c r="D384" s="64" t="s">
        <v>2684</v>
      </c>
      <c r="E384" s="64" t="s">
        <v>2685</v>
      </c>
    </row>
    <row r="385" spans="1:5" x14ac:dyDescent="0.25">
      <c r="A385" s="452">
        <v>701</v>
      </c>
      <c r="B385" s="452" t="s">
        <v>2998</v>
      </c>
      <c r="C385" s="453" t="s">
        <v>2861</v>
      </c>
      <c r="D385" s="64" t="s">
        <v>2684</v>
      </c>
      <c r="E385" s="64" t="s">
        <v>2685</v>
      </c>
    </row>
    <row r="386" spans="1:5" x14ac:dyDescent="0.25">
      <c r="A386" s="452">
        <v>702</v>
      </c>
      <c r="B386" s="452" t="s">
        <v>2999</v>
      </c>
      <c r="C386" s="453" t="s">
        <v>2861</v>
      </c>
      <c r="D386" s="64" t="s">
        <v>2684</v>
      </c>
      <c r="E386" s="64" t="s">
        <v>2685</v>
      </c>
    </row>
    <row r="387" spans="1:5" x14ac:dyDescent="0.25">
      <c r="A387" s="452">
        <v>703</v>
      </c>
      <c r="B387" s="452" t="s">
        <v>3000</v>
      </c>
      <c r="C387" s="453" t="s">
        <v>2861</v>
      </c>
      <c r="D387" s="64" t="s">
        <v>2684</v>
      </c>
      <c r="E387" s="64" t="s">
        <v>2685</v>
      </c>
    </row>
    <row r="388" spans="1:5" x14ac:dyDescent="0.25">
      <c r="A388" s="452">
        <v>704</v>
      </c>
      <c r="B388" s="452" t="s">
        <v>3001</v>
      </c>
      <c r="C388" s="453" t="s">
        <v>2861</v>
      </c>
      <c r="D388" s="64" t="s">
        <v>2684</v>
      </c>
      <c r="E388" s="64" t="s">
        <v>2685</v>
      </c>
    </row>
    <row r="389" spans="1:5" x14ac:dyDescent="0.25">
      <c r="A389" s="452">
        <v>707</v>
      </c>
      <c r="B389" s="452" t="s">
        <v>3002</v>
      </c>
      <c r="C389" s="453" t="s">
        <v>2861</v>
      </c>
      <c r="D389" s="64" t="s">
        <v>2684</v>
      </c>
      <c r="E389" s="64" t="s">
        <v>2685</v>
      </c>
    </row>
    <row r="390" spans="1:5" x14ac:dyDescent="0.25">
      <c r="A390" s="452">
        <v>708</v>
      </c>
      <c r="B390" s="452" t="s">
        <v>3003</v>
      </c>
      <c r="C390" s="453" t="s">
        <v>2861</v>
      </c>
      <c r="D390" s="64" t="s">
        <v>2684</v>
      </c>
      <c r="E390" s="64" t="s">
        <v>2685</v>
      </c>
    </row>
    <row r="391" spans="1:5" x14ac:dyDescent="0.25">
      <c r="A391" s="452">
        <v>709</v>
      </c>
      <c r="B391" s="452" t="s">
        <v>3004</v>
      </c>
      <c r="C391" s="453" t="s">
        <v>2861</v>
      </c>
      <c r="D391" s="64" t="s">
        <v>2684</v>
      </c>
      <c r="E391" s="64" t="s">
        <v>2685</v>
      </c>
    </row>
    <row r="392" spans="1:5" x14ac:dyDescent="0.25">
      <c r="A392" s="452">
        <v>710</v>
      </c>
      <c r="B392" s="452" t="s">
        <v>3005</v>
      </c>
      <c r="C392" s="453" t="s">
        <v>2861</v>
      </c>
      <c r="D392" s="64" t="s">
        <v>2684</v>
      </c>
      <c r="E392" s="64" t="s">
        <v>2685</v>
      </c>
    </row>
    <row r="393" spans="1:5" x14ac:dyDescent="0.25">
      <c r="A393" s="452">
        <v>711</v>
      </c>
      <c r="B393" s="452" t="s">
        <v>3006</v>
      </c>
      <c r="C393" s="453" t="s">
        <v>2861</v>
      </c>
      <c r="D393" s="64" t="s">
        <v>2684</v>
      </c>
      <c r="E393" s="64" t="s">
        <v>2685</v>
      </c>
    </row>
    <row r="394" spans="1:5" x14ac:dyDescent="0.25">
      <c r="A394" s="452">
        <v>713</v>
      </c>
      <c r="B394" s="452" t="s">
        <v>3007</v>
      </c>
      <c r="C394" s="453" t="s">
        <v>2861</v>
      </c>
      <c r="D394" s="64" t="s">
        <v>2684</v>
      </c>
      <c r="E394" s="64" t="s">
        <v>2685</v>
      </c>
    </row>
    <row r="395" spans="1:5" x14ac:dyDescent="0.25">
      <c r="A395" s="452">
        <v>714</v>
      </c>
      <c r="B395" s="452" t="s">
        <v>3008</v>
      </c>
      <c r="C395" s="453" t="s">
        <v>2861</v>
      </c>
      <c r="D395" s="64" t="s">
        <v>2684</v>
      </c>
      <c r="E395" s="64" t="s">
        <v>2685</v>
      </c>
    </row>
    <row r="396" spans="1:5" x14ac:dyDescent="0.25">
      <c r="A396" s="452">
        <v>715</v>
      </c>
      <c r="B396" s="452" t="s">
        <v>3009</v>
      </c>
      <c r="C396" s="453" t="s">
        <v>2861</v>
      </c>
      <c r="D396" s="64" t="s">
        <v>2684</v>
      </c>
      <c r="E396" s="64" t="s">
        <v>2685</v>
      </c>
    </row>
    <row r="397" spans="1:5" x14ac:dyDescent="0.25">
      <c r="A397" s="452">
        <v>716</v>
      </c>
      <c r="B397" s="452" t="s">
        <v>3010</v>
      </c>
      <c r="C397" s="453" t="s">
        <v>2861</v>
      </c>
      <c r="D397" s="64" t="s">
        <v>2684</v>
      </c>
      <c r="E397" s="64" t="s">
        <v>2685</v>
      </c>
    </row>
    <row r="398" spans="1:5" x14ac:dyDescent="0.25">
      <c r="A398" s="452">
        <v>717</v>
      </c>
      <c r="B398" s="452" t="s">
        <v>3011</v>
      </c>
      <c r="C398" s="453" t="s">
        <v>2861</v>
      </c>
      <c r="D398" s="64" t="s">
        <v>2684</v>
      </c>
      <c r="E398" s="64" t="s">
        <v>2685</v>
      </c>
    </row>
    <row r="399" spans="1:5" x14ac:dyDescent="0.25">
      <c r="A399" s="452">
        <v>718</v>
      </c>
      <c r="B399" s="452" t="s">
        <v>3012</v>
      </c>
      <c r="C399" s="453" t="s">
        <v>2861</v>
      </c>
      <c r="D399" s="64" t="s">
        <v>2684</v>
      </c>
      <c r="E399" s="64" t="s">
        <v>2685</v>
      </c>
    </row>
    <row r="400" spans="1:5" x14ac:dyDescent="0.25">
      <c r="A400" s="452">
        <v>719</v>
      </c>
      <c r="B400" s="452" t="s">
        <v>3013</v>
      </c>
      <c r="C400" s="453" t="s">
        <v>2861</v>
      </c>
      <c r="D400" s="64" t="s">
        <v>2684</v>
      </c>
      <c r="E400" s="64" t="s">
        <v>2685</v>
      </c>
    </row>
    <row r="401" spans="1:5" x14ac:dyDescent="0.25">
      <c r="A401" s="452">
        <v>720</v>
      </c>
      <c r="B401" s="452" t="s">
        <v>3014</v>
      </c>
      <c r="C401" s="453" t="s">
        <v>2861</v>
      </c>
      <c r="D401" s="64" t="s">
        <v>2684</v>
      </c>
      <c r="E401" s="64" t="s">
        <v>2685</v>
      </c>
    </row>
    <row r="402" spans="1:5" x14ac:dyDescent="0.25">
      <c r="A402" s="452">
        <v>721</v>
      </c>
      <c r="B402" s="452" t="s">
        <v>3015</v>
      </c>
      <c r="C402" s="453" t="s">
        <v>2861</v>
      </c>
      <c r="D402" s="64" t="s">
        <v>2684</v>
      </c>
      <c r="E402" s="64" t="s">
        <v>2685</v>
      </c>
    </row>
    <row r="403" spans="1:5" x14ac:dyDescent="0.25">
      <c r="A403" s="452">
        <v>722</v>
      </c>
      <c r="B403" s="452" t="s">
        <v>3016</v>
      </c>
      <c r="C403" s="453" t="s">
        <v>2861</v>
      </c>
      <c r="D403" s="64" t="s">
        <v>2684</v>
      </c>
      <c r="E403" s="64" t="s">
        <v>2685</v>
      </c>
    </row>
    <row r="404" spans="1:5" x14ac:dyDescent="0.25">
      <c r="A404" s="452">
        <v>723</v>
      </c>
      <c r="B404" s="452" t="s">
        <v>3017</v>
      </c>
      <c r="C404" s="453" t="s">
        <v>2861</v>
      </c>
      <c r="D404" s="64" t="s">
        <v>2684</v>
      </c>
      <c r="E404" s="64" t="s">
        <v>2685</v>
      </c>
    </row>
    <row r="405" spans="1:5" x14ac:dyDescent="0.25">
      <c r="A405" s="452">
        <v>724</v>
      </c>
      <c r="B405" s="452" t="s">
        <v>3018</v>
      </c>
      <c r="C405" s="453" t="s">
        <v>2861</v>
      </c>
      <c r="D405" s="64" t="s">
        <v>2684</v>
      </c>
      <c r="E405" s="64" t="s">
        <v>2685</v>
      </c>
    </row>
    <row r="406" spans="1:5" x14ac:dyDescent="0.25">
      <c r="A406" s="452">
        <v>725</v>
      </c>
      <c r="B406" s="452" t="s">
        <v>3019</v>
      </c>
      <c r="C406" s="453" t="s">
        <v>2861</v>
      </c>
      <c r="D406" s="64" t="s">
        <v>2684</v>
      </c>
      <c r="E406" s="64" t="s">
        <v>2685</v>
      </c>
    </row>
    <row r="407" spans="1:5" x14ac:dyDescent="0.25">
      <c r="A407" s="452">
        <v>727</v>
      </c>
      <c r="B407" s="452" t="s">
        <v>3020</v>
      </c>
      <c r="C407" s="453" t="s">
        <v>2861</v>
      </c>
      <c r="D407" s="64" t="s">
        <v>2684</v>
      </c>
      <c r="E407" s="64" t="s">
        <v>2685</v>
      </c>
    </row>
    <row r="408" spans="1:5" x14ac:dyDescent="0.25">
      <c r="A408" s="452">
        <v>728</v>
      </c>
      <c r="B408" s="452" t="s">
        <v>3021</v>
      </c>
      <c r="C408" s="453" t="s">
        <v>2861</v>
      </c>
      <c r="D408" s="64" t="s">
        <v>2684</v>
      </c>
      <c r="E408" s="64" t="s">
        <v>2685</v>
      </c>
    </row>
    <row r="409" spans="1:5" x14ac:dyDescent="0.25">
      <c r="A409" s="452">
        <v>729</v>
      </c>
      <c r="B409" s="452" t="s">
        <v>3022</v>
      </c>
      <c r="C409" s="453" t="s">
        <v>2861</v>
      </c>
      <c r="D409" s="64" t="s">
        <v>2684</v>
      </c>
      <c r="E409" s="64" t="s">
        <v>2685</v>
      </c>
    </row>
    <row r="410" spans="1:5" x14ac:dyDescent="0.25">
      <c r="A410" s="452">
        <v>731</v>
      </c>
      <c r="B410" s="452" t="s">
        <v>3023</v>
      </c>
      <c r="C410" s="453" t="s">
        <v>2861</v>
      </c>
      <c r="D410" s="64" t="s">
        <v>2684</v>
      </c>
      <c r="E410" s="64" t="s">
        <v>2685</v>
      </c>
    </row>
    <row r="411" spans="1:5" x14ac:dyDescent="0.25">
      <c r="A411" s="452">
        <v>745</v>
      </c>
      <c r="B411" s="452" t="s">
        <v>3024</v>
      </c>
      <c r="C411" s="453" t="s">
        <v>2861</v>
      </c>
      <c r="D411" s="64" t="s">
        <v>2684</v>
      </c>
      <c r="E411" s="64" t="s">
        <v>2685</v>
      </c>
    </row>
    <row r="412" spans="1:5" x14ac:dyDescent="0.25">
      <c r="A412" s="452">
        <v>746</v>
      </c>
      <c r="B412" s="452" t="s">
        <v>3025</v>
      </c>
      <c r="C412" s="453" t="s">
        <v>2861</v>
      </c>
      <c r="D412" s="64" t="s">
        <v>2684</v>
      </c>
      <c r="E412" s="64" t="s">
        <v>2685</v>
      </c>
    </row>
    <row r="413" spans="1:5" x14ac:dyDescent="0.25">
      <c r="A413" s="452">
        <v>800</v>
      </c>
      <c r="B413" s="452" t="s">
        <v>3026</v>
      </c>
      <c r="C413" s="453" t="s">
        <v>2861</v>
      </c>
      <c r="D413" s="64" t="s">
        <v>2684</v>
      </c>
      <c r="E413" s="64" t="s">
        <v>2685</v>
      </c>
    </row>
    <row r="414" spans="1:5" x14ac:dyDescent="0.25">
      <c r="A414" s="452">
        <v>801</v>
      </c>
      <c r="B414" s="452" t="s">
        <v>3027</v>
      </c>
      <c r="C414" s="453" t="s">
        <v>2861</v>
      </c>
      <c r="D414" s="64" t="s">
        <v>2684</v>
      </c>
      <c r="E414" s="64" t="s">
        <v>2685</v>
      </c>
    </row>
    <row r="415" spans="1:5" x14ac:dyDescent="0.25">
      <c r="A415" s="452">
        <v>802</v>
      </c>
      <c r="B415" s="452" t="s">
        <v>3028</v>
      </c>
      <c r="C415" s="453" t="s">
        <v>2861</v>
      </c>
      <c r="D415" s="64" t="s">
        <v>2684</v>
      </c>
      <c r="E415" s="64" t="s">
        <v>2685</v>
      </c>
    </row>
    <row r="416" spans="1:5" x14ac:dyDescent="0.25">
      <c r="A416" s="452">
        <v>803</v>
      </c>
      <c r="B416" s="452" t="s">
        <v>3029</v>
      </c>
      <c r="C416" s="453" t="s">
        <v>2861</v>
      </c>
      <c r="D416" s="64" t="s">
        <v>2684</v>
      </c>
      <c r="E416" s="64" t="s">
        <v>2685</v>
      </c>
    </row>
    <row r="417" spans="1:5" x14ac:dyDescent="0.25">
      <c r="A417" s="452">
        <v>804</v>
      </c>
      <c r="B417" s="452" t="s">
        <v>3030</v>
      </c>
      <c r="C417" s="453" t="s">
        <v>2861</v>
      </c>
      <c r="D417" s="64" t="s">
        <v>2684</v>
      </c>
      <c r="E417" s="64" t="s">
        <v>2685</v>
      </c>
    </row>
    <row r="418" spans="1:5" x14ac:dyDescent="0.25">
      <c r="A418" s="452">
        <v>805</v>
      </c>
      <c r="B418" s="452" t="s">
        <v>3004</v>
      </c>
      <c r="C418" s="453" t="s">
        <v>2861</v>
      </c>
      <c r="D418" s="64" t="s">
        <v>2684</v>
      </c>
      <c r="E418" s="64" t="s">
        <v>2685</v>
      </c>
    </row>
    <row r="419" spans="1:5" x14ac:dyDescent="0.25">
      <c r="A419" s="452">
        <v>806</v>
      </c>
      <c r="B419" s="452" t="s">
        <v>3005</v>
      </c>
      <c r="C419" s="453" t="s">
        <v>2861</v>
      </c>
      <c r="D419" s="64" t="s">
        <v>2684</v>
      </c>
      <c r="E419" s="64" t="s">
        <v>2685</v>
      </c>
    </row>
    <row r="420" spans="1:5" x14ac:dyDescent="0.25">
      <c r="A420" s="452">
        <v>807</v>
      </c>
      <c r="B420" s="452" t="s">
        <v>3006</v>
      </c>
      <c r="C420" s="453" t="s">
        <v>2861</v>
      </c>
      <c r="D420" s="64" t="s">
        <v>2684</v>
      </c>
      <c r="E420" s="64" t="s">
        <v>2685</v>
      </c>
    </row>
    <row r="421" spans="1:5" x14ac:dyDescent="0.25">
      <c r="A421" s="452">
        <v>808</v>
      </c>
      <c r="B421" s="452" t="s">
        <v>3031</v>
      </c>
      <c r="C421" s="453" t="s">
        <v>2861</v>
      </c>
      <c r="D421" s="64" t="s">
        <v>2684</v>
      </c>
      <c r="E421" s="64" t="s">
        <v>2685</v>
      </c>
    </row>
    <row r="422" spans="1:5" x14ac:dyDescent="0.25">
      <c r="A422" s="452">
        <v>809</v>
      </c>
      <c r="B422" s="452" t="s">
        <v>3032</v>
      </c>
      <c r="C422" s="453" t="s">
        <v>2861</v>
      </c>
      <c r="D422" s="64" t="s">
        <v>2684</v>
      </c>
      <c r="E422" s="64" t="s">
        <v>2685</v>
      </c>
    </row>
    <row r="423" spans="1:5" x14ac:dyDescent="0.25">
      <c r="A423" s="452">
        <v>810</v>
      </c>
      <c r="B423" s="452" t="s">
        <v>3033</v>
      </c>
      <c r="C423" s="453" t="s">
        <v>2861</v>
      </c>
      <c r="D423" s="64" t="s">
        <v>2684</v>
      </c>
      <c r="E423" s="64" t="s">
        <v>2685</v>
      </c>
    </row>
    <row r="424" spans="1:5" x14ac:dyDescent="0.25">
      <c r="A424" s="452">
        <v>811</v>
      </c>
      <c r="B424" s="452" t="s">
        <v>3034</v>
      </c>
      <c r="C424" s="453" t="s">
        <v>2861</v>
      </c>
      <c r="D424" s="64" t="s">
        <v>2684</v>
      </c>
      <c r="E424" s="64" t="s">
        <v>2685</v>
      </c>
    </row>
    <row r="425" spans="1:5" x14ac:dyDescent="0.25">
      <c r="A425" s="452">
        <v>812</v>
      </c>
      <c r="B425" s="452" t="s">
        <v>3035</v>
      </c>
      <c r="C425" s="453" t="s">
        <v>2861</v>
      </c>
      <c r="D425" s="64" t="s">
        <v>2684</v>
      </c>
      <c r="E425" s="64" t="s">
        <v>2685</v>
      </c>
    </row>
    <row r="426" spans="1:5" x14ac:dyDescent="0.25">
      <c r="A426" s="452">
        <v>813</v>
      </c>
      <c r="B426" s="452" t="s">
        <v>3036</v>
      </c>
      <c r="C426" s="453" t="s">
        <v>2861</v>
      </c>
      <c r="D426" s="64" t="s">
        <v>2684</v>
      </c>
      <c r="E426" s="64" t="s">
        <v>2685</v>
      </c>
    </row>
    <row r="427" spans="1:5" x14ac:dyDescent="0.25">
      <c r="A427" s="452">
        <v>814</v>
      </c>
      <c r="B427" s="452" t="s">
        <v>3037</v>
      </c>
      <c r="C427" s="453" t="s">
        <v>2861</v>
      </c>
      <c r="D427" s="64" t="s">
        <v>2684</v>
      </c>
      <c r="E427" s="64" t="s">
        <v>2685</v>
      </c>
    </row>
    <row r="428" spans="1:5" x14ac:dyDescent="0.25">
      <c r="A428" s="452">
        <v>815</v>
      </c>
      <c r="B428" s="452" t="s">
        <v>3038</v>
      </c>
      <c r="C428" s="453" t="s">
        <v>2861</v>
      </c>
      <c r="D428" s="64" t="s">
        <v>2684</v>
      </c>
      <c r="E428" s="64" t="s">
        <v>2685</v>
      </c>
    </row>
    <row r="429" spans="1:5" x14ac:dyDescent="0.25">
      <c r="A429" s="452">
        <v>816</v>
      </c>
      <c r="B429" s="452" t="s">
        <v>3015</v>
      </c>
      <c r="C429" s="453" t="s">
        <v>2861</v>
      </c>
      <c r="D429" s="64" t="s">
        <v>2684</v>
      </c>
      <c r="E429" s="64" t="s">
        <v>2685</v>
      </c>
    </row>
    <row r="430" spans="1:5" x14ac:dyDescent="0.25">
      <c r="A430" s="452">
        <v>817</v>
      </c>
      <c r="B430" s="452" t="s">
        <v>3016</v>
      </c>
      <c r="C430" s="453" t="s">
        <v>2861</v>
      </c>
      <c r="D430" s="64" t="s">
        <v>2684</v>
      </c>
      <c r="E430" s="64" t="s">
        <v>2685</v>
      </c>
    </row>
    <row r="431" spans="1:5" x14ac:dyDescent="0.25">
      <c r="A431" s="452">
        <v>818</v>
      </c>
      <c r="B431" s="452" t="s">
        <v>3039</v>
      </c>
      <c r="C431" s="453" t="s">
        <v>2861</v>
      </c>
      <c r="D431" s="64" t="s">
        <v>2684</v>
      </c>
      <c r="E431" s="64" t="s">
        <v>2685</v>
      </c>
    </row>
    <row r="432" spans="1:5" x14ac:dyDescent="0.25">
      <c r="A432" s="452">
        <v>819</v>
      </c>
      <c r="B432" s="452" t="s">
        <v>3040</v>
      </c>
      <c r="C432" s="453" t="s">
        <v>2861</v>
      </c>
      <c r="D432" s="64" t="s">
        <v>2684</v>
      </c>
      <c r="E432" s="64" t="s">
        <v>2685</v>
      </c>
    </row>
    <row r="433" spans="1:5" x14ac:dyDescent="0.25">
      <c r="A433" s="452">
        <v>820</v>
      </c>
      <c r="B433" s="452" t="s">
        <v>3041</v>
      </c>
      <c r="C433" s="453" t="s">
        <v>2861</v>
      </c>
      <c r="D433" s="64" t="s">
        <v>2684</v>
      </c>
      <c r="E433" s="64" t="s">
        <v>2685</v>
      </c>
    </row>
    <row r="434" spans="1:5" x14ac:dyDescent="0.25">
      <c r="A434" s="452">
        <v>821</v>
      </c>
      <c r="B434" s="452" t="s">
        <v>3042</v>
      </c>
      <c r="C434" s="453" t="s">
        <v>2861</v>
      </c>
      <c r="D434" s="64" t="s">
        <v>2684</v>
      </c>
      <c r="E434" s="64" t="s">
        <v>2685</v>
      </c>
    </row>
    <row r="435" spans="1:5" x14ac:dyDescent="0.25">
      <c r="A435" s="452">
        <v>822</v>
      </c>
      <c r="B435" s="452" t="s">
        <v>3043</v>
      </c>
      <c r="C435" s="453" t="s">
        <v>2861</v>
      </c>
      <c r="D435" s="64" t="s">
        <v>2684</v>
      </c>
      <c r="E435" s="64" t="s">
        <v>2685</v>
      </c>
    </row>
    <row r="436" spans="1:5" x14ac:dyDescent="0.25">
      <c r="A436" s="452">
        <v>823</v>
      </c>
      <c r="B436" s="452" t="s">
        <v>3044</v>
      </c>
      <c r="C436" s="453" t="s">
        <v>2861</v>
      </c>
      <c r="D436" s="64" t="s">
        <v>2684</v>
      </c>
      <c r="E436" s="64" t="s">
        <v>2685</v>
      </c>
    </row>
    <row r="437" spans="1:5" x14ac:dyDescent="0.25">
      <c r="A437" s="452">
        <v>824</v>
      </c>
      <c r="B437" s="452" t="s">
        <v>3045</v>
      </c>
      <c r="C437" s="453" t="s">
        <v>2861</v>
      </c>
      <c r="D437" s="64" t="s">
        <v>2684</v>
      </c>
      <c r="E437" s="64" t="s">
        <v>2685</v>
      </c>
    </row>
    <row r="438" spans="1:5" x14ac:dyDescent="0.25">
      <c r="A438" s="452">
        <v>825</v>
      </c>
      <c r="B438" s="452" t="s">
        <v>3046</v>
      </c>
      <c r="C438" s="453" t="s">
        <v>2861</v>
      </c>
      <c r="D438" s="64" t="s">
        <v>2684</v>
      </c>
      <c r="E438" s="64" t="s">
        <v>2685</v>
      </c>
    </row>
    <row r="439" spans="1:5" x14ac:dyDescent="0.25">
      <c r="A439" s="452">
        <v>826</v>
      </c>
      <c r="B439" s="452" t="s">
        <v>3047</v>
      </c>
      <c r="C439" s="453" t="s">
        <v>2861</v>
      </c>
      <c r="D439" s="64" t="s">
        <v>2684</v>
      </c>
      <c r="E439" s="64" t="s">
        <v>2685</v>
      </c>
    </row>
    <row r="440" spans="1:5" x14ac:dyDescent="0.25">
      <c r="A440" s="452">
        <v>827</v>
      </c>
      <c r="B440" s="452" t="s">
        <v>3048</v>
      </c>
      <c r="C440" s="453" t="s">
        <v>2861</v>
      </c>
      <c r="D440" s="64" t="s">
        <v>2684</v>
      </c>
      <c r="E440" s="64" t="s">
        <v>2685</v>
      </c>
    </row>
    <row r="441" spans="1:5" x14ac:dyDescent="0.25">
      <c r="A441" s="452">
        <v>900</v>
      </c>
      <c r="B441" s="452" t="s">
        <v>3049</v>
      </c>
      <c r="C441" s="453" t="s">
        <v>2861</v>
      </c>
      <c r="D441" s="64" t="s">
        <v>2684</v>
      </c>
      <c r="E441" s="64" t="s">
        <v>2685</v>
      </c>
    </row>
    <row r="442" spans="1:5" x14ac:dyDescent="0.25">
      <c r="A442" s="452">
        <v>901</v>
      </c>
      <c r="B442" s="452" t="s">
        <v>3050</v>
      </c>
      <c r="C442" s="453" t="s">
        <v>2861</v>
      </c>
      <c r="D442" s="64" t="s">
        <v>2684</v>
      </c>
      <c r="E442" s="64" t="s">
        <v>2685</v>
      </c>
    </row>
    <row r="443" spans="1:5" x14ac:dyDescent="0.25">
      <c r="A443" s="452">
        <v>902</v>
      </c>
      <c r="B443" s="452" t="s">
        <v>3051</v>
      </c>
      <c r="C443" s="453" t="s">
        <v>2861</v>
      </c>
      <c r="D443" s="64" t="s">
        <v>2684</v>
      </c>
      <c r="E443" s="64" t="s">
        <v>2685</v>
      </c>
    </row>
    <row r="444" spans="1:5" x14ac:dyDescent="0.25">
      <c r="A444" s="452">
        <v>910</v>
      </c>
      <c r="B444" s="452" t="s">
        <v>3052</v>
      </c>
      <c r="C444" s="453" t="s">
        <v>2861</v>
      </c>
      <c r="D444" s="64" t="s">
        <v>2684</v>
      </c>
      <c r="E444" s="64" t="s">
        <v>2685</v>
      </c>
    </row>
    <row r="445" spans="1:5" x14ac:dyDescent="0.25">
      <c r="A445" s="452">
        <v>920</v>
      </c>
      <c r="B445" s="452" t="s">
        <v>3053</v>
      </c>
      <c r="C445" s="453" t="s">
        <v>2861</v>
      </c>
      <c r="D445" s="64" t="s">
        <v>2684</v>
      </c>
      <c r="E445" s="64" t="s">
        <v>2685</v>
      </c>
    </row>
    <row r="446" spans="1:5" x14ac:dyDescent="0.25">
      <c r="A446" s="452">
        <v>930</v>
      </c>
      <c r="B446" s="452" t="s">
        <v>3054</v>
      </c>
      <c r="C446" s="453" t="s">
        <v>2861</v>
      </c>
      <c r="D446" s="64" t="s">
        <v>2684</v>
      </c>
      <c r="E446" s="64" t="s">
        <v>2685</v>
      </c>
    </row>
    <row r="447" spans="1:5" x14ac:dyDescent="0.25">
      <c r="A447" s="452">
        <v>7100</v>
      </c>
      <c r="B447" s="452" t="s">
        <v>3055</v>
      </c>
      <c r="C447" s="453" t="s">
        <v>2861</v>
      </c>
      <c r="D447" s="64" t="s">
        <v>2684</v>
      </c>
      <c r="E447" s="64" t="s">
        <v>2685</v>
      </c>
    </row>
    <row r="448" spans="1:5" x14ac:dyDescent="0.25">
      <c r="A448" s="452">
        <v>7101</v>
      </c>
      <c r="B448" s="452" t="s">
        <v>3056</v>
      </c>
      <c r="C448" s="453" t="s">
        <v>2861</v>
      </c>
      <c r="D448" s="64" t="s">
        <v>2684</v>
      </c>
      <c r="E448" s="64" t="s">
        <v>2685</v>
      </c>
    </row>
    <row r="449" spans="1:5" x14ac:dyDescent="0.25">
      <c r="A449" s="452">
        <v>7102</v>
      </c>
      <c r="B449" s="452" t="s">
        <v>3057</v>
      </c>
      <c r="C449" s="453" t="s">
        <v>2861</v>
      </c>
      <c r="D449" s="64" t="s">
        <v>2684</v>
      </c>
      <c r="E449" s="64" t="s">
        <v>2685</v>
      </c>
    </row>
    <row r="450" spans="1:5" x14ac:dyDescent="0.25">
      <c r="A450" s="452">
        <v>7103</v>
      </c>
      <c r="B450" s="452" t="s">
        <v>3058</v>
      </c>
      <c r="C450" s="453" t="s">
        <v>2861</v>
      </c>
      <c r="D450" s="64" t="s">
        <v>2684</v>
      </c>
      <c r="E450" s="64" t="s">
        <v>2685</v>
      </c>
    </row>
    <row r="451" spans="1:5" x14ac:dyDescent="0.25">
      <c r="A451" s="452">
        <v>7104</v>
      </c>
      <c r="B451" s="452" t="s">
        <v>3059</v>
      </c>
      <c r="C451" s="453" t="s">
        <v>2861</v>
      </c>
      <c r="D451" s="64" t="s">
        <v>2684</v>
      </c>
      <c r="E451" s="64" t="s">
        <v>2685</v>
      </c>
    </row>
    <row r="452" spans="1:5" x14ac:dyDescent="0.25">
      <c r="A452" s="452">
        <v>7105</v>
      </c>
      <c r="B452" s="452" t="s">
        <v>3060</v>
      </c>
      <c r="C452" s="453" t="s">
        <v>2861</v>
      </c>
      <c r="D452" s="64" t="s">
        <v>2684</v>
      </c>
      <c r="E452" s="64" t="s">
        <v>2685</v>
      </c>
    </row>
    <row r="453" spans="1:5" x14ac:dyDescent="0.25">
      <c r="A453" s="452">
        <v>7106</v>
      </c>
      <c r="B453" s="452" t="s">
        <v>3061</v>
      </c>
      <c r="C453" s="453" t="s">
        <v>2861</v>
      </c>
      <c r="D453" s="64" t="s">
        <v>2684</v>
      </c>
      <c r="E453" s="64" t="s">
        <v>2685</v>
      </c>
    </row>
    <row r="454" spans="1:5" x14ac:dyDescent="0.25">
      <c r="A454" s="452">
        <v>7107</v>
      </c>
      <c r="B454" s="452" t="s">
        <v>3062</v>
      </c>
      <c r="C454" s="453" t="s">
        <v>2861</v>
      </c>
      <c r="D454" s="64" t="s">
        <v>2684</v>
      </c>
      <c r="E454" s="64" t="s">
        <v>2685</v>
      </c>
    </row>
    <row r="455" spans="1:5" x14ac:dyDescent="0.25">
      <c r="A455" s="452">
        <v>7108</v>
      </c>
      <c r="B455" s="452" t="s">
        <v>3063</v>
      </c>
      <c r="C455" s="453" t="s">
        <v>2861</v>
      </c>
      <c r="D455" s="64" t="s">
        <v>2684</v>
      </c>
      <c r="E455" s="64" t="s">
        <v>2685</v>
      </c>
    </row>
    <row r="456" spans="1:5" x14ac:dyDescent="0.25">
      <c r="A456" s="452">
        <v>7109</v>
      </c>
      <c r="B456" s="452" t="s">
        <v>3064</v>
      </c>
      <c r="C456" s="453" t="s">
        <v>2861</v>
      </c>
      <c r="D456" s="64" t="s">
        <v>2684</v>
      </c>
      <c r="E456" s="64" t="s">
        <v>2685</v>
      </c>
    </row>
    <row r="457" spans="1:5" x14ac:dyDescent="0.25">
      <c r="A457" s="452">
        <v>7110</v>
      </c>
      <c r="B457" s="452" t="s">
        <v>3065</v>
      </c>
      <c r="C457" s="453" t="s">
        <v>2861</v>
      </c>
      <c r="D457" s="64" t="s">
        <v>2684</v>
      </c>
      <c r="E457" s="64" t="s">
        <v>2685</v>
      </c>
    </row>
    <row r="458" spans="1:5" x14ac:dyDescent="0.25">
      <c r="A458" s="452">
        <v>7111</v>
      </c>
      <c r="B458" s="452" t="s">
        <v>3066</v>
      </c>
      <c r="C458" s="453" t="s">
        <v>2861</v>
      </c>
      <c r="D458" s="64" t="s">
        <v>2684</v>
      </c>
      <c r="E458" s="64" t="s">
        <v>2685</v>
      </c>
    </row>
    <row r="459" spans="1:5" x14ac:dyDescent="0.25">
      <c r="A459" s="452">
        <v>7112</v>
      </c>
      <c r="B459" s="452" t="s">
        <v>3067</v>
      </c>
      <c r="C459" s="453" t="s">
        <v>2861</v>
      </c>
      <c r="D459" s="64" t="s">
        <v>2684</v>
      </c>
      <c r="E459" s="64" t="s">
        <v>2685</v>
      </c>
    </row>
    <row r="460" spans="1:5" x14ac:dyDescent="0.25">
      <c r="A460" s="452">
        <v>7113</v>
      </c>
      <c r="B460" s="452" t="s">
        <v>3068</v>
      </c>
      <c r="C460" s="453" t="s">
        <v>2861</v>
      </c>
      <c r="D460" s="64" t="s">
        <v>2684</v>
      </c>
      <c r="E460" s="64" t="s">
        <v>2685</v>
      </c>
    </row>
    <row r="461" spans="1:5" x14ac:dyDescent="0.25">
      <c r="A461" s="452">
        <v>7114</v>
      </c>
      <c r="B461" s="452" t="s">
        <v>3069</v>
      </c>
      <c r="C461" s="453" t="s">
        <v>2861</v>
      </c>
      <c r="D461" s="64" t="s">
        <v>2684</v>
      </c>
      <c r="E461" s="64" t="s">
        <v>2685</v>
      </c>
    </row>
    <row r="462" spans="1:5" x14ac:dyDescent="0.25">
      <c r="A462" s="452">
        <v>7115</v>
      </c>
      <c r="B462" s="452" t="s">
        <v>3070</v>
      </c>
      <c r="C462" s="453" t="s">
        <v>2861</v>
      </c>
      <c r="D462" s="64" t="s">
        <v>2684</v>
      </c>
      <c r="E462" s="64" t="s">
        <v>2685</v>
      </c>
    </row>
    <row r="463" spans="1:5" x14ac:dyDescent="0.25">
      <c r="A463" s="452">
        <v>7116</v>
      </c>
      <c r="B463" s="452" t="s">
        <v>3071</v>
      </c>
      <c r="C463" s="453" t="s">
        <v>2861</v>
      </c>
      <c r="D463" s="64" t="s">
        <v>2684</v>
      </c>
      <c r="E463" s="64" t="s">
        <v>2685</v>
      </c>
    </row>
    <row r="464" spans="1:5" x14ac:dyDescent="0.25">
      <c r="A464" s="452">
        <v>7117</v>
      </c>
      <c r="B464" s="452" t="s">
        <v>3072</v>
      </c>
      <c r="C464" s="453" t="s">
        <v>2861</v>
      </c>
      <c r="D464" s="64" t="s">
        <v>2684</v>
      </c>
      <c r="E464" s="64" t="s">
        <v>2685</v>
      </c>
    </row>
    <row r="465" spans="1:5" x14ac:dyDescent="0.25">
      <c r="A465" s="452">
        <v>7118</v>
      </c>
      <c r="B465" s="452" t="s">
        <v>3073</v>
      </c>
      <c r="C465" s="453" t="s">
        <v>2861</v>
      </c>
      <c r="D465" s="64" t="s">
        <v>2684</v>
      </c>
      <c r="E465" s="64" t="s">
        <v>2685</v>
      </c>
    </row>
    <row r="466" spans="1:5" x14ac:dyDescent="0.25">
      <c r="A466" s="452">
        <v>7119</v>
      </c>
      <c r="B466" s="452" t="s">
        <v>3074</v>
      </c>
      <c r="C466" s="453" t="s">
        <v>2861</v>
      </c>
      <c r="D466" s="64" t="s">
        <v>2684</v>
      </c>
      <c r="E466" s="64" t="s">
        <v>2685</v>
      </c>
    </row>
    <row r="467" spans="1:5" x14ac:dyDescent="0.25">
      <c r="A467" s="452">
        <v>7120</v>
      </c>
      <c r="B467" s="452" t="s">
        <v>3075</v>
      </c>
      <c r="C467" s="453" t="s">
        <v>2861</v>
      </c>
      <c r="D467" s="64" t="s">
        <v>2684</v>
      </c>
      <c r="E467" s="64" t="s">
        <v>2685</v>
      </c>
    </row>
    <row r="468" spans="1:5" x14ac:dyDescent="0.25">
      <c r="A468" s="452">
        <v>7121</v>
      </c>
      <c r="B468" s="452" t="s">
        <v>3076</v>
      </c>
      <c r="C468" s="453" t="s">
        <v>2861</v>
      </c>
      <c r="D468" s="64" t="s">
        <v>2684</v>
      </c>
      <c r="E468" s="64" t="s">
        <v>2685</v>
      </c>
    </row>
    <row r="469" spans="1:5" x14ac:dyDescent="0.25">
      <c r="A469" s="452">
        <v>7122</v>
      </c>
      <c r="B469" s="452" t="s">
        <v>3077</v>
      </c>
      <c r="C469" s="453" t="s">
        <v>2861</v>
      </c>
      <c r="D469" s="64" t="s">
        <v>2684</v>
      </c>
      <c r="E469" s="64" t="s">
        <v>2685</v>
      </c>
    </row>
    <row r="470" spans="1:5" x14ac:dyDescent="0.25">
      <c r="A470" s="452">
        <v>7123</v>
      </c>
      <c r="B470" s="452" t="s">
        <v>3078</v>
      </c>
      <c r="C470" s="453" t="s">
        <v>2861</v>
      </c>
      <c r="D470" s="64" t="s">
        <v>2684</v>
      </c>
      <c r="E470" s="64" t="s">
        <v>2685</v>
      </c>
    </row>
    <row r="471" spans="1:5" x14ac:dyDescent="0.25">
      <c r="A471" s="452">
        <v>7124</v>
      </c>
      <c r="B471" s="452" t="s">
        <v>3079</v>
      </c>
      <c r="C471" s="453" t="s">
        <v>2861</v>
      </c>
      <c r="D471" s="64" t="s">
        <v>2684</v>
      </c>
      <c r="E471" s="64" t="s">
        <v>2685</v>
      </c>
    </row>
    <row r="472" spans="1:5" x14ac:dyDescent="0.25">
      <c r="A472" s="452">
        <v>7126</v>
      </c>
      <c r="B472" s="452" t="s">
        <v>3080</v>
      </c>
      <c r="C472" s="453" t="s">
        <v>2861</v>
      </c>
      <c r="D472" s="64" t="s">
        <v>2684</v>
      </c>
      <c r="E472" s="64" t="s">
        <v>2685</v>
      </c>
    </row>
    <row r="473" spans="1:5" x14ac:dyDescent="0.25">
      <c r="A473" s="452">
        <v>7127</v>
      </c>
      <c r="B473" s="452" t="s">
        <v>3081</v>
      </c>
      <c r="C473" s="453" t="s">
        <v>2861</v>
      </c>
      <c r="D473" s="64" t="s">
        <v>2684</v>
      </c>
      <c r="E473" s="64" t="s">
        <v>2685</v>
      </c>
    </row>
    <row r="474" spans="1:5" x14ac:dyDescent="0.25">
      <c r="A474" s="452">
        <v>7128</v>
      </c>
      <c r="B474" s="452" t="s">
        <v>3082</v>
      </c>
      <c r="C474" s="453" t="s">
        <v>2861</v>
      </c>
      <c r="D474" s="64" t="s">
        <v>2684</v>
      </c>
      <c r="E474" s="64" t="s">
        <v>2685</v>
      </c>
    </row>
    <row r="475" spans="1:5" x14ac:dyDescent="0.25">
      <c r="A475" s="452">
        <v>7129</v>
      </c>
      <c r="B475" s="452" t="s">
        <v>3083</v>
      </c>
      <c r="C475" s="453" t="s">
        <v>2861</v>
      </c>
      <c r="D475" s="64" t="s">
        <v>2684</v>
      </c>
      <c r="E475" s="64" t="s">
        <v>2685</v>
      </c>
    </row>
    <row r="476" spans="1:5" x14ac:dyDescent="0.25">
      <c r="A476" s="452">
        <v>7130</v>
      </c>
      <c r="B476" s="452" t="s">
        <v>3084</v>
      </c>
      <c r="C476" s="453" t="s">
        <v>2861</v>
      </c>
      <c r="D476" s="64" t="s">
        <v>2684</v>
      </c>
      <c r="E476" s="64" t="s">
        <v>2685</v>
      </c>
    </row>
    <row r="477" spans="1:5" x14ac:dyDescent="0.25">
      <c r="A477" s="452">
        <v>7131</v>
      </c>
      <c r="B477" s="452" t="s">
        <v>3085</v>
      </c>
      <c r="C477" s="453" t="s">
        <v>2861</v>
      </c>
      <c r="D477" s="64" t="s">
        <v>2684</v>
      </c>
      <c r="E477" s="64" t="s">
        <v>2685</v>
      </c>
    </row>
    <row r="478" spans="1:5" x14ac:dyDescent="0.25">
      <c r="A478" s="452">
        <v>7132</v>
      </c>
      <c r="B478" s="452" t="s">
        <v>3086</v>
      </c>
      <c r="C478" s="453" t="s">
        <v>2861</v>
      </c>
      <c r="D478" s="64" t="s">
        <v>2684</v>
      </c>
      <c r="E478" s="64" t="s">
        <v>2685</v>
      </c>
    </row>
    <row r="479" spans="1:5" x14ac:dyDescent="0.25">
      <c r="A479" s="452">
        <v>7133</v>
      </c>
      <c r="B479" s="452" t="s">
        <v>3087</v>
      </c>
      <c r="C479" s="453" t="s">
        <v>2861</v>
      </c>
      <c r="D479" s="64" t="s">
        <v>2684</v>
      </c>
      <c r="E479" s="64" t="s">
        <v>2685</v>
      </c>
    </row>
    <row r="480" spans="1:5" x14ac:dyDescent="0.25">
      <c r="A480" s="452">
        <v>7134</v>
      </c>
      <c r="B480" s="452" t="s">
        <v>3088</v>
      </c>
      <c r="C480" s="453" t="s">
        <v>2861</v>
      </c>
      <c r="D480" s="64" t="s">
        <v>2684</v>
      </c>
      <c r="E480" s="64" t="s">
        <v>2685</v>
      </c>
    </row>
    <row r="481" spans="1:5" x14ac:dyDescent="0.25">
      <c r="A481" s="452">
        <v>7135</v>
      </c>
      <c r="B481" s="452" t="s">
        <v>3089</v>
      </c>
      <c r="C481" s="453" t="s">
        <v>2861</v>
      </c>
      <c r="D481" s="64" t="s">
        <v>2684</v>
      </c>
      <c r="E481" s="64" t="s">
        <v>2685</v>
      </c>
    </row>
    <row r="482" spans="1:5" x14ac:dyDescent="0.25">
      <c r="A482" s="452">
        <v>7136</v>
      </c>
      <c r="B482" s="452" t="s">
        <v>3090</v>
      </c>
      <c r="C482" s="453" t="s">
        <v>2861</v>
      </c>
      <c r="D482" s="64" t="s">
        <v>2684</v>
      </c>
      <c r="E482" s="64" t="s">
        <v>2685</v>
      </c>
    </row>
    <row r="483" spans="1:5" x14ac:dyDescent="0.25">
      <c r="A483" s="452">
        <v>7137</v>
      </c>
      <c r="B483" s="452" t="s">
        <v>3091</v>
      </c>
      <c r="C483" s="453" t="s">
        <v>2861</v>
      </c>
      <c r="D483" s="64" t="s">
        <v>2684</v>
      </c>
      <c r="E483" s="64" t="s">
        <v>2685</v>
      </c>
    </row>
    <row r="484" spans="1:5" x14ac:dyDescent="0.25">
      <c r="A484" s="452">
        <v>7138</v>
      </c>
      <c r="B484" s="452" t="s">
        <v>3092</v>
      </c>
      <c r="C484" s="453" t="s">
        <v>2861</v>
      </c>
      <c r="D484" s="64" t="s">
        <v>2684</v>
      </c>
      <c r="E484" s="64" t="s">
        <v>2685</v>
      </c>
    </row>
    <row r="485" spans="1:5" x14ac:dyDescent="0.25">
      <c r="A485" s="452">
        <v>7139</v>
      </c>
      <c r="B485" s="452" t="s">
        <v>3093</v>
      </c>
      <c r="C485" s="453" t="s">
        <v>2861</v>
      </c>
      <c r="D485" s="64" t="s">
        <v>2684</v>
      </c>
      <c r="E485" s="64" t="s">
        <v>2685</v>
      </c>
    </row>
    <row r="486" spans="1:5" x14ac:dyDescent="0.25">
      <c r="A486" s="452">
        <v>7140</v>
      </c>
      <c r="B486" s="452" t="s">
        <v>3094</v>
      </c>
      <c r="C486" s="453" t="s">
        <v>2861</v>
      </c>
      <c r="D486" s="64" t="s">
        <v>2684</v>
      </c>
      <c r="E486" s="64" t="s">
        <v>2685</v>
      </c>
    </row>
    <row r="487" spans="1:5" x14ac:dyDescent="0.25">
      <c r="A487" s="452">
        <v>7141</v>
      </c>
      <c r="B487" s="452" t="s">
        <v>3095</v>
      </c>
      <c r="C487" s="453" t="s">
        <v>2861</v>
      </c>
      <c r="D487" s="64" t="s">
        <v>2684</v>
      </c>
      <c r="E487" s="64" t="s">
        <v>2685</v>
      </c>
    </row>
    <row r="488" spans="1:5" x14ac:dyDescent="0.25">
      <c r="A488" s="452">
        <v>7142</v>
      </c>
      <c r="B488" s="452" t="s">
        <v>3096</v>
      </c>
      <c r="C488" s="453" t="s">
        <v>2861</v>
      </c>
      <c r="D488" s="64" t="s">
        <v>2684</v>
      </c>
      <c r="E488" s="64" t="s">
        <v>2685</v>
      </c>
    </row>
    <row r="489" spans="1:5" x14ac:dyDescent="0.25">
      <c r="A489" s="452">
        <v>7143</v>
      </c>
      <c r="B489" s="452" t="s">
        <v>3097</v>
      </c>
      <c r="C489" s="453" t="s">
        <v>2861</v>
      </c>
      <c r="D489" s="64" t="s">
        <v>2684</v>
      </c>
      <c r="E489" s="64" t="s">
        <v>2685</v>
      </c>
    </row>
    <row r="490" spans="1:5" x14ac:dyDescent="0.25">
      <c r="A490" s="452">
        <v>7144</v>
      </c>
      <c r="B490" s="452" t="s">
        <v>3098</v>
      </c>
      <c r="C490" s="453" t="s">
        <v>2861</v>
      </c>
      <c r="D490" s="64" t="s">
        <v>2684</v>
      </c>
      <c r="E490" s="64" t="s">
        <v>2685</v>
      </c>
    </row>
    <row r="491" spans="1:5" x14ac:dyDescent="0.25">
      <c r="A491" s="452">
        <v>7145</v>
      </c>
      <c r="B491" s="452" t="s">
        <v>3099</v>
      </c>
      <c r="C491" s="453" t="s">
        <v>2861</v>
      </c>
      <c r="D491" s="64" t="s">
        <v>2684</v>
      </c>
      <c r="E491" s="64" t="s">
        <v>2685</v>
      </c>
    </row>
    <row r="492" spans="1:5" x14ac:dyDescent="0.25">
      <c r="A492" s="452">
        <v>7146</v>
      </c>
      <c r="B492" s="452" t="s">
        <v>3100</v>
      </c>
      <c r="C492" s="453" t="s">
        <v>2861</v>
      </c>
      <c r="D492" s="64" t="s">
        <v>2684</v>
      </c>
      <c r="E492" s="64" t="s">
        <v>2685</v>
      </c>
    </row>
    <row r="493" spans="1:5" x14ac:dyDescent="0.25">
      <c r="A493" s="452">
        <v>7147</v>
      </c>
      <c r="B493" s="452" t="s">
        <v>3101</v>
      </c>
      <c r="C493" s="453" t="s">
        <v>2861</v>
      </c>
      <c r="D493" s="64" t="s">
        <v>2684</v>
      </c>
      <c r="E493" s="64" t="s">
        <v>2685</v>
      </c>
    </row>
    <row r="494" spans="1:5" x14ac:dyDescent="0.25">
      <c r="A494" s="452">
        <v>7148</v>
      </c>
      <c r="B494" s="452" t="s">
        <v>3102</v>
      </c>
      <c r="C494" s="453" t="s">
        <v>2861</v>
      </c>
      <c r="D494" s="64" t="s">
        <v>2684</v>
      </c>
      <c r="E494" s="64" t="s">
        <v>2685</v>
      </c>
    </row>
    <row r="495" spans="1:5" x14ac:dyDescent="0.25">
      <c r="A495" s="452">
        <v>7149</v>
      </c>
      <c r="B495" s="452" t="s">
        <v>3103</v>
      </c>
      <c r="C495" s="453" t="s">
        <v>2861</v>
      </c>
      <c r="D495" s="64" t="s">
        <v>2684</v>
      </c>
      <c r="E495" s="64" t="s">
        <v>2685</v>
      </c>
    </row>
    <row r="496" spans="1:5" x14ac:dyDescent="0.25">
      <c r="A496" s="452">
        <v>7150</v>
      </c>
      <c r="B496" s="452" t="s">
        <v>3104</v>
      </c>
      <c r="C496" s="453" t="s">
        <v>2861</v>
      </c>
      <c r="D496" s="64" t="s">
        <v>2684</v>
      </c>
      <c r="E496" s="64" t="s">
        <v>2685</v>
      </c>
    </row>
    <row r="497" spans="1:5" x14ac:dyDescent="0.25">
      <c r="A497" s="452">
        <v>7151</v>
      </c>
      <c r="B497" s="452" t="s">
        <v>3105</v>
      </c>
      <c r="C497" s="453" t="s">
        <v>2861</v>
      </c>
      <c r="D497" s="64" t="s">
        <v>2684</v>
      </c>
      <c r="E497" s="64" t="s">
        <v>2685</v>
      </c>
    </row>
    <row r="498" spans="1:5" x14ac:dyDescent="0.25">
      <c r="A498" s="452">
        <v>7152</v>
      </c>
      <c r="B498" s="452" t="s">
        <v>3106</v>
      </c>
      <c r="C498" s="453" t="s">
        <v>2861</v>
      </c>
      <c r="D498" s="64" t="s">
        <v>2684</v>
      </c>
      <c r="E498" s="64" t="s">
        <v>2685</v>
      </c>
    </row>
    <row r="499" spans="1:5" x14ac:dyDescent="0.25">
      <c r="A499" s="452">
        <v>7153</v>
      </c>
      <c r="B499" s="452" t="s">
        <v>3107</v>
      </c>
      <c r="C499" s="453" t="s">
        <v>2861</v>
      </c>
      <c r="D499" s="64" t="s">
        <v>2684</v>
      </c>
      <c r="E499" s="64" t="s">
        <v>2685</v>
      </c>
    </row>
    <row r="500" spans="1:5" x14ac:dyDescent="0.25">
      <c r="A500" s="452">
        <v>7154</v>
      </c>
      <c r="B500" s="452" t="s">
        <v>3108</v>
      </c>
      <c r="C500" s="453" t="s">
        <v>2861</v>
      </c>
      <c r="D500" s="64" t="s">
        <v>2684</v>
      </c>
      <c r="E500" s="64" t="s">
        <v>2685</v>
      </c>
    </row>
    <row r="501" spans="1:5" x14ac:dyDescent="0.25">
      <c r="A501" s="452">
        <v>7155</v>
      </c>
      <c r="B501" s="452" t="s">
        <v>3092</v>
      </c>
      <c r="C501" s="453" t="s">
        <v>2861</v>
      </c>
      <c r="D501" s="64" t="s">
        <v>2684</v>
      </c>
      <c r="E501" s="64" t="s">
        <v>2685</v>
      </c>
    </row>
    <row r="502" spans="1:5" x14ac:dyDescent="0.25">
      <c r="A502" s="452">
        <v>7300</v>
      </c>
      <c r="B502" s="452" t="s">
        <v>3109</v>
      </c>
      <c r="C502" s="453" t="s">
        <v>2861</v>
      </c>
      <c r="D502" s="64" t="s">
        <v>2684</v>
      </c>
      <c r="E502" s="64" t="s">
        <v>2685</v>
      </c>
    </row>
    <row r="503" spans="1:5" x14ac:dyDescent="0.25">
      <c r="A503" s="452">
        <v>7301</v>
      </c>
      <c r="B503" s="452" t="s">
        <v>3110</v>
      </c>
      <c r="C503" s="453" t="s">
        <v>2861</v>
      </c>
      <c r="D503" s="64" t="s">
        <v>2684</v>
      </c>
      <c r="E503" s="64" t="s">
        <v>2685</v>
      </c>
    </row>
    <row r="504" spans="1:5" x14ac:dyDescent="0.25">
      <c r="A504" s="452">
        <v>7302</v>
      </c>
      <c r="B504" s="452" t="s">
        <v>3111</v>
      </c>
      <c r="C504" s="453" t="s">
        <v>2861</v>
      </c>
      <c r="D504" s="64" t="s">
        <v>2684</v>
      </c>
      <c r="E504" s="64" t="s">
        <v>2685</v>
      </c>
    </row>
    <row r="505" spans="1:5" x14ac:dyDescent="0.25">
      <c r="A505" s="452">
        <v>7303</v>
      </c>
      <c r="B505" s="452" t="s">
        <v>3112</v>
      </c>
      <c r="C505" s="453" t="s">
        <v>2861</v>
      </c>
      <c r="D505" s="64" t="s">
        <v>2684</v>
      </c>
      <c r="E505" s="64" t="s">
        <v>2685</v>
      </c>
    </row>
    <row r="506" spans="1:5" x14ac:dyDescent="0.25">
      <c r="A506" s="452">
        <v>7304</v>
      </c>
      <c r="B506" s="452" t="s">
        <v>3113</v>
      </c>
      <c r="C506" s="453" t="s">
        <v>2861</v>
      </c>
      <c r="D506" s="64" t="s">
        <v>2684</v>
      </c>
      <c r="E506" s="64" t="s">
        <v>2685</v>
      </c>
    </row>
    <row r="507" spans="1:5" x14ac:dyDescent="0.25">
      <c r="A507" s="452">
        <v>7305</v>
      </c>
      <c r="B507" s="452" t="s">
        <v>3114</v>
      </c>
      <c r="C507" s="453" t="s">
        <v>2861</v>
      </c>
      <c r="D507" s="64" t="s">
        <v>2684</v>
      </c>
      <c r="E507" s="64" t="s">
        <v>2685</v>
      </c>
    </row>
    <row r="508" spans="1:5" x14ac:dyDescent="0.25">
      <c r="A508" s="452">
        <v>7306</v>
      </c>
      <c r="B508" s="452" t="s">
        <v>3115</v>
      </c>
      <c r="C508" s="453" t="s">
        <v>2861</v>
      </c>
      <c r="D508" s="64" t="s">
        <v>2684</v>
      </c>
      <c r="E508" s="64" t="s">
        <v>2685</v>
      </c>
    </row>
    <row r="509" spans="1:5" x14ac:dyDescent="0.25">
      <c r="A509" s="452">
        <v>7307</v>
      </c>
      <c r="B509" s="452" t="s">
        <v>3116</v>
      </c>
      <c r="C509" s="453" t="s">
        <v>2861</v>
      </c>
      <c r="D509" s="64" t="s">
        <v>2684</v>
      </c>
      <c r="E509" s="64" t="s">
        <v>2685</v>
      </c>
    </row>
    <row r="510" spans="1:5" x14ac:dyDescent="0.25">
      <c r="A510" s="452">
        <v>7308</v>
      </c>
      <c r="B510" s="452" t="s">
        <v>3117</v>
      </c>
      <c r="C510" s="453" t="s">
        <v>2861</v>
      </c>
      <c r="D510" s="64" t="s">
        <v>2684</v>
      </c>
      <c r="E510" s="64" t="s">
        <v>2685</v>
      </c>
    </row>
    <row r="511" spans="1:5" x14ac:dyDescent="0.25">
      <c r="A511" s="452">
        <v>7309</v>
      </c>
      <c r="B511" s="452" t="s">
        <v>3118</v>
      </c>
      <c r="C511" s="453" t="s">
        <v>2861</v>
      </c>
      <c r="D511" s="64" t="s">
        <v>2684</v>
      </c>
      <c r="E511" s="64" t="s">
        <v>2685</v>
      </c>
    </row>
    <row r="512" spans="1:5" x14ac:dyDescent="0.25">
      <c r="A512" s="452">
        <v>7310</v>
      </c>
      <c r="B512" s="452" t="s">
        <v>3119</v>
      </c>
      <c r="C512" s="453" t="s">
        <v>2861</v>
      </c>
      <c r="D512" s="64" t="s">
        <v>2684</v>
      </c>
      <c r="E512" s="64" t="s">
        <v>2685</v>
      </c>
    </row>
    <row r="513" spans="1:5" x14ac:dyDescent="0.25">
      <c r="A513" s="452">
        <v>7311</v>
      </c>
      <c r="B513" s="452" t="s">
        <v>3120</v>
      </c>
      <c r="C513" s="453" t="s">
        <v>2861</v>
      </c>
      <c r="D513" s="64" t="s">
        <v>2684</v>
      </c>
      <c r="E513" s="64" t="s">
        <v>2685</v>
      </c>
    </row>
    <row r="514" spans="1:5" x14ac:dyDescent="0.25">
      <c r="A514" s="452">
        <v>7312</v>
      </c>
      <c r="B514" s="452" t="s">
        <v>3121</v>
      </c>
      <c r="C514" s="453" t="s">
        <v>2861</v>
      </c>
      <c r="D514" s="64" t="s">
        <v>2684</v>
      </c>
      <c r="E514" s="64" t="s">
        <v>2685</v>
      </c>
    </row>
    <row r="515" spans="1:5" x14ac:dyDescent="0.25">
      <c r="A515" s="452">
        <v>7313</v>
      </c>
      <c r="B515" s="452" t="s">
        <v>3122</v>
      </c>
      <c r="C515" s="453" t="s">
        <v>2861</v>
      </c>
      <c r="D515" s="64" t="s">
        <v>2684</v>
      </c>
      <c r="E515" s="64" t="s">
        <v>2685</v>
      </c>
    </row>
    <row r="516" spans="1:5" x14ac:dyDescent="0.25">
      <c r="A516" s="452">
        <v>7400</v>
      </c>
      <c r="B516" s="452" t="s">
        <v>3123</v>
      </c>
      <c r="C516" s="453" t="s">
        <v>2861</v>
      </c>
      <c r="D516" s="64" t="s">
        <v>2684</v>
      </c>
      <c r="E516" s="64" t="s">
        <v>2685</v>
      </c>
    </row>
    <row r="517" spans="1:5" x14ac:dyDescent="0.25">
      <c r="A517" s="452">
        <v>7401</v>
      </c>
      <c r="B517" s="452" t="s">
        <v>3124</v>
      </c>
      <c r="C517" s="453" t="s">
        <v>2861</v>
      </c>
      <c r="D517" s="64" t="s">
        <v>2684</v>
      </c>
      <c r="E517" s="64" t="s">
        <v>2685</v>
      </c>
    </row>
    <row r="518" spans="1:5" x14ac:dyDescent="0.25">
      <c r="A518" s="452">
        <v>7402</v>
      </c>
      <c r="B518" s="452" t="s">
        <v>3071</v>
      </c>
      <c r="C518" s="453" t="s">
        <v>2861</v>
      </c>
      <c r="D518" s="64" t="s">
        <v>2684</v>
      </c>
      <c r="E518" s="64" t="s">
        <v>2685</v>
      </c>
    </row>
    <row r="519" spans="1:5" x14ac:dyDescent="0.25">
      <c r="A519" s="452">
        <v>7403</v>
      </c>
      <c r="B519" s="452" t="s">
        <v>3125</v>
      </c>
      <c r="C519" s="453" t="s">
        <v>2861</v>
      </c>
      <c r="D519" s="64" t="s">
        <v>2684</v>
      </c>
      <c r="E519" s="64" t="s">
        <v>2685</v>
      </c>
    </row>
    <row r="520" spans="1:5" x14ac:dyDescent="0.25">
      <c r="A520" s="452">
        <v>7404</v>
      </c>
      <c r="B520" s="452" t="s">
        <v>3126</v>
      </c>
      <c r="C520" s="453" t="s">
        <v>2861</v>
      </c>
      <c r="D520" s="64" t="s">
        <v>2684</v>
      </c>
      <c r="E520" s="64" t="s">
        <v>2685</v>
      </c>
    </row>
    <row r="521" spans="1:5" x14ac:dyDescent="0.25">
      <c r="A521" s="452">
        <v>7405</v>
      </c>
      <c r="B521" s="452" t="s">
        <v>3127</v>
      </c>
      <c r="C521" s="453" t="s">
        <v>2861</v>
      </c>
      <c r="D521" s="64" t="s">
        <v>2684</v>
      </c>
      <c r="E521" s="64" t="s">
        <v>2685</v>
      </c>
    </row>
    <row r="522" spans="1:5" x14ac:dyDescent="0.25">
      <c r="A522" s="452">
        <v>7406</v>
      </c>
      <c r="B522" s="452" t="s">
        <v>3128</v>
      </c>
      <c r="C522" s="453" t="s">
        <v>2861</v>
      </c>
      <c r="D522" s="64" t="s">
        <v>2684</v>
      </c>
      <c r="E522" s="64" t="s">
        <v>2685</v>
      </c>
    </row>
    <row r="523" spans="1:5" x14ac:dyDescent="0.25">
      <c r="A523" s="452">
        <v>7407</v>
      </c>
      <c r="B523" s="452" t="s">
        <v>3129</v>
      </c>
      <c r="C523" s="453" t="s">
        <v>2861</v>
      </c>
      <c r="D523" s="64" t="s">
        <v>2684</v>
      </c>
      <c r="E523" s="64" t="s">
        <v>2685</v>
      </c>
    </row>
    <row r="524" spans="1:5" x14ac:dyDescent="0.25">
      <c r="A524" s="452">
        <v>7408</v>
      </c>
      <c r="B524" s="452" t="s">
        <v>3130</v>
      </c>
      <c r="C524" s="453" t="s">
        <v>2861</v>
      </c>
      <c r="D524" s="64" t="s">
        <v>2684</v>
      </c>
      <c r="E524" s="64" t="s">
        <v>2685</v>
      </c>
    </row>
    <row r="525" spans="1:5" x14ac:dyDescent="0.25">
      <c r="A525" s="452">
        <v>7409</v>
      </c>
      <c r="B525" s="452" t="s">
        <v>3131</v>
      </c>
      <c r="C525" s="453" t="s">
        <v>2861</v>
      </c>
      <c r="D525" s="64" t="s">
        <v>2684</v>
      </c>
      <c r="E525" s="64" t="s">
        <v>2685</v>
      </c>
    </row>
    <row r="526" spans="1:5" x14ac:dyDescent="0.25">
      <c r="A526" s="452">
        <v>7410</v>
      </c>
      <c r="B526" s="452" t="s">
        <v>3132</v>
      </c>
      <c r="C526" s="453" t="s">
        <v>2861</v>
      </c>
      <c r="D526" s="64" t="s">
        <v>2684</v>
      </c>
      <c r="E526" s="64" t="s">
        <v>2685</v>
      </c>
    </row>
    <row r="527" spans="1:5" x14ac:dyDescent="0.25">
      <c r="A527" s="452">
        <v>7411</v>
      </c>
      <c r="B527" s="452" t="s">
        <v>3133</v>
      </c>
      <c r="C527" s="453" t="s">
        <v>2861</v>
      </c>
      <c r="D527" s="64" t="s">
        <v>2684</v>
      </c>
      <c r="E527" s="64" t="s">
        <v>2685</v>
      </c>
    </row>
    <row r="528" spans="1:5" x14ac:dyDescent="0.25">
      <c r="A528" s="452">
        <v>7413</v>
      </c>
      <c r="B528" s="452" t="s">
        <v>3134</v>
      </c>
      <c r="C528" s="453" t="s">
        <v>2861</v>
      </c>
      <c r="D528" s="64" t="s">
        <v>2684</v>
      </c>
      <c r="E528" s="64" t="s">
        <v>2685</v>
      </c>
    </row>
    <row r="529" spans="1:5" x14ac:dyDescent="0.25">
      <c r="A529" s="452">
        <v>7505</v>
      </c>
      <c r="B529" s="452" t="s">
        <v>3135</v>
      </c>
      <c r="C529" s="453" t="s">
        <v>2861</v>
      </c>
      <c r="D529" s="64" t="s">
        <v>2684</v>
      </c>
      <c r="E529" s="64" t="s">
        <v>2685</v>
      </c>
    </row>
    <row r="530" spans="1:5" x14ac:dyDescent="0.25">
      <c r="A530" s="452">
        <v>7600</v>
      </c>
      <c r="B530" s="452" t="s">
        <v>3136</v>
      </c>
      <c r="C530" s="453" t="s">
        <v>2861</v>
      </c>
      <c r="D530" s="64" t="s">
        <v>2684</v>
      </c>
      <c r="E530" s="64" t="s">
        <v>2685</v>
      </c>
    </row>
    <row r="531" spans="1:5" x14ac:dyDescent="0.25">
      <c r="A531" s="452">
        <v>7604</v>
      </c>
      <c r="B531" s="452" t="s">
        <v>3137</v>
      </c>
      <c r="C531" s="453" t="s">
        <v>2861</v>
      </c>
      <c r="D531" s="64" t="s">
        <v>2684</v>
      </c>
      <c r="E531" s="64" t="s">
        <v>2685</v>
      </c>
    </row>
    <row r="532" spans="1:5" x14ac:dyDescent="0.25">
      <c r="A532" s="452">
        <v>7605</v>
      </c>
      <c r="B532" s="452" t="s">
        <v>3138</v>
      </c>
      <c r="C532" s="453" t="s">
        <v>2861</v>
      </c>
      <c r="D532" s="64" t="s">
        <v>2684</v>
      </c>
      <c r="E532" s="64" t="s">
        <v>2685</v>
      </c>
    </row>
    <row r="533" spans="1:5" x14ac:dyDescent="0.25">
      <c r="A533" s="452">
        <v>7608</v>
      </c>
      <c r="B533" s="452" t="s">
        <v>3139</v>
      </c>
      <c r="C533" s="453" t="s">
        <v>2861</v>
      </c>
      <c r="D533" s="64" t="s">
        <v>2684</v>
      </c>
      <c r="E533" s="64" t="s">
        <v>2685</v>
      </c>
    </row>
    <row r="534" spans="1:5" x14ac:dyDescent="0.25">
      <c r="A534" s="452">
        <v>7609</v>
      </c>
      <c r="B534" s="452" t="s">
        <v>3140</v>
      </c>
      <c r="C534" s="453" t="s">
        <v>2861</v>
      </c>
      <c r="D534" s="64" t="s">
        <v>2684</v>
      </c>
      <c r="E534" s="64" t="s">
        <v>2685</v>
      </c>
    </row>
    <row r="535" spans="1:5" x14ac:dyDescent="0.25">
      <c r="A535" s="452">
        <v>7610</v>
      </c>
      <c r="B535" s="452" t="s">
        <v>3141</v>
      </c>
      <c r="C535" s="453" t="s">
        <v>2861</v>
      </c>
      <c r="D535" s="64" t="s">
        <v>2684</v>
      </c>
      <c r="E535" s="64" t="s">
        <v>2685</v>
      </c>
    </row>
    <row r="536" spans="1:5" x14ac:dyDescent="0.25">
      <c r="A536" s="452">
        <v>7611</v>
      </c>
      <c r="B536" s="452" t="s">
        <v>3142</v>
      </c>
      <c r="C536" s="453" t="s">
        <v>2861</v>
      </c>
      <c r="D536" s="64" t="s">
        <v>2684</v>
      </c>
      <c r="E536" s="64" t="s">
        <v>2685</v>
      </c>
    </row>
    <row r="537" spans="1:5" x14ac:dyDescent="0.25">
      <c r="A537" s="452">
        <v>7612</v>
      </c>
      <c r="B537" s="452" t="s">
        <v>3143</v>
      </c>
      <c r="C537" s="453" t="s">
        <v>2861</v>
      </c>
      <c r="D537" s="64" t="s">
        <v>2684</v>
      </c>
      <c r="E537" s="64" t="s">
        <v>2685</v>
      </c>
    </row>
    <row r="538" spans="1:5" x14ac:dyDescent="0.25">
      <c r="A538" s="452">
        <v>7613</v>
      </c>
      <c r="B538" s="452" t="s">
        <v>3144</v>
      </c>
      <c r="C538" s="453" t="s">
        <v>2861</v>
      </c>
      <c r="D538" s="64" t="s">
        <v>2684</v>
      </c>
      <c r="E538" s="64" t="s">
        <v>2685</v>
      </c>
    </row>
    <row r="539" spans="1:5" x14ac:dyDescent="0.25">
      <c r="A539" s="452">
        <v>7614</v>
      </c>
      <c r="B539" s="452" t="s">
        <v>3145</v>
      </c>
      <c r="C539" s="453" t="s">
        <v>2861</v>
      </c>
      <c r="D539" s="64" t="s">
        <v>2684</v>
      </c>
      <c r="E539" s="64" t="s">
        <v>2685</v>
      </c>
    </row>
    <row r="540" spans="1:5" x14ac:dyDescent="0.25">
      <c r="A540" s="452">
        <v>7615</v>
      </c>
      <c r="B540" s="452" t="s">
        <v>3146</v>
      </c>
      <c r="C540" s="453" t="s">
        <v>2861</v>
      </c>
      <c r="D540" s="64" t="s">
        <v>2684</v>
      </c>
      <c r="E540" s="64" t="s">
        <v>2685</v>
      </c>
    </row>
    <row r="541" spans="1:5" x14ac:dyDescent="0.25">
      <c r="A541" s="452">
        <v>7616</v>
      </c>
      <c r="B541" s="452" t="s">
        <v>3147</v>
      </c>
      <c r="C541" s="453" t="s">
        <v>2861</v>
      </c>
      <c r="D541" s="64" t="s">
        <v>2684</v>
      </c>
      <c r="E541" s="64" t="s">
        <v>2685</v>
      </c>
    </row>
    <row r="542" spans="1:5" x14ac:dyDescent="0.25">
      <c r="A542" s="452">
        <v>7620</v>
      </c>
      <c r="B542" s="452" t="s">
        <v>3148</v>
      </c>
      <c r="C542" s="453" t="s">
        <v>2861</v>
      </c>
      <c r="D542" s="64" t="s">
        <v>2684</v>
      </c>
      <c r="E542" s="64" t="s">
        <v>2685</v>
      </c>
    </row>
    <row r="543" spans="1:5" x14ac:dyDescent="0.25">
      <c r="A543" s="452">
        <v>7621</v>
      </c>
      <c r="B543" s="452" t="s">
        <v>3149</v>
      </c>
      <c r="C543" s="453" t="s">
        <v>2861</v>
      </c>
      <c r="D543" s="64" t="s">
        <v>2684</v>
      </c>
      <c r="E543" s="64" t="s">
        <v>2685</v>
      </c>
    </row>
    <row r="544" spans="1:5" x14ac:dyDescent="0.25">
      <c r="A544" s="452">
        <v>7622</v>
      </c>
      <c r="B544" s="452" t="s">
        <v>3150</v>
      </c>
      <c r="C544" s="453" t="s">
        <v>2861</v>
      </c>
      <c r="D544" s="64" t="s">
        <v>2684</v>
      </c>
      <c r="E544" s="64" t="s">
        <v>2685</v>
      </c>
    </row>
    <row r="545" spans="1:5" x14ac:dyDescent="0.25">
      <c r="A545" s="452">
        <v>7623</v>
      </c>
      <c r="B545" s="452" t="s">
        <v>3151</v>
      </c>
      <c r="C545" s="453" t="s">
        <v>2861</v>
      </c>
      <c r="D545" s="64" t="s">
        <v>2684</v>
      </c>
      <c r="E545" s="64" t="s">
        <v>2685</v>
      </c>
    </row>
    <row r="546" spans="1:5" x14ac:dyDescent="0.25">
      <c r="A546" s="452">
        <v>7624</v>
      </c>
      <c r="B546" s="452" t="s">
        <v>3152</v>
      </c>
      <c r="C546" s="453" t="s">
        <v>2861</v>
      </c>
      <c r="D546" s="64" t="s">
        <v>2684</v>
      </c>
      <c r="E546" s="64" t="s">
        <v>2685</v>
      </c>
    </row>
    <row r="547" spans="1:5" x14ac:dyDescent="0.25">
      <c r="A547" s="452">
        <v>7625</v>
      </c>
      <c r="B547" s="452" t="s">
        <v>3153</v>
      </c>
      <c r="C547" s="453" t="s">
        <v>2861</v>
      </c>
      <c r="D547" s="64" t="s">
        <v>2684</v>
      </c>
      <c r="E547" s="64" t="s">
        <v>2685</v>
      </c>
    </row>
    <row r="548" spans="1:5" x14ac:dyDescent="0.25">
      <c r="A548" s="452">
        <v>7627</v>
      </c>
      <c r="B548" s="452" t="s">
        <v>3154</v>
      </c>
      <c r="C548" s="453" t="s">
        <v>2861</v>
      </c>
      <c r="D548" s="64" t="s">
        <v>2684</v>
      </c>
      <c r="E548" s="64" t="s">
        <v>2685</v>
      </c>
    </row>
    <row r="549" spans="1:5" x14ac:dyDescent="0.25">
      <c r="A549" s="452">
        <v>7628</v>
      </c>
      <c r="B549" s="452" t="s">
        <v>3155</v>
      </c>
      <c r="C549" s="453" t="s">
        <v>2861</v>
      </c>
      <c r="D549" s="64" t="s">
        <v>2684</v>
      </c>
      <c r="E549" s="64" t="s">
        <v>2685</v>
      </c>
    </row>
    <row r="550" spans="1:5" x14ac:dyDescent="0.25">
      <c r="A550" s="452">
        <v>7631</v>
      </c>
      <c r="B550" s="452" t="s">
        <v>3156</v>
      </c>
      <c r="C550" s="453" t="s">
        <v>2861</v>
      </c>
      <c r="D550" s="64" t="s">
        <v>2684</v>
      </c>
      <c r="E550" s="64" t="s">
        <v>2685</v>
      </c>
    </row>
    <row r="551" spans="1:5" x14ac:dyDescent="0.25">
      <c r="A551" s="452">
        <v>8100</v>
      </c>
      <c r="B551" s="452" t="s">
        <v>3157</v>
      </c>
      <c r="C551" s="453" t="s">
        <v>2861</v>
      </c>
      <c r="D551" s="64" t="s">
        <v>2684</v>
      </c>
      <c r="E551" s="64" t="s">
        <v>2685</v>
      </c>
    </row>
    <row r="552" spans="1:5" x14ac:dyDescent="0.25">
      <c r="A552" s="452">
        <v>8101</v>
      </c>
      <c r="B552" s="452" t="s">
        <v>3158</v>
      </c>
      <c r="C552" s="453" t="s">
        <v>2861</v>
      </c>
      <c r="D552" s="64" t="s">
        <v>2684</v>
      </c>
      <c r="E552" s="64" t="s">
        <v>2685</v>
      </c>
    </row>
    <row r="553" spans="1:5" x14ac:dyDescent="0.25">
      <c r="A553" s="452">
        <v>8102</v>
      </c>
      <c r="B553" s="452" t="s">
        <v>3159</v>
      </c>
      <c r="C553" s="453" t="s">
        <v>2861</v>
      </c>
      <c r="D553" s="64" t="s">
        <v>2684</v>
      </c>
      <c r="E553" s="64" t="s">
        <v>2685</v>
      </c>
    </row>
    <row r="554" spans="1:5" x14ac:dyDescent="0.25">
      <c r="A554" s="452">
        <v>8103</v>
      </c>
      <c r="B554" s="452" t="s">
        <v>3160</v>
      </c>
      <c r="C554" s="453" t="s">
        <v>2861</v>
      </c>
      <c r="D554" s="64" t="s">
        <v>2684</v>
      </c>
      <c r="E554" s="64" t="s">
        <v>2685</v>
      </c>
    </row>
    <row r="555" spans="1:5" x14ac:dyDescent="0.25">
      <c r="A555" s="452">
        <v>8104</v>
      </c>
      <c r="B555" s="452" t="s">
        <v>3161</v>
      </c>
      <c r="C555" s="453" t="s">
        <v>2861</v>
      </c>
      <c r="D555" s="64" t="s">
        <v>2684</v>
      </c>
      <c r="E555" s="64" t="s">
        <v>2685</v>
      </c>
    </row>
    <row r="556" spans="1:5" x14ac:dyDescent="0.25">
      <c r="A556" s="452">
        <v>8105</v>
      </c>
      <c r="B556" s="452" t="s">
        <v>3162</v>
      </c>
      <c r="C556" s="453" t="s">
        <v>2861</v>
      </c>
      <c r="D556" s="64" t="s">
        <v>2684</v>
      </c>
      <c r="E556" s="64" t="s">
        <v>2685</v>
      </c>
    </row>
    <row r="557" spans="1:5" x14ac:dyDescent="0.25">
      <c r="A557" s="452">
        <v>8106</v>
      </c>
      <c r="B557" s="452" t="s">
        <v>3163</v>
      </c>
      <c r="C557" s="453" t="s">
        <v>2861</v>
      </c>
      <c r="D557" s="64" t="s">
        <v>2684</v>
      </c>
      <c r="E557" s="64" t="s">
        <v>2685</v>
      </c>
    </row>
    <row r="558" spans="1:5" x14ac:dyDescent="0.25">
      <c r="A558" s="452">
        <v>8107</v>
      </c>
      <c r="B558" s="452" t="s">
        <v>3164</v>
      </c>
      <c r="C558" s="453" t="s">
        <v>2861</v>
      </c>
      <c r="D558" s="64" t="s">
        <v>2684</v>
      </c>
      <c r="E558" s="64" t="s">
        <v>2685</v>
      </c>
    </row>
    <row r="559" spans="1:5" x14ac:dyDescent="0.25">
      <c r="A559" s="452">
        <v>8108</v>
      </c>
      <c r="B559" s="452" t="s">
        <v>3165</v>
      </c>
      <c r="C559" s="453" t="s">
        <v>2861</v>
      </c>
      <c r="D559" s="64" t="s">
        <v>2684</v>
      </c>
      <c r="E559" s="64" t="s">
        <v>2685</v>
      </c>
    </row>
    <row r="560" spans="1:5" x14ac:dyDescent="0.25">
      <c r="A560" s="452">
        <v>8109</v>
      </c>
      <c r="B560" s="452" t="s">
        <v>3166</v>
      </c>
      <c r="C560" s="453" t="s">
        <v>2861</v>
      </c>
      <c r="D560" s="64" t="s">
        <v>2684</v>
      </c>
      <c r="E560" s="64" t="s">
        <v>2685</v>
      </c>
    </row>
    <row r="561" spans="1:5" x14ac:dyDescent="0.25">
      <c r="A561" s="452">
        <v>8110</v>
      </c>
      <c r="B561" s="452" t="s">
        <v>3167</v>
      </c>
      <c r="C561" s="453" t="s">
        <v>2861</v>
      </c>
      <c r="D561" s="64" t="s">
        <v>2684</v>
      </c>
      <c r="E561" s="64" t="s">
        <v>2685</v>
      </c>
    </row>
    <row r="562" spans="1:5" x14ac:dyDescent="0.25">
      <c r="A562" s="452">
        <v>8111</v>
      </c>
      <c r="B562" s="452" t="s">
        <v>3168</v>
      </c>
      <c r="C562" s="453" t="s">
        <v>2861</v>
      </c>
      <c r="D562" s="64" t="s">
        <v>2684</v>
      </c>
      <c r="E562" s="64" t="s">
        <v>2685</v>
      </c>
    </row>
    <row r="563" spans="1:5" x14ac:dyDescent="0.25">
      <c r="A563" s="452">
        <v>8112</v>
      </c>
      <c r="B563" s="452" t="s">
        <v>3169</v>
      </c>
      <c r="C563" s="453" t="s">
        <v>2861</v>
      </c>
      <c r="D563" s="64" t="s">
        <v>2684</v>
      </c>
      <c r="E563" s="64" t="s">
        <v>2685</v>
      </c>
    </row>
    <row r="564" spans="1:5" x14ac:dyDescent="0.25">
      <c r="A564" s="452">
        <v>8113</v>
      </c>
      <c r="B564" s="452" t="s">
        <v>3170</v>
      </c>
      <c r="C564" s="453" t="s">
        <v>2861</v>
      </c>
      <c r="D564" s="64" t="s">
        <v>2684</v>
      </c>
      <c r="E564" s="64" t="s">
        <v>2685</v>
      </c>
    </row>
    <row r="565" spans="1:5" x14ac:dyDescent="0.25">
      <c r="A565" s="452">
        <v>8114</v>
      </c>
      <c r="B565" s="452" t="s">
        <v>3171</v>
      </c>
      <c r="C565" s="453" t="s">
        <v>2861</v>
      </c>
      <c r="D565" s="64" t="s">
        <v>2684</v>
      </c>
      <c r="E565" s="64" t="s">
        <v>2685</v>
      </c>
    </row>
    <row r="566" spans="1:5" x14ac:dyDescent="0.25">
      <c r="A566" s="452">
        <v>8115</v>
      </c>
      <c r="B566" s="452" t="s">
        <v>3172</v>
      </c>
      <c r="C566" s="453" t="s">
        <v>2861</v>
      </c>
      <c r="D566" s="64" t="s">
        <v>2684</v>
      </c>
      <c r="E566" s="64" t="s">
        <v>2685</v>
      </c>
    </row>
    <row r="567" spans="1:5" x14ac:dyDescent="0.25">
      <c r="A567" s="452">
        <v>8116</v>
      </c>
      <c r="B567" s="452" t="s">
        <v>3173</v>
      </c>
      <c r="C567" s="453" t="s">
        <v>2861</v>
      </c>
      <c r="D567" s="64" t="s">
        <v>2684</v>
      </c>
      <c r="E567" s="64" t="s">
        <v>2685</v>
      </c>
    </row>
    <row r="568" spans="1:5" x14ac:dyDescent="0.25">
      <c r="A568" s="452">
        <v>8117</v>
      </c>
      <c r="B568" s="452" t="s">
        <v>3174</v>
      </c>
      <c r="C568" s="453" t="s">
        <v>2861</v>
      </c>
      <c r="D568" s="64" t="s">
        <v>2684</v>
      </c>
      <c r="E568" s="64" t="s">
        <v>2685</v>
      </c>
    </row>
    <row r="569" spans="1:5" x14ac:dyDescent="0.25">
      <c r="A569" s="452">
        <v>8118</v>
      </c>
      <c r="B569" s="452" t="s">
        <v>3175</v>
      </c>
      <c r="C569" s="453" t="s">
        <v>2861</v>
      </c>
      <c r="D569" s="64" t="s">
        <v>2684</v>
      </c>
      <c r="E569" s="64" t="s">
        <v>2685</v>
      </c>
    </row>
    <row r="570" spans="1:5" x14ac:dyDescent="0.25">
      <c r="A570" s="452">
        <v>8119</v>
      </c>
      <c r="B570" s="452" t="s">
        <v>3176</v>
      </c>
      <c r="C570" s="453" t="s">
        <v>2861</v>
      </c>
      <c r="D570" s="64" t="s">
        <v>2684</v>
      </c>
      <c r="E570" s="64" t="s">
        <v>2685</v>
      </c>
    </row>
    <row r="571" spans="1:5" x14ac:dyDescent="0.25">
      <c r="A571" s="452">
        <v>8120</v>
      </c>
      <c r="B571" s="452" t="s">
        <v>3177</v>
      </c>
      <c r="C571" s="453" t="s">
        <v>2861</v>
      </c>
      <c r="D571" s="64" t="s">
        <v>2684</v>
      </c>
      <c r="E571" s="64" t="s">
        <v>2685</v>
      </c>
    </row>
    <row r="572" spans="1:5" x14ac:dyDescent="0.25">
      <c r="A572" s="452">
        <v>8121</v>
      </c>
      <c r="B572" s="452" t="s">
        <v>3178</v>
      </c>
      <c r="C572" s="453" t="s">
        <v>2861</v>
      </c>
      <c r="D572" s="64" t="s">
        <v>2684</v>
      </c>
      <c r="E572" s="64" t="s">
        <v>2685</v>
      </c>
    </row>
    <row r="573" spans="1:5" x14ac:dyDescent="0.25">
      <c r="A573" s="452">
        <v>8122</v>
      </c>
      <c r="B573" s="452" t="s">
        <v>3179</v>
      </c>
      <c r="C573" s="453" t="s">
        <v>2861</v>
      </c>
      <c r="D573" s="64" t="s">
        <v>2684</v>
      </c>
      <c r="E573" s="64" t="s">
        <v>2685</v>
      </c>
    </row>
    <row r="574" spans="1:5" x14ac:dyDescent="0.25">
      <c r="A574" s="452">
        <v>8123</v>
      </c>
      <c r="B574" s="452" t="s">
        <v>3180</v>
      </c>
      <c r="C574" s="453" t="s">
        <v>2861</v>
      </c>
      <c r="D574" s="64" t="s">
        <v>2684</v>
      </c>
      <c r="E574" s="64" t="s">
        <v>2685</v>
      </c>
    </row>
    <row r="575" spans="1:5" x14ac:dyDescent="0.25">
      <c r="A575" s="452">
        <v>8124</v>
      </c>
      <c r="B575" s="452" t="s">
        <v>3181</v>
      </c>
      <c r="C575" s="453" t="s">
        <v>2861</v>
      </c>
      <c r="D575" s="64" t="s">
        <v>2684</v>
      </c>
      <c r="E575" s="64" t="s">
        <v>2685</v>
      </c>
    </row>
    <row r="576" spans="1:5" x14ac:dyDescent="0.25">
      <c r="A576" s="452">
        <v>8126</v>
      </c>
      <c r="B576" s="452" t="s">
        <v>3182</v>
      </c>
      <c r="C576" s="453" t="s">
        <v>2861</v>
      </c>
      <c r="D576" s="64" t="s">
        <v>2684</v>
      </c>
      <c r="E576" s="64" t="s">
        <v>2685</v>
      </c>
    </row>
    <row r="577" spans="1:5" x14ac:dyDescent="0.25">
      <c r="A577" s="452">
        <v>8127</v>
      </c>
      <c r="B577" s="452" t="s">
        <v>3183</v>
      </c>
      <c r="C577" s="453" t="s">
        <v>2861</v>
      </c>
      <c r="D577" s="64" t="s">
        <v>2684</v>
      </c>
      <c r="E577" s="64" t="s">
        <v>2685</v>
      </c>
    </row>
    <row r="578" spans="1:5" x14ac:dyDescent="0.25">
      <c r="A578" s="452">
        <v>8128</v>
      </c>
      <c r="B578" s="452" t="s">
        <v>3184</v>
      </c>
      <c r="C578" s="453" t="s">
        <v>2861</v>
      </c>
      <c r="D578" s="64" t="s">
        <v>2684</v>
      </c>
      <c r="E578" s="64" t="s">
        <v>2685</v>
      </c>
    </row>
    <row r="579" spans="1:5" x14ac:dyDescent="0.25">
      <c r="A579" s="452">
        <v>8129</v>
      </c>
      <c r="B579" s="452" t="s">
        <v>3185</v>
      </c>
      <c r="C579" s="453" t="s">
        <v>2861</v>
      </c>
      <c r="D579" s="64" t="s">
        <v>2684</v>
      </c>
      <c r="E579" s="64" t="s">
        <v>2685</v>
      </c>
    </row>
    <row r="580" spans="1:5" x14ac:dyDescent="0.25">
      <c r="A580" s="452">
        <v>8130</v>
      </c>
      <c r="B580" s="452" t="s">
        <v>3186</v>
      </c>
      <c r="C580" s="453" t="s">
        <v>2861</v>
      </c>
      <c r="D580" s="64" t="s">
        <v>2684</v>
      </c>
      <c r="E580" s="64" t="s">
        <v>2685</v>
      </c>
    </row>
    <row r="581" spans="1:5" x14ac:dyDescent="0.25">
      <c r="A581" s="452">
        <v>8131</v>
      </c>
      <c r="B581" s="452" t="s">
        <v>3187</v>
      </c>
      <c r="C581" s="453" t="s">
        <v>2861</v>
      </c>
      <c r="D581" s="64" t="s">
        <v>2684</v>
      </c>
      <c r="E581" s="64" t="s">
        <v>2685</v>
      </c>
    </row>
    <row r="582" spans="1:5" x14ac:dyDescent="0.25">
      <c r="A582" s="452">
        <v>8132</v>
      </c>
      <c r="B582" s="452" t="s">
        <v>3188</v>
      </c>
      <c r="C582" s="453" t="s">
        <v>2861</v>
      </c>
      <c r="D582" s="64" t="s">
        <v>2684</v>
      </c>
      <c r="E582" s="64" t="s">
        <v>2685</v>
      </c>
    </row>
    <row r="583" spans="1:5" x14ac:dyDescent="0.25">
      <c r="A583" s="452">
        <v>8133</v>
      </c>
      <c r="B583" s="452" t="s">
        <v>3189</v>
      </c>
      <c r="C583" s="453" t="s">
        <v>2861</v>
      </c>
      <c r="D583" s="64" t="s">
        <v>2684</v>
      </c>
      <c r="E583" s="64" t="s">
        <v>2685</v>
      </c>
    </row>
    <row r="584" spans="1:5" x14ac:dyDescent="0.25">
      <c r="A584" s="452">
        <v>8134</v>
      </c>
      <c r="B584" s="452" t="s">
        <v>3190</v>
      </c>
      <c r="C584" s="453" t="s">
        <v>2861</v>
      </c>
      <c r="D584" s="64" t="s">
        <v>2684</v>
      </c>
      <c r="E584" s="64" t="s">
        <v>2685</v>
      </c>
    </row>
    <row r="585" spans="1:5" x14ac:dyDescent="0.25">
      <c r="A585" s="452">
        <v>8135</v>
      </c>
      <c r="B585" s="452" t="s">
        <v>3191</v>
      </c>
      <c r="C585" s="453" t="s">
        <v>2861</v>
      </c>
      <c r="D585" s="64" t="s">
        <v>2684</v>
      </c>
      <c r="E585" s="64" t="s">
        <v>2685</v>
      </c>
    </row>
    <row r="586" spans="1:5" x14ac:dyDescent="0.25">
      <c r="A586" s="452">
        <v>8136</v>
      </c>
      <c r="B586" s="452" t="s">
        <v>3192</v>
      </c>
      <c r="C586" s="453" t="s">
        <v>2861</v>
      </c>
      <c r="D586" s="64" t="s">
        <v>2684</v>
      </c>
      <c r="E586" s="64" t="s">
        <v>2685</v>
      </c>
    </row>
    <row r="587" spans="1:5" x14ac:dyDescent="0.25">
      <c r="A587" s="452">
        <v>8137</v>
      </c>
      <c r="B587" s="452" t="s">
        <v>3193</v>
      </c>
      <c r="C587" s="453" t="s">
        <v>2861</v>
      </c>
      <c r="D587" s="64" t="s">
        <v>2684</v>
      </c>
      <c r="E587" s="64" t="s">
        <v>2685</v>
      </c>
    </row>
    <row r="588" spans="1:5" x14ac:dyDescent="0.25">
      <c r="A588" s="452">
        <v>8138</v>
      </c>
      <c r="B588" s="452" t="s">
        <v>3194</v>
      </c>
      <c r="C588" s="453" t="s">
        <v>2861</v>
      </c>
      <c r="D588" s="64" t="s">
        <v>2684</v>
      </c>
      <c r="E588" s="64" t="s">
        <v>2685</v>
      </c>
    </row>
    <row r="589" spans="1:5" x14ac:dyDescent="0.25">
      <c r="A589" s="452">
        <v>8139</v>
      </c>
      <c r="B589" s="452" t="s">
        <v>3195</v>
      </c>
      <c r="C589" s="453" t="s">
        <v>2861</v>
      </c>
      <c r="D589" s="64" t="s">
        <v>2684</v>
      </c>
      <c r="E589" s="64" t="s">
        <v>2685</v>
      </c>
    </row>
    <row r="590" spans="1:5" x14ac:dyDescent="0.25">
      <c r="A590" s="452">
        <v>8140</v>
      </c>
      <c r="B590" s="452" t="s">
        <v>3196</v>
      </c>
      <c r="C590" s="453" t="s">
        <v>2861</v>
      </c>
      <c r="D590" s="64" t="s">
        <v>2684</v>
      </c>
      <c r="E590" s="64" t="s">
        <v>2685</v>
      </c>
    </row>
    <row r="591" spans="1:5" x14ac:dyDescent="0.25">
      <c r="A591" s="452">
        <v>8141</v>
      </c>
      <c r="B591" s="452" t="s">
        <v>3197</v>
      </c>
      <c r="C591" s="453" t="s">
        <v>2861</v>
      </c>
      <c r="D591" s="64" t="s">
        <v>2684</v>
      </c>
      <c r="E591" s="64" t="s">
        <v>2685</v>
      </c>
    </row>
    <row r="592" spans="1:5" x14ac:dyDescent="0.25">
      <c r="A592" s="452">
        <v>8142</v>
      </c>
      <c r="B592" s="452" t="s">
        <v>3198</v>
      </c>
      <c r="C592" s="453" t="s">
        <v>2861</v>
      </c>
      <c r="D592" s="64" t="s">
        <v>2684</v>
      </c>
      <c r="E592" s="64" t="s">
        <v>2685</v>
      </c>
    </row>
    <row r="593" spans="1:5" x14ac:dyDescent="0.25">
      <c r="A593" s="452">
        <v>8143</v>
      </c>
      <c r="B593" s="452" t="s">
        <v>3199</v>
      </c>
      <c r="C593" s="453" t="s">
        <v>2861</v>
      </c>
      <c r="D593" s="64" t="s">
        <v>2684</v>
      </c>
      <c r="E593" s="64" t="s">
        <v>2685</v>
      </c>
    </row>
    <row r="594" spans="1:5" x14ac:dyDescent="0.25">
      <c r="A594" s="452">
        <v>8144</v>
      </c>
      <c r="B594" s="452" t="s">
        <v>3200</v>
      </c>
      <c r="C594" s="453" t="s">
        <v>2861</v>
      </c>
      <c r="D594" s="64" t="s">
        <v>2684</v>
      </c>
      <c r="E594" s="64" t="s">
        <v>2685</v>
      </c>
    </row>
    <row r="595" spans="1:5" x14ac:dyDescent="0.25">
      <c r="A595" s="452">
        <v>8145</v>
      </c>
      <c r="B595" s="452" t="s">
        <v>3201</v>
      </c>
      <c r="C595" s="453" t="s">
        <v>2861</v>
      </c>
      <c r="D595" s="64" t="s">
        <v>2684</v>
      </c>
      <c r="E595" s="64" t="s">
        <v>2685</v>
      </c>
    </row>
    <row r="596" spans="1:5" x14ac:dyDescent="0.25">
      <c r="A596" s="452">
        <v>8146</v>
      </c>
      <c r="B596" s="452" t="s">
        <v>3202</v>
      </c>
      <c r="C596" s="453" t="s">
        <v>2861</v>
      </c>
      <c r="D596" s="64" t="s">
        <v>2684</v>
      </c>
      <c r="E596" s="64" t="s">
        <v>2685</v>
      </c>
    </row>
    <row r="597" spans="1:5" x14ac:dyDescent="0.25">
      <c r="A597" s="452">
        <v>8147</v>
      </c>
      <c r="B597" s="452" t="s">
        <v>3203</v>
      </c>
      <c r="C597" s="453" t="s">
        <v>2861</v>
      </c>
      <c r="D597" s="64" t="s">
        <v>2684</v>
      </c>
      <c r="E597" s="64" t="s">
        <v>2685</v>
      </c>
    </row>
    <row r="598" spans="1:5" x14ac:dyDescent="0.25">
      <c r="A598" s="452">
        <v>8148</v>
      </c>
      <c r="B598" s="452" t="s">
        <v>3204</v>
      </c>
      <c r="C598" s="453" t="s">
        <v>2861</v>
      </c>
      <c r="D598" s="64" t="s">
        <v>2684</v>
      </c>
      <c r="E598" s="64" t="s">
        <v>2685</v>
      </c>
    </row>
    <row r="599" spans="1:5" x14ac:dyDescent="0.25">
      <c r="A599" s="452">
        <v>8149</v>
      </c>
      <c r="B599" s="452" t="s">
        <v>3205</v>
      </c>
      <c r="C599" s="453" t="s">
        <v>2861</v>
      </c>
      <c r="D599" s="64" t="s">
        <v>2684</v>
      </c>
      <c r="E599" s="64" t="s">
        <v>2685</v>
      </c>
    </row>
    <row r="600" spans="1:5" x14ac:dyDescent="0.25">
      <c r="A600" s="452">
        <v>8150</v>
      </c>
      <c r="B600" s="452" t="s">
        <v>3206</v>
      </c>
      <c r="C600" s="453" t="s">
        <v>2861</v>
      </c>
      <c r="D600" s="64" t="s">
        <v>2684</v>
      </c>
      <c r="E600" s="64" t="s">
        <v>2685</v>
      </c>
    </row>
    <row r="601" spans="1:5" x14ac:dyDescent="0.25">
      <c r="A601" s="452">
        <v>8151</v>
      </c>
      <c r="B601" s="452" t="s">
        <v>3207</v>
      </c>
      <c r="C601" s="453" t="s">
        <v>2861</v>
      </c>
      <c r="D601" s="64" t="s">
        <v>2684</v>
      </c>
      <c r="E601" s="64" t="s">
        <v>2685</v>
      </c>
    </row>
    <row r="602" spans="1:5" x14ac:dyDescent="0.25">
      <c r="A602" s="452">
        <v>8152</v>
      </c>
      <c r="B602" s="452" t="s">
        <v>3208</v>
      </c>
      <c r="C602" s="453" t="s">
        <v>2861</v>
      </c>
      <c r="D602" s="64" t="s">
        <v>2684</v>
      </c>
      <c r="E602" s="64" t="s">
        <v>2685</v>
      </c>
    </row>
    <row r="603" spans="1:5" x14ac:dyDescent="0.25">
      <c r="A603" s="452">
        <v>8153</v>
      </c>
      <c r="B603" s="452" t="s">
        <v>3209</v>
      </c>
      <c r="C603" s="453" t="s">
        <v>2861</v>
      </c>
      <c r="D603" s="64" t="s">
        <v>2684</v>
      </c>
      <c r="E603" s="64" t="s">
        <v>2685</v>
      </c>
    </row>
    <row r="604" spans="1:5" x14ac:dyDescent="0.25">
      <c r="A604" s="452">
        <v>8154</v>
      </c>
      <c r="B604" s="452" t="s">
        <v>3210</v>
      </c>
      <c r="C604" s="453" t="s">
        <v>2861</v>
      </c>
      <c r="D604" s="64" t="s">
        <v>2684</v>
      </c>
      <c r="E604" s="64" t="s">
        <v>2685</v>
      </c>
    </row>
    <row r="605" spans="1:5" x14ac:dyDescent="0.25">
      <c r="A605" s="452">
        <v>8155</v>
      </c>
      <c r="B605" s="452" t="s">
        <v>3194</v>
      </c>
      <c r="C605" s="453" t="s">
        <v>2861</v>
      </c>
      <c r="D605" s="64" t="s">
        <v>2684</v>
      </c>
      <c r="E605" s="64" t="s">
        <v>2685</v>
      </c>
    </row>
    <row r="606" spans="1:5" x14ac:dyDescent="0.25">
      <c r="A606" s="452">
        <v>8300</v>
      </c>
      <c r="B606" s="452" t="s">
        <v>3211</v>
      </c>
      <c r="C606" s="453" t="s">
        <v>2861</v>
      </c>
      <c r="D606" s="64" t="s">
        <v>2684</v>
      </c>
      <c r="E606" s="64" t="s">
        <v>2685</v>
      </c>
    </row>
    <row r="607" spans="1:5" x14ac:dyDescent="0.25">
      <c r="A607" s="452">
        <v>8301</v>
      </c>
      <c r="B607" s="452" t="s">
        <v>3212</v>
      </c>
      <c r="C607" s="453" t="s">
        <v>2861</v>
      </c>
      <c r="D607" s="64" t="s">
        <v>2684</v>
      </c>
      <c r="E607" s="64" t="s">
        <v>2685</v>
      </c>
    </row>
    <row r="608" spans="1:5" x14ac:dyDescent="0.25">
      <c r="A608" s="452">
        <v>8302</v>
      </c>
      <c r="B608" s="452" t="s">
        <v>3213</v>
      </c>
      <c r="C608" s="453" t="s">
        <v>2861</v>
      </c>
      <c r="D608" s="64" t="s">
        <v>2684</v>
      </c>
      <c r="E608" s="64" t="s">
        <v>2685</v>
      </c>
    </row>
    <row r="609" spans="1:5" x14ac:dyDescent="0.25">
      <c r="A609" s="452">
        <v>8303</v>
      </c>
      <c r="B609" s="452" t="s">
        <v>3214</v>
      </c>
      <c r="C609" s="453" t="s">
        <v>2861</v>
      </c>
      <c r="D609" s="64" t="s">
        <v>2684</v>
      </c>
      <c r="E609" s="64" t="s">
        <v>2685</v>
      </c>
    </row>
    <row r="610" spans="1:5" x14ac:dyDescent="0.25">
      <c r="A610" s="452">
        <v>8304</v>
      </c>
      <c r="B610" s="452" t="s">
        <v>3215</v>
      </c>
      <c r="C610" s="453" t="s">
        <v>2861</v>
      </c>
      <c r="D610" s="64" t="s">
        <v>2684</v>
      </c>
      <c r="E610" s="64" t="s">
        <v>2685</v>
      </c>
    </row>
    <row r="611" spans="1:5" x14ac:dyDescent="0.25">
      <c r="A611" s="452">
        <v>8305</v>
      </c>
      <c r="B611" s="452" t="s">
        <v>3216</v>
      </c>
      <c r="C611" s="453" t="s">
        <v>2861</v>
      </c>
      <c r="D611" s="64" t="s">
        <v>2684</v>
      </c>
      <c r="E611" s="64" t="s">
        <v>2685</v>
      </c>
    </row>
    <row r="612" spans="1:5" x14ac:dyDescent="0.25">
      <c r="A612" s="452">
        <v>8306</v>
      </c>
      <c r="B612" s="452" t="s">
        <v>2776</v>
      </c>
      <c r="C612" s="453" t="s">
        <v>2861</v>
      </c>
      <c r="D612" s="64" t="s">
        <v>2684</v>
      </c>
      <c r="E612" s="64" t="s">
        <v>2685</v>
      </c>
    </row>
    <row r="613" spans="1:5" x14ac:dyDescent="0.25">
      <c r="A613" s="452">
        <v>8307</v>
      </c>
      <c r="B613" s="452" t="s">
        <v>3217</v>
      </c>
      <c r="C613" s="453" t="s">
        <v>2861</v>
      </c>
      <c r="D613" s="64" t="s">
        <v>2684</v>
      </c>
      <c r="E613" s="64" t="s">
        <v>2685</v>
      </c>
    </row>
    <row r="614" spans="1:5" x14ac:dyDescent="0.25">
      <c r="A614" s="452">
        <v>8308</v>
      </c>
      <c r="B614" s="452" t="s">
        <v>3218</v>
      </c>
      <c r="C614" s="453" t="s">
        <v>2861</v>
      </c>
      <c r="D614" s="64" t="s">
        <v>2684</v>
      </c>
      <c r="E614" s="64" t="s">
        <v>2685</v>
      </c>
    </row>
    <row r="615" spans="1:5" x14ac:dyDescent="0.25">
      <c r="A615" s="452">
        <v>8309</v>
      </c>
      <c r="B615" s="452" t="s">
        <v>3219</v>
      </c>
      <c r="C615" s="453" t="s">
        <v>2861</v>
      </c>
      <c r="D615" s="64" t="s">
        <v>2684</v>
      </c>
      <c r="E615" s="64" t="s">
        <v>2685</v>
      </c>
    </row>
    <row r="616" spans="1:5" x14ac:dyDescent="0.25">
      <c r="A616" s="452">
        <v>8310</v>
      </c>
      <c r="B616" s="452" t="s">
        <v>3220</v>
      </c>
      <c r="C616" s="453" t="s">
        <v>2861</v>
      </c>
      <c r="D616" s="64" t="s">
        <v>2684</v>
      </c>
      <c r="E616" s="64" t="s">
        <v>2685</v>
      </c>
    </row>
    <row r="617" spans="1:5" x14ac:dyDescent="0.25">
      <c r="A617" s="452">
        <v>8311</v>
      </c>
      <c r="B617" s="452" t="s">
        <v>3221</v>
      </c>
      <c r="C617" s="453" t="s">
        <v>2861</v>
      </c>
      <c r="D617" s="64" t="s">
        <v>2684</v>
      </c>
      <c r="E617" s="64" t="s">
        <v>2685</v>
      </c>
    </row>
    <row r="618" spans="1:5" x14ac:dyDescent="0.25">
      <c r="A618" s="452">
        <v>8312</v>
      </c>
      <c r="B618" s="452" t="s">
        <v>3222</v>
      </c>
      <c r="C618" s="453" t="s">
        <v>2861</v>
      </c>
      <c r="D618" s="64" t="s">
        <v>2684</v>
      </c>
      <c r="E618" s="64" t="s">
        <v>2685</v>
      </c>
    </row>
    <row r="619" spans="1:5" x14ac:dyDescent="0.25">
      <c r="A619" s="452">
        <v>8313</v>
      </c>
      <c r="B619" s="452" t="s">
        <v>3223</v>
      </c>
      <c r="C619" s="453" t="s">
        <v>2861</v>
      </c>
      <c r="D619" s="64" t="s">
        <v>2684</v>
      </c>
      <c r="E619" s="64" t="s">
        <v>2685</v>
      </c>
    </row>
    <row r="620" spans="1:5" x14ac:dyDescent="0.25">
      <c r="A620" s="452">
        <v>8400</v>
      </c>
      <c r="B620" s="452" t="s">
        <v>3224</v>
      </c>
      <c r="C620" s="453" t="s">
        <v>2861</v>
      </c>
      <c r="D620" s="64" t="s">
        <v>2684</v>
      </c>
      <c r="E620" s="64" t="s">
        <v>2685</v>
      </c>
    </row>
    <row r="621" spans="1:5" x14ac:dyDescent="0.25">
      <c r="A621" s="452">
        <v>8401</v>
      </c>
      <c r="B621" s="452" t="s">
        <v>3225</v>
      </c>
      <c r="C621" s="453" t="s">
        <v>2861</v>
      </c>
      <c r="D621" s="64" t="s">
        <v>2684</v>
      </c>
      <c r="E621" s="64" t="s">
        <v>2685</v>
      </c>
    </row>
    <row r="622" spans="1:5" x14ac:dyDescent="0.25">
      <c r="A622" s="452">
        <v>8402</v>
      </c>
      <c r="B622" s="452" t="s">
        <v>3173</v>
      </c>
      <c r="C622" s="453" t="s">
        <v>2861</v>
      </c>
      <c r="D622" s="64" t="s">
        <v>2684</v>
      </c>
      <c r="E622" s="64" t="s">
        <v>2685</v>
      </c>
    </row>
    <row r="623" spans="1:5" x14ac:dyDescent="0.25">
      <c r="A623" s="452">
        <v>8403</v>
      </c>
      <c r="B623" s="452" t="s">
        <v>3226</v>
      </c>
      <c r="C623" s="453" t="s">
        <v>2861</v>
      </c>
      <c r="D623" s="64" t="s">
        <v>2684</v>
      </c>
      <c r="E623" s="64" t="s">
        <v>2685</v>
      </c>
    </row>
    <row r="624" spans="1:5" x14ac:dyDescent="0.25">
      <c r="A624" s="452">
        <v>8404</v>
      </c>
      <c r="B624" s="452" t="s">
        <v>3227</v>
      </c>
      <c r="C624" s="453" t="s">
        <v>2861</v>
      </c>
      <c r="D624" s="64" t="s">
        <v>2684</v>
      </c>
      <c r="E624" s="64" t="s">
        <v>2685</v>
      </c>
    </row>
    <row r="625" spans="1:5" x14ac:dyDescent="0.25">
      <c r="A625" s="452">
        <v>8405</v>
      </c>
      <c r="B625" s="452" t="s">
        <v>3228</v>
      </c>
      <c r="C625" s="453" t="s">
        <v>2861</v>
      </c>
      <c r="D625" s="64" t="s">
        <v>2684</v>
      </c>
      <c r="E625" s="64" t="s">
        <v>2685</v>
      </c>
    </row>
    <row r="626" spans="1:5" x14ac:dyDescent="0.25">
      <c r="A626" s="452">
        <v>8406</v>
      </c>
      <c r="B626" s="452" t="s">
        <v>3229</v>
      </c>
      <c r="C626" s="453" t="s">
        <v>2861</v>
      </c>
      <c r="D626" s="64" t="s">
        <v>2684</v>
      </c>
      <c r="E626" s="64" t="s">
        <v>2685</v>
      </c>
    </row>
    <row r="627" spans="1:5" x14ac:dyDescent="0.25">
      <c r="A627" s="452">
        <v>8407</v>
      </c>
      <c r="B627" s="452" t="s">
        <v>3230</v>
      </c>
      <c r="C627" s="453" t="s">
        <v>2861</v>
      </c>
      <c r="D627" s="64" t="s">
        <v>2684</v>
      </c>
      <c r="E627" s="64" t="s">
        <v>2685</v>
      </c>
    </row>
    <row r="628" spans="1:5" x14ac:dyDescent="0.25">
      <c r="A628" s="452">
        <v>8408</v>
      </c>
      <c r="B628" s="452" t="s">
        <v>3231</v>
      </c>
      <c r="C628" s="453" t="s">
        <v>2861</v>
      </c>
      <c r="D628" s="64" t="s">
        <v>2684</v>
      </c>
      <c r="E628" s="64" t="s">
        <v>2685</v>
      </c>
    </row>
    <row r="629" spans="1:5" x14ac:dyDescent="0.25">
      <c r="A629" s="452">
        <v>8409</v>
      </c>
      <c r="B629" s="452" t="s">
        <v>3232</v>
      </c>
      <c r="C629" s="453" t="s">
        <v>2861</v>
      </c>
      <c r="D629" s="64" t="s">
        <v>2684</v>
      </c>
      <c r="E629" s="64" t="s">
        <v>2685</v>
      </c>
    </row>
    <row r="630" spans="1:5" x14ac:dyDescent="0.25">
      <c r="A630" s="452">
        <v>8410</v>
      </c>
      <c r="B630" s="452" t="s">
        <v>3233</v>
      </c>
      <c r="C630" s="453" t="s">
        <v>2861</v>
      </c>
      <c r="D630" s="64" t="s">
        <v>2684</v>
      </c>
      <c r="E630" s="64" t="s">
        <v>2685</v>
      </c>
    </row>
    <row r="631" spans="1:5" x14ac:dyDescent="0.25">
      <c r="A631" s="452">
        <v>8411</v>
      </c>
      <c r="B631" s="452" t="s">
        <v>3234</v>
      </c>
      <c r="C631" s="453" t="s">
        <v>2861</v>
      </c>
      <c r="D631" s="64" t="s">
        <v>2684</v>
      </c>
      <c r="E631" s="64" t="s">
        <v>2685</v>
      </c>
    </row>
    <row r="632" spans="1:5" x14ac:dyDescent="0.25">
      <c r="A632" s="452">
        <v>8413</v>
      </c>
      <c r="B632" s="452" t="s">
        <v>3235</v>
      </c>
      <c r="C632" s="453" t="s">
        <v>2861</v>
      </c>
      <c r="D632" s="64" t="s">
        <v>2684</v>
      </c>
      <c r="E632" s="64" t="s">
        <v>2685</v>
      </c>
    </row>
    <row r="633" spans="1:5" x14ac:dyDescent="0.25">
      <c r="A633" s="452">
        <v>8600</v>
      </c>
      <c r="B633" s="452" t="s">
        <v>3236</v>
      </c>
      <c r="C633" s="453" t="s">
        <v>2861</v>
      </c>
      <c r="D633" s="64" t="s">
        <v>2684</v>
      </c>
      <c r="E633" s="64" t="s">
        <v>2685</v>
      </c>
    </row>
    <row r="634" spans="1:5" x14ac:dyDescent="0.25">
      <c r="A634" s="452">
        <v>8604</v>
      </c>
      <c r="B634" s="452" t="s">
        <v>3237</v>
      </c>
      <c r="C634" s="453" t="s">
        <v>2861</v>
      </c>
      <c r="D634" s="64" t="s">
        <v>2684</v>
      </c>
      <c r="E634" s="64" t="s">
        <v>2685</v>
      </c>
    </row>
    <row r="635" spans="1:5" x14ac:dyDescent="0.25">
      <c r="A635" s="452">
        <v>8605</v>
      </c>
      <c r="B635" s="452" t="s">
        <v>3238</v>
      </c>
      <c r="C635" s="453" t="s">
        <v>2861</v>
      </c>
      <c r="D635" s="64" t="s">
        <v>2684</v>
      </c>
      <c r="E635" s="64" t="s">
        <v>2685</v>
      </c>
    </row>
    <row r="636" spans="1:5" x14ac:dyDescent="0.25">
      <c r="A636" s="452">
        <v>8608</v>
      </c>
      <c r="B636" s="452" t="s">
        <v>3239</v>
      </c>
      <c r="C636" s="453" t="s">
        <v>2861</v>
      </c>
      <c r="D636" s="64" t="s">
        <v>2684</v>
      </c>
      <c r="E636" s="64" t="s">
        <v>2685</v>
      </c>
    </row>
    <row r="637" spans="1:5" x14ac:dyDescent="0.25">
      <c r="A637" s="452">
        <v>8609</v>
      </c>
      <c r="B637" s="452" t="s">
        <v>3240</v>
      </c>
      <c r="C637" s="453" t="s">
        <v>2861</v>
      </c>
      <c r="D637" s="64" t="s">
        <v>2684</v>
      </c>
      <c r="E637" s="64" t="s">
        <v>2685</v>
      </c>
    </row>
    <row r="638" spans="1:5" x14ac:dyDescent="0.25">
      <c r="A638" s="452">
        <v>8610</v>
      </c>
      <c r="B638" s="452" t="s">
        <v>3241</v>
      </c>
      <c r="C638" s="453" t="s">
        <v>2861</v>
      </c>
      <c r="D638" s="64" t="s">
        <v>2684</v>
      </c>
      <c r="E638" s="64" t="s">
        <v>2685</v>
      </c>
    </row>
    <row r="639" spans="1:5" x14ac:dyDescent="0.25">
      <c r="A639" s="452">
        <v>8611</v>
      </c>
      <c r="B639" s="452" t="s">
        <v>3242</v>
      </c>
      <c r="C639" s="453" t="s">
        <v>2861</v>
      </c>
      <c r="D639" s="64" t="s">
        <v>2684</v>
      </c>
      <c r="E639" s="64" t="s">
        <v>2685</v>
      </c>
    </row>
    <row r="640" spans="1:5" x14ac:dyDescent="0.25">
      <c r="A640" s="452">
        <v>8612</v>
      </c>
      <c r="B640" s="452" t="s">
        <v>3243</v>
      </c>
      <c r="C640" s="453" t="s">
        <v>2861</v>
      </c>
      <c r="D640" s="64" t="s">
        <v>2684</v>
      </c>
      <c r="E640" s="64" t="s">
        <v>2685</v>
      </c>
    </row>
    <row r="641" spans="1:5" x14ac:dyDescent="0.25">
      <c r="A641" s="452">
        <v>8613</v>
      </c>
      <c r="B641" s="452" t="s">
        <v>3244</v>
      </c>
      <c r="C641" s="453" t="s">
        <v>2861</v>
      </c>
      <c r="D641" s="64" t="s">
        <v>2684</v>
      </c>
      <c r="E641" s="64" t="s">
        <v>2685</v>
      </c>
    </row>
    <row r="642" spans="1:5" x14ac:dyDescent="0.25">
      <c r="A642" s="452">
        <v>8614</v>
      </c>
      <c r="B642" s="452" t="s">
        <v>3245</v>
      </c>
      <c r="C642" s="453" t="s">
        <v>2861</v>
      </c>
      <c r="D642" s="64" t="s">
        <v>2684</v>
      </c>
      <c r="E642" s="64" t="s">
        <v>2685</v>
      </c>
    </row>
    <row r="643" spans="1:5" x14ac:dyDescent="0.25">
      <c r="A643" s="452">
        <v>8615</v>
      </c>
      <c r="B643" s="452" t="s">
        <v>3246</v>
      </c>
      <c r="C643" s="453" t="s">
        <v>2861</v>
      </c>
      <c r="D643" s="64" t="s">
        <v>2684</v>
      </c>
      <c r="E643" s="64" t="s">
        <v>2685</v>
      </c>
    </row>
    <row r="644" spans="1:5" x14ac:dyDescent="0.25">
      <c r="A644" s="452">
        <v>8616</v>
      </c>
      <c r="B644" s="452" t="s">
        <v>3247</v>
      </c>
      <c r="C644" s="453" t="s">
        <v>2861</v>
      </c>
      <c r="D644" s="64" t="s">
        <v>2684</v>
      </c>
      <c r="E644" s="64" t="s">
        <v>2685</v>
      </c>
    </row>
    <row r="645" spans="1:5" x14ac:dyDescent="0.25">
      <c r="A645" s="452">
        <v>8620</v>
      </c>
      <c r="B645" s="452" t="s">
        <v>3248</v>
      </c>
      <c r="C645" s="453" t="s">
        <v>2861</v>
      </c>
      <c r="D645" s="64" t="s">
        <v>2684</v>
      </c>
      <c r="E645" s="64" t="s">
        <v>2685</v>
      </c>
    </row>
    <row r="646" spans="1:5" x14ac:dyDescent="0.25">
      <c r="A646" s="452">
        <v>8621</v>
      </c>
      <c r="B646" s="452" t="s">
        <v>3249</v>
      </c>
      <c r="C646" s="453" t="s">
        <v>2861</v>
      </c>
      <c r="D646" s="64" t="s">
        <v>2684</v>
      </c>
      <c r="E646" s="64" t="s">
        <v>2685</v>
      </c>
    </row>
    <row r="647" spans="1:5" x14ac:dyDescent="0.25">
      <c r="A647" s="452">
        <v>8622</v>
      </c>
      <c r="B647" s="452" t="s">
        <v>3250</v>
      </c>
      <c r="C647" s="453" t="s">
        <v>2861</v>
      </c>
      <c r="D647" s="64" t="s">
        <v>2684</v>
      </c>
      <c r="E647" s="64" t="s">
        <v>2685</v>
      </c>
    </row>
    <row r="648" spans="1:5" x14ac:dyDescent="0.25">
      <c r="A648" s="452">
        <v>8623</v>
      </c>
      <c r="B648" s="452" t="s">
        <v>3251</v>
      </c>
      <c r="C648" s="453" t="s">
        <v>2861</v>
      </c>
      <c r="D648" s="64" t="s">
        <v>2684</v>
      </c>
      <c r="E648" s="64" t="s">
        <v>2685</v>
      </c>
    </row>
    <row r="649" spans="1:5" x14ac:dyDescent="0.25">
      <c r="A649" s="452">
        <v>8624</v>
      </c>
      <c r="B649" s="452" t="s">
        <v>3252</v>
      </c>
      <c r="C649" s="453" t="s">
        <v>2861</v>
      </c>
      <c r="D649" s="64" t="s">
        <v>2684</v>
      </c>
      <c r="E649" s="64" t="s">
        <v>2685</v>
      </c>
    </row>
    <row r="650" spans="1:5" x14ac:dyDescent="0.25">
      <c r="A650" s="452">
        <v>8625</v>
      </c>
      <c r="B650" s="452" t="s">
        <v>3253</v>
      </c>
      <c r="C650" s="453" t="s">
        <v>2861</v>
      </c>
      <c r="D650" s="64" t="s">
        <v>2684</v>
      </c>
      <c r="E650" s="64" t="s">
        <v>2685</v>
      </c>
    </row>
    <row r="651" spans="1:5" x14ac:dyDescent="0.25">
      <c r="A651" s="452">
        <v>8627</v>
      </c>
      <c r="B651" s="452" t="s">
        <v>3254</v>
      </c>
      <c r="C651" s="453" t="s">
        <v>2861</v>
      </c>
      <c r="D651" s="64" t="s">
        <v>2684</v>
      </c>
      <c r="E651" s="64" t="s">
        <v>2685</v>
      </c>
    </row>
    <row r="652" spans="1:5" x14ac:dyDescent="0.25">
      <c r="A652" s="452">
        <v>8628</v>
      </c>
      <c r="B652" s="452" t="s">
        <v>3255</v>
      </c>
      <c r="C652" s="453" t="s">
        <v>2861</v>
      </c>
      <c r="D652" s="64" t="s">
        <v>2684</v>
      </c>
      <c r="E652" s="64" t="s">
        <v>2685</v>
      </c>
    </row>
    <row r="653" spans="1:5" x14ac:dyDescent="0.25">
      <c r="A653" s="452">
        <v>8631</v>
      </c>
      <c r="B653" s="452" t="s">
        <v>3256</v>
      </c>
      <c r="C653" s="453" t="s">
        <v>2861</v>
      </c>
      <c r="D653" s="64" t="s">
        <v>2684</v>
      </c>
      <c r="E653" s="64" t="s">
        <v>2685</v>
      </c>
    </row>
    <row r="654" spans="1:5" x14ac:dyDescent="0.25">
      <c r="A654" s="452">
        <v>9100</v>
      </c>
      <c r="B654" s="452" t="s">
        <v>3257</v>
      </c>
      <c r="C654" s="453" t="s">
        <v>2861</v>
      </c>
      <c r="D654" s="64" t="s">
        <v>2684</v>
      </c>
      <c r="E654" s="64" t="s">
        <v>2685</v>
      </c>
    </row>
    <row r="655" spans="1:5" x14ac:dyDescent="0.25">
      <c r="A655" s="452">
        <v>9101</v>
      </c>
      <c r="B655" s="452" t="s">
        <v>3258</v>
      </c>
      <c r="C655" s="453" t="s">
        <v>2861</v>
      </c>
      <c r="D655" s="64" t="s">
        <v>2684</v>
      </c>
      <c r="E655" s="64" t="s">
        <v>2685</v>
      </c>
    </row>
    <row r="656" spans="1:5" x14ac:dyDescent="0.25">
      <c r="A656" s="452">
        <v>9102</v>
      </c>
      <c r="B656" s="452" t="s">
        <v>3259</v>
      </c>
      <c r="C656" s="453" t="s">
        <v>2861</v>
      </c>
      <c r="D656" s="64" t="s">
        <v>2684</v>
      </c>
      <c r="E656" s="64" t="s">
        <v>2685</v>
      </c>
    </row>
    <row r="657" spans="1:5" x14ac:dyDescent="0.25">
      <c r="A657" s="452">
        <v>9103</v>
      </c>
      <c r="B657" s="452" t="s">
        <v>3260</v>
      </c>
      <c r="C657" s="453" t="s">
        <v>2861</v>
      </c>
      <c r="D657" s="64" t="s">
        <v>2684</v>
      </c>
      <c r="E657" s="64" t="s">
        <v>2685</v>
      </c>
    </row>
    <row r="658" spans="1:5" x14ac:dyDescent="0.25">
      <c r="A658" s="452">
        <v>9104</v>
      </c>
      <c r="B658" s="452" t="s">
        <v>3261</v>
      </c>
      <c r="C658" s="453" t="s">
        <v>2861</v>
      </c>
      <c r="D658" s="64" t="s">
        <v>2684</v>
      </c>
      <c r="E658" s="64" t="s">
        <v>2685</v>
      </c>
    </row>
    <row r="659" spans="1:5" x14ac:dyDescent="0.25">
      <c r="A659" s="452">
        <v>9105</v>
      </c>
      <c r="B659" s="452" t="s">
        <v>3262</v>
      </c>
      <c r="C659" s="453" t="s">
        <v>2861</v>
      </c>
      <c r="D659" s="64" t="s">
        <v>2684</v>
      </c>
      <c r="E659" s="64" t="s">
        <v>2685</v>
      </c>
    </row>
    <row r="660" spans="1:5" x14ac:dyDescent="0.25">
      <c r="A660" s="452">
        <v>9106</v>
      </c>
      <c r="B660" s="452" t="s">
        <v>3263</v>
      </c>
      <c r="C660" s="453" t="s">
        <v>2861</v>
      </c>
      <c r="D660" s="64" t="s">
        <v>2684</v>
      </c>
      <c r="E660" s="64" t="s">
        <v>2685</v>
      </c>
    </row>
    <row r="661" spans="1:5" x14ac:dyDescent="0.25">
      <c r="A661" s="452">
        <v>9107</v>
      </c>
      <c r="B661" s="452" t="s">
        <v>3264</v>
      </c>
      <c r="C661" s="453" t="s">
        <v>2861</v>
      </c>
      <c r="D661" s="64" t="s">
        <v>2684</v>
      </c>
      <c r="E661" s="64" t="s">
        <v>2685</v>
      </c>
    </row>
    <row r="662" spans="1:5" x14ac:dyDescent="0.25">
      <c r="A662" s="452">
        <v>9108</v>
      </c>
      <c r="B662" s="452" t="s">
        <v>3265</v>
      </c>
      <c r="C662" s="453" t="s">
        <v>2861</v>
      </c>
      <c r="D662" s="64" t="s">
        <v>2684</v>
      </c>
      <c r="E662" s="64" t="s">
        <v>2685</v>
      </c>
    </row>
    <row r="663" spans="1:5" x14ac:dyDescent="0.25">
      <c r="A663" s="452">
        <v>9109</v>
      </c>
      <c r="B663" s="452" t="s">
        <v>3266</v>
      </c>
      <c r="C663" s="453" t="s">
        <v>2861</v>
      </c>
      <c r="D663" s="64" t="s">
        <v>2684</v>
      </c>
      <c r="E663" s="64" t="s">
        <v>2685</v>
      </c>
    </row>
    <row r="664" spans="1:5" x14ac:dyDescent="0.25">
      <c r="A664" s="452">
        <v>9110</v>
      </c>
      <c r="B664" s="452" t="s">
        <v>3267</v>
      </c>
      <c r="C664" s="453" t="s">
        <v>2861</v>
      </c>
      <c r="D664" s="64" t="s">
        <v>2684</v>
      </c>
      <c r="E664" s="64" t="s">
        <v>2685</v>
      </c>
    </row>
    <row r="665" spans="1:5" x14ac:dyDescent="0.25">
      <c r="A665" s="452">
        <v>9111</v>
      </c>
      <c r="B665" s="452" t="s">
        <v>3268</v>
      </c>
      <c r="C665" s="453" t="s">
        <v>2861</v>
      </c>
      <c r="D665" s="64" t="s">
        <v>2684</v>
      </c>
      <c r="E665" s="64" t="s">
        <v>2685</v>
      </c>
    </row>
    <row r="666" spans="1:5" x14ac:dyDescent="0.25">
      <c r="A666" s="452">
        <v>9112</v>
      </c>
      <c r="B666" s="452" t="s">
        <v>3269</v>
      </c>
      <c r="C666" s="453" t="s">
        <v>2861</v>
      </c>
      <c r="D666" s="64" t="s">
        <v>2684</v>
      </c>
      <c r="E666" s="64" t="s">
        <v>2685</v>
      </c>
    </row>
    <row r="667" spans="1:5" x14ac:dyDescent="0.25">
      <c r="A667" s="452">
        <v>9113</v>
      </c>
      <c r="B667" s="452" t="s">
        <v>3270</v>
      </c>
      <c r="C667" s="453" t="s">
        <v>2861</v>
      </c>
      <c r="D667" s="64" t="s">
        <v>2684</v>
      </c>
      <c r="E667" s="64" t="s">
        <v>2685</v>
      </c>
    </row>
    <row r="668" spans="1:5" x14ac:dyDescent="0.25">
      <c r="A668" s="452">
        <v>9114</v>
      </c>
      <c r="B668" s="452" t="s">
        <v>3271</v>
      </c>
      <c r="C668" s="453" t="s">
        <v>2861</v>
      </c>
      <c r="D668" s="64" t="s">
        <v>2684</v>
      </c>
      <c r="E668" s="64" t="s">
        <v>2685</v>
      </c>
    </row>
    <row r="669" spans="1:5" x14ac:dyDescent="0.25">
      <c r="A669" s="452">
        <v>9115</v>
      </c>
      <c r="B669" s="452" t="s">
        <v>3272</v>
      </c>
      <c r="C669" s="453" t="s">
        <v>2861</v>
      </c>
      <c r="D669" s="64" t="s">
        <v>2684</v>
      </c>
      <c r="E669" s="64" t="s">
        <v>2685</v>
      </c>
    </row>
    <row r="670" spans="1:5" x14ac:dyDescent="0.25">
      <c r="A670" s="452">
        <v>9116</v>
      </c>
      <c r="B670" s="452" t="s">
        <v>3273</v>
      </c>
      <c r="C670" s="453" t="s">
        <v>2861</v>
      </c>
      <c r="D670" s="64" t="s">
        <v>2684</v>
      </c>
      <c r="E670" s="64" t="s">
        <v>2685</v>
      </c>
    </row>
    <row r="671" spans="1:5" x14ac:dyDescent="0.25">
      <c r="A671" s="452">
        <v>9117</v>
      </c>
      <c r="B671" s="452" t="s">
        <v>3274</v>
      </c>
      <c r="C671" s="453" t="s">
        <v>2861</v>
      </c>
      <c r="D671" s="64" t="s">
        <v>2684</v>
      </c>
      <c r="E671" s="64" t="s">
        <v>2685</v>
      </c>
    </row>
    <row r="672" spans="1:5" x14ac:dyDescent="0.25">
      <c r="A672" s="452">
        <v>9118</v>
      </c>
      <c r="B672" s="452" t="s">
        <v>3275</v>
      </c>
      <c r="C672" s="453" t="s">
        <v>2861</v>
      </c>
      <c r="D672" s="64" t="s">
        <v>2684</v>
      </c>
      <c r="E672" s="64" t="s">
        <v>2685</v>
      </c>
    </row>
    <row r="673" spans="1:5" x14ac:dyDescent="0.25">
      <c r="A673" s="452">
        <v>9119</v>
      </c>
      <c r="B673" s="452" t="s">
        <v>3276</v>
      </c>
      <c r="C673" s="453" t="s">
        <v>2861</v>
      </c>
      <c r="D673" s="64" t="s">
        <v>2684</v>
      </c>
      <c r="E673" s="64" t="s">
        <v>2685</v>
      </c>
    </row>
    <row r="674" spans="1:5" x14ac:dyDescent="0.25">
      <c r="A674" s="452">
        <v>9120</v>
      </c>
      <c r="B674" s="452" t="s">
        <v>3277</v>
      </c>
      <c r="C674" s="453" t="s">
        <v>2861</v>
      </c>
      <c r="D674" s="64" t="s">
        <v>2684</v>
      </c>
      <c r="E674" s="64" t="s">
        <v>2685</v>
      </c>
    </row>
    <row r="675" spans="1:5" x14ac:dyDescent="0.25">
      <c r="A675" s="452">
        <v>9121</v>
      </c>
      <c r="B675" s="452" t="s">
        <v>3278</v>
      </c>
      <c r="C675" s="453" t="s">
        <v>2861</v>
      </c>
      <c r="D675" s="64" t="s">
        <v>2684</v>
      </c>
      <c r="E675" s="64" t="s">
        <v>2685</v>
      </c>
    </row>
    <row r="676" spans="1:5" x14ac:dyDescent="0.25">
      <c r="A676" s="452">
        <v>9122</v>
      </c>
      <c r="B676" s="452" t="s">
        <v>3279</v>
      </c>
      <c r="C676" s="453" t="s">
        <v>2861</v>
      </c>
      <c r="D676" s="64" t="s">
        <v>2684</v>
      </c>
      <c r="E676" s="64" t="s">
        <v>2685</v>
      </c>
    </row>
    <row r="677" spans="1:5" x14ac:dyDescent="0.25">
      <c r="A677" s="452">
        <v>9123</v>
      </c>
      <c r="B677" s="452" t="s">
        <v>3280</v>
      </c>
      <c r="C677" s="453" t="s">
        <v>2861</v>
      </c>
      <c r="D677" s="64" t="s">
        <v>2684</v>
      </c>
      <c r="E677" s="64" t="s">
        <v>2685</v>
      </c>
    </row>
    <row r="678" spans="1:5" x14ac:dyDescent="0.25">
      <c r="A678" s="452">
        <v>9124</v>
      </c>
      <c r="B678" s="452" t="s">
        <v>3281</v>
      </c>
      <c r="C678" s="453" t="s">
        <v>2861</v>
      </c>
      <c r="D678" s="64" t="s">
        <v>2684</v>
      </c>
      <c r="E678" s="64" t="s">
        <v>2685</v>
      </c>
    </row>
    <row r="679" spans="1:5" x14ac:dyDescent="0.25">
      <c r="A679" s="452">
        <v>9126</v>
      </c>
      <c r="B679" s="452" t="s">
        <v>3282</v>
      </c>
      <c r="C679" s="453" t="s">
        <v>2861</v>
      </c>
      <c r="D679" s="64" t="s">
        <v>2684</v>
      </c>
      <c r="E679" s="64" t="s">
        <v>2685</v>
      </c>
    </row>
    <row r="680" spans="1:5" x14ac:dyDescent="0.25">
      <c r="A680" s="452">
        <v>9127</v>
      </c>
      <c r="B680" s="452" t="s">
        <v>3283</v>
      </c>
      <c r="C680" s="453" t="s">
        <v>2861</v>
      </c>
      <c r="D680" s="64" t="s">
        <v>2684</v>
      </c>
      <c r="E680" s="64" t="s">
        <v>2685</v>
      </c>
    </row>
    <row r="681" spans="1:5" x14ac:dyDescent="0.25">
      <c r="A681" s="452">
        <v>9128</v>
      </c>
      <c r="B681" s="452" t="s">
        <v>3284</v>
      </c>
      <c r="C681" s="453" t="s">
        <v>2861</v>
      </c>
      <c r="D681" s="64" t="s">
        <v>2684</v>
      </c>
      <c r="E681" s="64" t="s">
        <v>2685</v>
      </c>
    </row>
    <row r="682" spans="1:5" x14ac:dyDescent="0.25">
      <c r="A682" s="452">
        <v>9129</v>
      </c>
      <c r="B682" s="452" t="s">
        <v>3285</v>
      </c>
      <c r="C682" s="453" t="s">
        <v>2861</v>
      </c>
      <c r="D682" s="64" t="s">
        <v>2684</v>
      </c>
      <c r="E682" s="64" t="s">
        <v>2685</v>
      </c>
    </row>
    <row r="683" spans="1:5" x14ac:dyDescent="0.25">
      <c r="A683" s="452">
        <v>9130</v>
      </c>
      <c r="B683" s="452" t="s">
        <v>3286</v>
      </c>
      <c r="C683" s="453" t="s">
        <v>2861</v>
      </c>
      <c r="D683" s="64" t="s">
        <v>2684</v>
      </c>
      <c r="E683" s="64" t="s">
        <v>2685</v>
      </c>
    </row>
    <row r="684" spans="1:5" x14ac:dyDescent="0.25">
      <c r="A684" s="452">
        <v>9131</v>
      </c>
      <c r="B684" s="452" t="s">
        <v>3287</v>
      </c>
      <c r="C684" s="453" t="s">
        <v>2861</v>
      </c>
      <c r="D684" s="64" t="s">
        <v>2684</v>
      </c>
      <c r="E684" s="64" t="s">
        <v>2685</v>
      </c>
    </row>
    <row r="685" spans="1:5" x14ac:dyDescent="0.25">
      <c r="A685" s="452">
        <v>9132</v>
      </c>
      <c r="B685" s="452" t="s">
        <v>3288</v>
      </c>
      <c r="C685" s="453" t="s">
        <v>2861</v>
      </c>
      <c r="D685" s="64" t="s">
        <v>2684</v>
      </c>
      <c r="E685" s="64" t="s">
        <v>2685</v>
      </c>
    </row>
    <row r="686" spans="1:5" x14ac:dyDescent="0.25">
      <c r="A686" s="452">
        <v>9133</v>
      </c>
      <c r="B686" s="452" t="s">
        <v>3289</v>
      </c>
      <c r="C686" s="453" t="s">
        <v>2861</v>
      </c>
      <c r="D686" s="64" t="s">
        <v>2684</v>
      </c>
      <c r="E686" s="64" t="s">
        <v>2685</v>
      </c>
    </row>
    <row r="687" spans="1:5" x14ac:dyDescent="0.25">
      <c r="A687" s="452">
        <v>9134</v>
      </c>
      <c r="B687" s="452" t="s">
        <v>3290</v>
      </c>
      <c r="C687" s="453" t="s">
        <v>2861</v>
      </c>
      <c r="D687" s="64" t="s">
        <v>2684</v>
      </c>
      <c r="E687" s="64" t="s">
        <v>2685</v>
      </c>
    </row>
    <row r="688" spans="1:5" x14ac:dyDescent="0.25">
      <c r="A688" s="452">
        <v>9135</v>
      </c>
      <c r="B688" s="452" t="s">
        <v>3291</v>
      </c>
      <c r="C688" s="453" t="s">
        <v>2861</v>
      </c>
      <c r="D688" s="64" t="s">
        <v>2684</v>
      </c>
      <c r="E688" s="64" t="s">
        <v>2685</v>
      </c>
    </row>
    <row r="689" spans="1:5" x14ac:dyDescent="0.25">
      <c r="A689" s="452">
        <v>9136</v>
      </c>
      <c r="B689" s="452" t="s">
        <v>3292</v>
      </c>
      <c r="C689" s="453" t="s">
        <v>2861</v>
      </c>
      <c r="D689" s="64" t="s">
        <v>2684</v>
      </c>
      <c r="E689" s="64" t="s">
        <v>2685</v>
      </c>
    </row>
    <row r="690" spans="1:5" x14ac:dyDescent="0.25">
      <c r="A690" s="452">
        <v>9137</v>
      </c>
      <c r="B690" s="452" t="s">
        <v>3293</v>
      </c>
      <c r="C690" s="453" t="s">
        <v>2861</v>
      </c>
      <c r="D690" s="64" t="s">
        <v>2684</v>
      </c>
      <c r="E690" s="64" t="s">
        <v>2685</v>
      </c>
    </row>
    <row r="691" spans="1:5" x14ac:dyDescent="0.25">
      <c r="A691" s="452">
        <v>9138</v>
      </c>
      <c r="B691" s="452" t="s">
        <v>3294</v>
      </c>
      <c r="C691" s="453" t="s">
        <v>2861</v>
      </c>
      <c r="D691" s="64" t="s">
        <v>2684</v>
      </c>
      <c r="E691" s="64" t="s">
        <v>2685</v>
      </c>
    </row>
    <row r="692" spans="1:5" x14ac:dyDescent="0.25">
      <c r="A692" s="452">
        <v>9139</v>
      </c>
      <c r="B692" s="452" t="s">
        <v>3295</v>
      </c>
      <c r="C692" s="453" t="s">
        <v>2861</v>
      </c>
      <c r="D692" s="64" t="s">
        <v>2684</v>
      </c>
      <c r="E692" s="64" t="s">
        <v>2685</v>
      </c>
    </row>
    <row r="693" spans="1:5" x14ac:dyDescent="0.25">
      <c r="A693" s="452">
        <v>9140</v>
      </c>
      <c r="B693" s="452" t="s">
        <v>3296</v>
      </c>
      <c r="C693" s="453" t="s">
        <v>2861</v>
      </c>
      <c r="D693" s="64" t="s">
        <v>2684</v>
      </c>
      <c r="E693" s="64" t="s">
        <v>2685</v>
      </c>
    </row>
    <row r="694" spans="1:5" x14ac:dyDescent="0.25">
      <c r="A694" s="452">
        <v>9141</v>
      </c>
      <c r="B694" s="452" t="s">
        <v>3297</v>
      </c>
      <c r="C694" s="453" t="s">
        <v>2861</v>
      </c>
      <c r="D694" s="64" t="s">
        <v>2684</v>
      </c>
      <c r="E694" s="64" t="s">
        <v>2685</v>
      </c>
    </row>
    <row r="695" spans="1:5" x14ac:dyDescent="0.25">
      <c r="A695" s="452">
        <v>9142</v>
      </c>
      <c r="B695" s="452" t="s">
        <v>3298</v>
      </c>
      <c r="C695" s="453" t="s">
        <v>2861</v>
      </c>
      <c r="D695" s="64" t="s">
        <v>2684</v>
      </c>
      <c r="E695" s="64" t="s">
        <v>2685</v>
      </c>
    </row>
    <row r="696" spans="1:5" x14ac:dyDescent="0.25">
      <c r="A696" s="452">
        <v>9143</v>
      </c>
      <c r="B696" s="452" t="s">
        <v>3299</v>
      </c>
      <c r="C696" s="453" t="s">
        <v>2861</v>
      </c>
      <c r="D696" s="64" t="s">
        <v>2684</v>
      </c>
      <c r="E696" s="64" t="s">
        <v>2685</v>
      </c>
    </row>
    <row r="697" spans="1:5" x14ac:dyDescent="0.25">
      <c r="A697" s="452">
        <v>9144</v>
      </c>
      <c r="B697" s="452" t="s">
        <v>3300</v>
      </c>
      <c r="C697" s="453" t="s">
        <v>2861</v>
      </c>
      <c r="D697" s="64" t="s">
        <v>2684</v>
      </c>
      <c r="E697" s="64" t="s">
        <v>2685</v>
      </c>
    </row>
    <row r="698" spans="1:5" x14ac:dyDescent="0.25">
      <c r="A698" s="452">
        <v>9145</v>
      </c>
      <c r="B698" s="452" t="s">
        <v>3301</v>
      </c>
      <c r="C698" s="453" t="s">
        <v>2861</v>
      </c>
      <c r="D698" s="64" t="s">
        <v>2684</v>
      </c>
      <c r="E698" s="64" t="s">
        <v>2685</v>
      </c>
    </row>
    <row r="699" spans="1:5" x14ac:dyDescent="0.25">
      <c r="A699" s="452">
        <v>9146</v>
      </c>
      <c r="B699" s="452" t="s">
        <v>3302</v>
      </c>
      <c r="C699" s="453" t="s">
        <v>2861</v>
      </c>
      <c r="D699" s="64" t="s">
        <v>2684</v>
      </c>
      <c r="E699" s="64" t="s">
        <v>2685</v>
      </c>
    </row>
    <row r="700" spans="1:5" x14ac:dyDescent="0.25">
      <c r="A700" s="452">
        <v>9147</v>
      </c>
      <c r="B700" s="452" t="s">
        <v>3303</v>
      </c>
      <c r="C700" s="453" t="s">
        <v>2861</v>
      </c>
      <c r="D700" s="64" t="s">
        <v>2684</v>
      </c>
      <c r="E700" s="64" t="s">
        <v>2685</v>
      </c>
    </row>
    <row r="701" spans="1:5" x14ac:dyDescent="0.25">
      <c r="A701" s="452">
        <v>9148</v>
      </c>
      <c r="B701" s="452" t="s">
        <v>3304</v>
      </c>
      <c r="C701" s="453" t="s">
        <v>2861</v>
      </c>
      <c r="D701" s="64" t="s">
        <v>2684</v>
      </c>
      <c r="E701" s="64" t="s">
        <v>2685</v>
      </c>
    </row>
    <row r="702" spans="1:5" x14ac:dyDescent="0.25">
      <c r="A702" s="452">
        <v>9149</v>
      </c>
      <c r="B702" s="452" t="s">
        <v>3305</v>
      </c>
      <c r="C702" s="453" t="s">
        <v>2861</v>
      </c>
      <c r="D702" s="64" t="s">
        <v>2684</v>
      </c>
      <c r="E702" s="64" t="s">
        <v>2685</v>
      </c>
    </row>
    <row r="703" spans="1:5" x14ac:dyDescent="0.25">
      <c r="A703" s="452">
        <v>9150</v>
      </c>
      <c r="B703" s="452" t="s">
        <v>3306</v>
      </c>
      <c r="C703" s="453" t="s">
        <v>2861</v>
      </c>
      <c r="D703" s="64" t="s">
        <v>2684</v>
      </c>
      <c r="E703" s="64" t="s">
        <v>2685</v>
      </c>
    </row>
    <row r="704" spans="1:5" x14ac:dyDescent="0.25">
      <c r="A704" s="452">
        <v>9151</v>
      </c>
      <c r="B704" s="452" t="s">
        <v>3307</v>
      </c>
      <c r="C704" s="453" t="s">
        <v>2861</v>
      </c>
      <c r="D704" s="64" t="s">
        <v>2684</v>
      </c>
      <c r="E704" s="64" t="s">
        <v>2685</v>
      </c>
    </row>
    <row r="705" spans="1:5" x14ac:dyDescent="0.25">
      <c r="A705" s="452">
        <v>9152</v>
      </c>
      <c r="B705" s="452" t="s">
        <v>3308</v>
      </c>
      <c r="C705" s="453" t="s">
        <v>2861</v>
      </c>
      <c r="D705" s="64" t="s">
        <v>2684</v>
      </c>
      <c r="E705" s="64" t="s">
        <v>2685</v>
      </c>
    </row>
    <row r="706" spans="1:5" x14ac:dyDescent="0.25">
      <c r="A706" s="452">
        <v>9153</v>
      </c>
      <c r="B706" s="452" t="s">
        <v>3309</v>
      </c>
      <c r="C706" s="453" t="s">
        <v>2861</v>
      </c>
      <c r="D706" s="64" t="s">
        <v>2684</v>
      </c>
      <c r="E706" s="64" t="s">
        <v>2685</v>
      </c>
    </row>
    <row r="707" spans="1:5" x14ac:dyDescent="0.25">
      <c r="A707" s="452">
        <v>9154</v>
      </c>
      <c r="B707" s="452" t="s">
        <v>3310</v>
      </c>
      <c r="C707" s="453" t="s">
        <v>2861</v>
      </c>
      <c r="D707" s="64" t="s">
        <v>2684</v>
      </c>
      <c r="E707" s="64" t="s">
        <v>2685</v>
      </c>
    </row>
    <row r="708" spans="1:5" x14ac:dyDescent="0.25">
      <c r="A708" s="452">
        <v>9155</v>
      </c>
      <c r="B708" s="452" t="s">
        <v>3294</v>
      </c>
      <c r="C708" s="453" t="s">
        <v>2861</v>
      </c>
      <c r="D708" s="64" t="s">
        <v>2684</v>
      </c>
      <c r="E708" s="64" t="s">
        <v>2685</v>
      </c>
    </row>
    <row r="709" spans="1:5" x14ac:dyDescent="0.25">
      <c r="A709" s="452">
        <v>9161</v>
      </c>
      <c r="B709" s="452" t="s">
        <v>3311</v>
      </c>
      <c r="C709" s="453" t="s">
        <v>2861</v>
      </c>
      <c r="D709" s="64" t="s">
        <v>2684</v>
      </c>
      <c r="E709" s="64" t="s">
        <v>2685</v>
      </c>
    </row>
    <row r="710" spans="1:5" x14ac:dyDescent="0.25">
      <c r="A710" s="452">
        <v>9162</v>
      </c>
      <c r="B710" s="452" t="s">
        <v>3312</v>
      </c>
      <c r="C710" s="453" t="s">
        <v>2861</v>
      </c>
      <c r="D710" s="64" t="s">
        <v>2684</v>
      </c>
      <c r="E710" s="64" t="s">
        <v>2685</v>
      </c>
    </row>
    <row r="711" spans="1:5" x14ac:dyDescent="0.25">
      <c r="A711" s="452">
        <v>9163</v>
      </c>
      <c r="B711" s="452" t="s">
        <v>3313</v>
      </c>
      <c r="C711" s="453" t="s">
        <v>2861</v>
      </c>
      <c r="D711" s="64" t="s">
        <v>2684</v>
      </c>
      <c r="E711" s="64" t="s">
        <v>2685</v>
      </c>
    </row>
    <row r="712" spans="1:5" x14ac:dyDescent="0.25">
      <c r="A712" s="452">
        <v>9164</v>
      </c>
      <c r="B712" s="452" t="s">
        <v>3314</v>
      </c>
      <c r="C712" s="453" t="s">
        <v>2861</v>
      </c>
      <c r="D712" s="64" t="s">
        <v>2684</v>
      </c>
      <c r="E712" s="64" t="s">
        <v>2685</v>
      </c>
    </row>
    <row r="713" spans="1:5" x14ac:dyDescent="0.25">
      <c r="A713" s="452">
        <v>9165</v>
      </c>
      <c r="B713" s="452" t="s">
        <v>3315</v>
      </c>
      <c r="C713" s="453" t="s">
        <v>2861</v>
      </c>
      <c r="D713" s="64" t="s">
        <v>2684</v>
      </c>
      <c r="E713" s="64" t="s">
        <v>2685</v>
      </c>
    </row>
    <row r="714" spans="1:5" x14ac:dyDescent="0.25">
      <c r="A714" s="452">
        <v>9166</v>
      </c>
      <c r="B714" s="452" t="s">
        <v>3316</v>
      </c>
      <c r="C714" s="453" t="s">
        <v>2861</v>
      </c>
      <c r="D714" s="64" t="s">
        <v>2684</v>
      </c>
      <c r="E714" s="64" t="s">
        <v>2685</v>
      </c>
    </row>
    <row r="715" spans="1:5" x14ac:dyDescent="0.25">
      <c r="A715" s="452">
        <v>9167</v>
      </c>
      <c r="B715" s="452" t="s">
        <v>3317</v>
      </c>
      <c r="C715" s="453" t="s">
        <v>2861</v>
      </c>
      <c r="D715" s="64" t="s">
        <v>2684</v>
      </c>
      <c r="E715" s="64" t="s">
        <v>2685</v>
      </c>
    </row>
    <row r="716" spans="1:5" x14ac:dyDescent="0.25">
      <c r="A716" s="452">
        <v>9168</v>
      </c>
      <c r="B716" s="452" t="s">
        <v>3318</v>
      </c>
      <c r="C716" s="453" t="s">
        <v>2861</v>
      </c>
      <c r="D716" s="64" t="s">
        <v>2684</v>
      </c>
      <c r="E716" s="64" t="s">
        <v>2685</v>
      </c>
    </row>
    <row r="717" spans="1:5" x14ac:dyDescent="0.25">
      <c r="A717" s="452">
        <v>9169</v>
      </c>
      <c r="B717" s="452" t="s">
        <v>3319</v>
      </c>
      <c r="C717" s="453" t="s">
        <v>2861</v>
      </c>
      <c r="D717" s="64" t="s">
        <v>2684</v>
      </c>
      <c r="E717" s="64" t="s">
        <v>2685</v>
      </c>
    </row>
    <row r="718" spans="1:5" x14ac:dyDescent="0.25">
      <c r="A718" s="452">
        <v>9170</v>
      </c>
      <c r="B718" s="452" t="s">
        <v>3320</v>
      </c>
      <c r="C718" s="453" t="s">
        <v>2861</v>
      </c>
      <c r="D718" s="64" t="s">
        <v>2684</v>
      </c>
      <c r="E718" s="64" t="s">
        <v>2685</v>
      </c>
    </row>
    <row r="719" spans="1:5" x14ac:dyDescent="0.25">
      <c r="A719" s="452">
        <v>9171</v>
      </c>
      <c r="B719" s="452" t="s">
        <v>3321</v>
      </c>
      <c r="C719" s="453" t="s">
        <v>2861</v>
      </c>
      <c r="D719" s="64" t="s">
        <v>2684</v>
      </c>
      <c r="E719" s="64" t="s">
        <v>2685</v>
      </c>
    </row>
    <row r="720" spans="1:5" x14ac:dyDescent="0.25">
      <c r="A720" s="452">
        <v>9172</v>
      </c>
      <c r="B720" s="452" t="s">
        <v>3322</v>
      </c>
      <c r="C720" s="453" t="s">
        <v>2861</v>
      </c>
      <c r="D720" s="64" t="s">
        <v>2684</v>
      </c>
      <c r="E720" s="64" t="s">
        <v>2685</v>
      </c>
    </row>
    <row r="721" spans="1:5" x14ac:dyDescent="0.25">
      <c r="A721" s="452">
        <v>9173</v>
      </c>
      <c r="B721" s="452" t="s">
        <v>3323</v>
      </c>
      <c r="C721" s="453" t="s">
        <v>2861</v>
      </c>
      <c r="D721" s="64" t="s">
        <v>2684</v>
      </c>
      <c r="E721" s="64" t="s">
        <v>2685</v>
      </c>
    </row>
    <row r="722" spans="1:5" x14ac:dyDescent="0.25">
      <c r="A722" s="452">
        <v>9174</v>
      </c>
      <c r="B722" s="452" t="s">
        <v>3324</v>
      </c>
      <c r="C722" s="453" t="s">
        <v>2861</v>
      </c>
      <c r="D722" s="64" t="s">
        <v>2684</v>
      </c>
      <c r="E722" s="64" t="s">
        <v>2685</v>
      </c>
    </row>
    <row r="723" spans="1:5" x14ac:dyDescent="0.25">
      <c r="A723" s="452">
        <v>9175</v>
      </c>
      <c r="B723" s="452" t="s">
        <v>3325</v>
      </c>
      <c r="C723" s="453" t="s">
        <v>2861</v>
      </c>
      <c r="D723" s="64" t="s">
        <v>2684</v>
      </c>
      <c r="E723" s="64" t="s">
        <v>2685</v>
      </c>
    </row>
    <row r="724" spans="1:5" x14ac:dyDescent="0.25">
      <c r="A724" s="452">
        <v>9176</v>
      </c>
      <c r="B724" s="452" t="s">
        <v>3326</v>
      </c>
      <c r="C724" s="453" t="s">
        <v>2861</v>
      </c>
      <c r="D724" s="64" t="s">
        <v>2684</v>
      </c>
      <c r="E724" s="64" t="s">
        <v>2685</v>
      </c>
    </row>
    <row r="725" spans="1:5" x14ac:dyDescent="0.25">
      <c r="A725" s="452">
        <v>9177</v>
      </c>
      <c r="B725" s="452" t="s">
        <v>3327</v>
      </c>
      <c r="C725" s="453" t="s">
        <v>2861</v>
      </c>
      <c r="D725" s="64" t="s">
        <v>2684</v>
      </c>
      <c r="E725" s="64" t="s">
        <v>2685</v>
      </c>
    </row>
    <row r="726" spans="1:5" x14ac:dyDescent="0.25">
      <c r="A726" s="452">
        <v>9178</v>
      </c>
      <c r="B726" s="452" t="s">
        <v>3328</v>
      </c>
      <c r="C726" s="453" t="s">
        <v>2861</v>
      </c>
      <c r="D726" s="64" t="s">
        <v>2684</v>
      </c>
      <c r="E726" s="64" t="s">
        <v>2685</v>
      </c>
    </row>
    <row r="727" spans="1:5" x14ac:dyDescent="0.25">
      <c r="A727" s="452">
        <v>9301</v>
      </c>
      <c r="B727" s="452" t="s">
        <v>3329</v>
      </c>
      <c r="C727" s="453" t="s">
        <v>2861</v>
      </c>
      <c r="D727" s="64" t="s">
        <v>2684</v>
      </c>
      <c r="E727" s="64" t="s">
        <v>2685</v>
      </c>
    </row>
    <row r="728" spans="1:5" x14ac:dyDescent="0.25">
      <c r="A728" s="452">
        <v>9302</v>
      </c>
      <c r="B728" s="452" t="s">
        <v>3330</v>
      </c>
      <c r="C728" s="453" t="s">
        <v>2861</v>
      </c>
      <c r="D728" s="64" t="s">
        <v>2684</v>
      </c>
      <c r="E728" s="64" t="s">
        <v>2685</v>
      </c>
    </row>
    <row r="729" spans="1:5" x14ac:dyDescent="0.25">
      <c r="A729" s="452">
        <v>9303</v>
      </c>
      <c r="B729" s="452" t="s">
        <v>3331</v>
      </c>
      <c r="C729" s="453" t="s">
        <v>2861</v>
      </c>
      <c r="D729" s="64" t="s">
        <v>2684</v>
      </c>
      <c r="E729" s="64" t="s">
        <v>2685</v>
      </c>
    </row>
    <row r="730" spans="1:5" x14ac:dyDescent="0.25">
      <c r="A730" s="452">
        <v>9304</v>
      </c>
      <c r="B730" s="452" t="s">
        <v>3332</v>
      </c>
      <c r="C730" s="453" t="s">
        <v>2861</v>
      </c>
      <c r="D730" s="64" t="s">
        <v>2684</v>
      </c>
      <c r="E730" s="64" t="s">
        <v>2685</v>
      </c>
    </row>
    <row r="731" spans="1:5" x14ac:dyDescent="0.25">
      <c r="A731" s="452">
        <v>9305</v>
      </c>
      <c r="B731" s="452" t="s">
        <v>3333</v>
      </c>
      <c r="C731" s="453" t="s">
        <v>2861</v>
      </c>
      <c r="D731" s="64" t="s">
        <v>2684</v>
      </c>
      <c r="E731" s="64" t="s">
        <v>2685</v>
      </c>
    </row>
    <row r="732" spans="1:5" x14ac:dyDescent="0.25">
      <c r="A732" s="452">
        <v>9306</v>
      </c>
      <c r="B732" s="452" t="s">
        <v>2810</v>
      </c>
      <c r="C732" s="453" t="s">
        <v>2861</v>
      </c>
      <c r="D732" s="64" t="s">
        <v>2684</v>
      </c>
      <c r="E732" s="64" t="s">
        <v>2685</v>
      </c>
    </row>
    <row r="733" spans="1:5" x14ac:dyDescent="0.25">
      <c r="A733" s="452">
        <v>9307</v>
      </c>
      <c r="B733" s="452" t="s">
        <v>3334</v>
      </c>
      <c r="C733" s="453" t="s">
        <v>2861</v>
      </c>
      <c r="D733" s="64" t="s">
        <v>2684</v>
      </c>
      <c r="E733" s="64" t="s">
        <v>2685</v>
      </c>
    </row>
    <row r="734" spans="1:5" x14ac:dyDescent="0.25">
      <c r="A734" s="452">
        <v>9308</v>
      </c>
      <c r="B734" s="452" t="s">
        <v>3335</v>
      </c>
      <c r="C734" s="453" t="s">
        <v>2861</v>
      </c>
      <c r="D734" s="64" t="s">
        <v>2684</v>
      </c>
      <c r="E734" s="64" t="s">
        <v>2685</v>
      </c>
    </row>
    <row r="735" spans="1:5" x14ac:dyDescent="0.25">
      <c r="A735" s="452">
        <v>9309</v>
      </c>
      <c r="B735" s="452" t="s">
        <v>3336</v>
      </c>
      <c r="C735" s="453" t="s">
        <v>2861</v>
      </c>
      <c r="D735" s="64" t="s">
        <v>2684</v>
      </c>
      <c r="E735" s="64" t="s">
        <v>2685</v>
      </c>
    </row>
    <row r="736" spans="1:5" x14ac:dyDescent="0.25">
      <c r="A736" s="452">
        <v>9310</v>
      </c>
      <c r="B736" s="452" t="s">
        <v>3337</v>
      </c>
      <c r="C736" s="453" t="s">
        <v>2861</v>
      </c>
      <c r="D736" s="64" t="s">
        <v>2684</v>
      </c>
      <c r="E736" s="64" t="s">
        <v>2685</v>
      </c>
    </row>
    <row r="737" spans="1:5" x14ac:dyDescent="0.25">
      <c r="A737" s="452">
        <v>9311</v>
      </c>
      <c r="B737" s="452" t="s">
        <v>3338</v>
      </c>
      <c r="C737" s="453" t="s">
        <v>2861</v>
      </c>
      <c r="D737" s="64" t="s">
        <v>2684</v>
      </c>
      <c r="E737" s="64" t="s">
        <v>2685</v>
      </c>
    </row>
    <row r="738" spans="1:5" x14ac:dyDescent="0.25">
      <c r="A738" s="452">
        <v>9312</v>
      </c>
      <c r="B738" s="452" t="s">
        <v>3339</v>
      </c>
      <c r="C738" s="453" t="s">
        <v>2861</v>
      </c>
      <c r="D738" s="64" t="s">
        <v>2684</v>
      </c>
      <c r="E738" s="64" t="s">
        <v>2685</v>
      </c>
    </row>
    <row r="739" spans="1:5" x14ac:dyDescent="0.25">
      <c r="A739" s="452">
        <v>9313</v>
      </c>
      <c r="B739" s="452" t="s">
        <v>3340</v>
      </c>
      <c r="C739" s="453" t="s">
        <v>2861</v>
      </c>
      <c r="D739" s="64" t="s">
        <v>2684</v>
      </c>
      <c r="E739" s="64" t="s">
        <v>2685</v>
      </c>
    </row>
    <row r="740" spans="1:5" x14ac:dyDescent="0.25">
      <c r="A740" s="452">
        <v>9400</v>
      </c>
      <c r="B740" s="452" t="s">
        <v>3341</v>
      </c>
      <c r="C740" s="453" t="s">
        <v>2861</v>
      </c>
      <c r="D740" s="64" t="s">
        <v>2684</v>
      </c>
      <c r="E740" s="64" t="s">
        <v>2685</v>
      </c>
    </row>
    <row r="741" spans="1:5" x14ac:dyDescent="0.25">
      <c r="A741" s="452">
        <v>9401</v>
      </c>
      <c r="B741" s="452" t="s">
        <v>3342</v>
      </c>
      <c r="C741" s="453" t="s">
        <v>2861</v>
      </c>
      <c r="D741" s="64" t="s">
        <v>2684</v>
      </c>
      <c r="E741" s="64" t="s">
        <v>2685</v>
      </c>
    </row>
    <row r="742" spans="1:5" x14ac:dyDescent="0.25">
      <c r="A742" s="452">
        <v>9402</v>
      </c>
      <c r="B742" s="452" t="s">
        <v>3273</v>
      </c>
      <c r="C742" s="453" t="s">
        <v>2861</v>
      </c>
      <c r="D742" s="64" t="s">
        <v>2684</v>
      </c>
      <c r="E742" s="64" t="s">
        <v>2685</v>
      </c>
    </row>
    <row r="743" spans="1:5" x14ac:dyDescent="0.25">
      <c r="A743" s="452">
        <v>9403</v>
      </c>
      <c r="B743" s="452" t="s">
        <v>3343</v>
      </c>
      <c r="C743" s="453" t="s">
        <v>2861</v>
      </c>
      <c r="D743" s="64" t="s">
        <v>2684</v>
      </c>
      <c r="E743" s="64" t="s">
        <v>2685</v>
      </c>
    </row>
    <row r="744" spans="1:5" x14ac:dyDescent="0.25">
      <c r="A744" s="452">
        <v>9404</v>
      </c>
      <c r="B744" s="452" t="s">
        <v>3344</v>
      </c>
      <c r="C744" s="453" t="s">
        <v>2861</v>
      </c>
      <c r="D744" s="64" t="s">
        <v>2684</v>
      </c>
      <c r="E744" s="64" t="s">
        <v>2685</v>
      </c>
    </row>
    <row r="745" spans="1:5" x14ac:dyDescent="0.25">
      <c r="A745" s="452">
        <v>9405</v>
      </c>
      <c r="B745" s="452" t="s">
        <v>3345</v>
      </c>
      <c r="C745" s="453" t="s">
        <v>2861</v>
      </c>
      <c r="D745" s="64" t="s">
        <v>2684</v>
      </c>
      <c r="E745" s="64" t="s">
        <v>2685</v>
      </c>
    </row>
    <row r="746" spans="1:5" x14ac:dyDescent="0.25">
      <c r="A746" s="452">
        <v>9406</v>
      </c>
      <c r="B746" s="452" t="s">
        <v>3346</v>
      </c>
      <c r="C746" s="453" t="s">
        <v>2861</v>
      </c>
      <c r="D746" s="64" t="s">
        <v>2684</v>
      </c>
      <c r="E746" s="64" t="s">
        <v>2685</v>
      </c>
    </row>
    <row r="747" spans="1:5" x14ac:dyDescent="0.25">
      <c r="A747" s="452">
        <v>9407</v>
      </c>
      <c r="B747" s="452" t="s">
        <v>3347</v>
      </c>
      <c r="C747" s="453" t="s">
        <v>2861</v>
      </c>
      <c r="D747" s="64" t="s">
        <v>2684</v>
      </c>
      <c r="E747" s="64" t="s">
        <v>2685</v>
      </c>
    </row>
    <row r="748" spans="1:5" x14ac:dyDescent="0.25">
      <c r="A748" s="452">
        <v>9408</v>
      </c>
      <c r="B748" s="452" t="s">
        <v>3348</v>
      </c>
      <c r="C748" s="453" t="s">
        <v>2861</v>
      </c>
      <c r="D748" s="64" t="s">
        <v>2684</v>
      </c>
      <c r="E748" s="64" t="s">
        <v>2685</v>
      </c>
    </row>
    <row r="749" spans="1:5" x14ac:dyDescent="0.25">
      <c r="A749" s="452">
        <v>9409</v>
      </c>
      <c r="B749" s="452" t="s">
        <v>3349</v>
      </c>
      <c r="C749" s="453" t="s">
        <v>2861</v>
      </c>
      <c r="D749" s="64" t="s">
        <v>2684</v>
      </c>
      <c r="E749" s="64" t="s">
        <v>2685</v>
      </c>
    </row>
    <row r="750" spans="1:5" x14ac:dyDescent="0.25">
      <c r="A750" s="452">
        <v>9410</v>
      </c>
      <c r="B750" s="452" t="s">
        <v>3350</v>
      </c>
      <c r="C750" s="453" t="s">
        <v>2861</v>
      </c>
      <c r="D750" s="64" t="s">
        <v>2684</v>
      </c>
      <c r="E750" s="64" t="s">
        <v>2685</v>
      </c>
    </row>
    <row r="751" spans="1:5" x14ac:dyDescent="0.25">
      <c r="A751" s="452">
        <v>9411</v>
      </c>
      <c r="B751" s="452" t="s">
        <v>3351</v>
      </c>
      <c r="C751" s="453" t="s">
        <v>2861</v>
      </c>
      <c r="D751" s="64" t="s">
        <v>2684</v>
      </c>
      <c r="E751" s="64" t="s">
        <v>2685</v>
      </c>
    </row>
    <row r="752" spans="1:5" x14ac:dyDescent="0.25">
      <c r="A752" s="452">
        <v>9413</v>
      </c>
      <c r="B752" s="452" t="s">
        <v>3352</v>
      </c>
      <c r="C752" s="453" t="s">
        <v>2861</v>
      </c>
      <c r="D752" s="64" t="s">
        <v>2684</v>
      </c>
      <c r="E752" s="64" t="s">
        <v>2685</v>
      </c>
    </row>
    <row r="753" spans="1:5" x14ac:dyDescent="0.25">
      <c r="A753" s="452">
        <v>9526</v>
      </c>
      <c r="B753" s="452" t="s">
        <v>3353</v>
      </c>
      <c r="C753" s="453" t="s">
        <v>2861</v>
      </c>
      <c r="D753" s="64" t="s">
        <v>2684</v>
      </c>
      <c r="E753" s="64" t="s">
        <v>2685</v>
      </c>
    </row>
    <row r="754" spans="1:5" x14ac:dyDescent="0.25">
      <c r="A754" s="452">
        <v>9541</v>
      </c>
      <c r="B754" s="452" t="s">
        <v>3354</v>
      </c>
      <c r="C754" s="453" t="s">
        <v>2861</v>
      </c>
      <c r="D754" s="64" t="s">
        <v>2684</v>
      </c>
      <c r="E754" s="64" t="s">
        <v>2685</v>
      </c>
    </row>
    <row r="755" spans="1:5" x14ac:dyDescent="0.25">
      <c r="A755" s="452">
        <v>9542</v>
      </c>
      <c r="B755" s="452" t="s">
        <v>3355</v>
      </c>
      <c r="C755" s="453" t="s">
        <v>2861</v>
      </c>
      <c r="D755" s="64" t="s">
        <v>2684</v>
      </c>
      <c r="E755" s="64" t="s">
        <v>2685</v>
      </c>
    </row>
    <row r="756" spans="1:5" x14ac:dyDescent="0.25">
      <c r="A756" s="452">
        <v>9543</v>
      </c>
      <c r="B756" s="452" t="s">
        <v>3356</v>
      </c>
      <c r="C756" s="453" t="s">
        <v>2861</v>
      </c>
      <c r="D756" s="64" t="s">
        <v>2684</v>
      </c>
      <c r="E756" s="64" t="s">
        <v>2685</v>
      </c>
    </row>
    <row r="757" spans="1:5" x14ac:dyDescent="0.25">
      <c r="A757" s="452">
        <v>9600</v>
      </c>
      <c r="B757" s="452" t="s">
        <v>3357</v>
      </c>
      <c r="C757" s="453" t="s">
        <v>2861</v>
      </c>
      <c r="D757" s="64" t="s">
        <v>2684</v>
      </c>
      <c r="E757" s="64" t="s">
        <v>2685</v>
      </c>
    </row>
    <row r="758" spans="1:5" x14ac:dyDescent="0.25">
      <c r="A758" s="452">
        <v>9603</v>
      </c>
      <c r="B758" s="452" t="s">
        <v>3358</v>
      </c>
      <c r="C758" s="453" t="s">
        <v>2861</v>
      </c>
      <c r="D758" s="64" t="s">
        <v>2684</v>
      </c>
      <c r="E758" s="64" t="s">
        <v>2685</v>
      </c>
    </row>
    <row r="759" spans="1:5" x14ac:dyDescent="0.25">
      <c r="A759" s="452">
        <v>9604</v>
      </c>
      <c r="B759" s="452" t="s">
        <v>3359</v>
      </c>
      <c r="C759" s="453" t="s">
        <v>2861</v>
      </c>
      <c r="D759" s="64" t="s">
        <v>2684</v>
      </c>
      <c r="E759" s="64" t="s">
        <v>2685</v>
      </c>
    </row>
    <row r="760" spans="1:5" x14ac:dyDescent="0.25">
      <c r="A760" s="452">
        <v>9605</v>
      </c>
      <c r="B760" s="452" t="s">
        <v>3360</v>
      </c>
      <c r="C760" s="453" t="s">
        <v>2861</v>
      </c>
      <c r="D760" s="64" t="s">
        <v>2684</v>
      </c>
      <c r="E760" s="64" t="s">
        <v>2685</v>
      </c>
    </row>
    <row r="761" spans="1:5" x14ac:dyDescent="0.25">
      <c r="A761" s="452">
        <v>9608</v>
      </c>
      <c r="B761" s="452" t="s">
        <v>3361</v>
      </c>
      <c r="C761" s="453" t="s">
        <v>2861</v>
      </c>
      <c r="D761" s="64" t="s">
        <v>2684</v>
      </c>
      <c r="E761" s="64" t="s">
        <v>2685</v>
      </c>
    </row>
    <row r="762" spans="1:5" x14ac:dyDescent="0.25">
      <c r="A762" s="452">
        <v>9609</v>
      </c>
      <c r="B762" s="452" t="s">
        <v>3362</v>
      </c>
      <c r="C762" s="453" t="s">
        <v>2861</v>
      </c>
      <c r="D762" s="64" t="s">
        <v>2684</v>
      </c>
      <c r="E762" s="64" t="s">
        <v>2685</v>
      </c>
    </row>
    <row r="763" spans="1:5" x14ac:dyDescent="0.25">
      <c r="A763" s="452">
        <v>9610</v>
      </c>
      <c r="B763" s="452" t="s">
        <v>3363</v>
      </c>
      <c r="C763" s="453" t="s">
        <v>2861</v>
      </c>
      <c r="D763" s="64" t="s">
        <v>2684</v>
      </c>
      <c r="E763" s="64" t="s">
        <v>2685</v>
      </c>
    </row>
    <row r="764" spans="1:5" x14ac:dyDescent="0.25">
      <c r="A764" s="452">
        <v>9611</v>
      </c>
      <c r="B764" s="452" t="s">
        <v>3364</v>
      </c>
      <c r="C764" s="453" t="s">
        <v>2861</v>
      </c>
      <c r="D764" s="64" t="s">
        <v>2684</v>
      </c>
      <c r="E764" s="64" t="s">
        <v>2685</v>
      </c>
    </row>
    <row r="765" spans="1:5" x14ac:dyDescent="0.25">
      <c r="A765" s="452">
        <v>9612</v>
      </c>
      <c r="B765" s="452" t="s">
        <v>3365</v>
      </c>
      <c r="C765" s="453" t="s">
        <v>2861</v>
      </c>
      <c r="D765" s="64" t="s">
        <v>2684</v>
      </c>
      <c r="E765" s="64" t="s">
        <v>2685</v>
      </c>
    </row>
    <row r="766" spans="1:5" x14ac:dyDescent="0.25">
      <c r="A766" s="452">
        <v>9613</v>
      </c>
      <c r="B766" s="452" t="s">
        <v>3366</v>
      </c>
      <c r="C766" s="453" t="s">
        <v>2861</v>
      </c>
      <c r="D766" s="64" t="s">
        <v>2684</v>
      </c>
      <c r="E766" s="64" t="s">
        <v>2685</v>
      </c>
    </row>
    <row r="767" spans="1:5" x14ac:dyDescent="0.25">
      <c r="A767" s="452">
        <v>9614</v>
      </c>
      <c r="B767" s="452" t="s">
        <v>3367</v>
      </c>
      <c r="C767" s="453" t="s">
        <v>2861</v>
      </c>
      <c r="D767" s="64" t="s">
        <v>2684</v>
      </c>
      <c r="E767" s="64" t="s">
        <v>2685</v>
      </c>
    </row>
    <row r="768" spans="1:5" x14ac:dyDescent="0.25">
      <c r="A768" s="452">
        <v>9615</v>
      </c>
      <c r="B768" s="452" t="s">
        <v>3368</v>
      </c>
      <c r="C768" s="453" t="s">
        <v>2861</v>
      </c>
      <c r="D768" s="64" t="s">
        <v>2684</v>
      </c>
      <c r="E768" s="64" t="s">
        <v>2685</v>
      </c>
    </row>
    <row r="769" spans="1:5" x14ac:dyDescent="0.25">
      <c r="A769" s="452">
        <v>9616</v>
      </c>
      <c r="B769" s="452" t="s">
        <v>3369</v>
      </c>
      <c r="C769" s="453" t="s">
        <v>2861</v>
      </c>
      <c r="D769" s="64" t="s">
        <v>2684</v>
      </c>
      <c r="E769" s="64" t="s">
        <v>2685</v>
      </c>
    </row>
    <row r="770" spans="1:5" x14ac:dyDescent="0.25">
      <c r="A770" s="452">
        <v>9620</v>
      </c>
      <c r="B770" s="452" t="s">
        <v>3370</v>
      </c>
      <c r="C770" s="453" t="s">
        <v>2861</v>
      </c>
      <c r="D770" s="64" t="s">
        <v>2684</v>
      </c>
      <c r="E770" s="64" t="s">
        <v>2685</v>
      </c>
    </row>
    <row r="771" spans="1:5" x14ac:dyDescent="0.25">
      <c r="A771" s="452">
        <v>9621</v>
      </c>
      <c r="B771" s="452" t="s">
        <v>3371</v>
      </c>
      <c r="C771" s="453" t="s">
        <v>2861</v>
      </c>
      <c r="D771" s="64" t="s">
        <v>2684</v>
      </c>
      <c r="E771" s="64" t="s">
        <v>2685</v>
      </c>
    </row>
    <row r="772" spans="1:5" x14ac:dyDescent="0.25">
      <c r="A772" s="452">
        <v>9622</v>
      </c>
      <c r="B772" s="452" t="s">
        <v>3372</v>
      </c>
      <c r="C772" s="453" t="s">
        <v>2861</v>
      </c>
      <c r="D772" s="64" t="s">
        <v>2684</v>
      </c>
      <c r="E772" s="64" t="s">
        <v>2685</v>
      </c>
    </row>
    <row r="773" spans="1:5" x14ac:dyDescent="0.25">
      <c r="A773" s="452">
        <v>9623</v>
      </c>
      <c r="B773" s="452" t="s">
        <v>3373</v>
      </c>
      <c r="C773" s="453" t="s">
        <v>2861</v>
      </c>
      <c r="D773" s="64" t="s">
        <v>2684</v>
      </c>
      <c r="E773" s="64" t="s">
        <v>2685</v>
      </c>
    </row>
    <row r="774" spans="1:5" x14ac:dyDescent="0.25">
      <c r="A774" s="452">
        <v>9624</v>
      </c>
      <c r="B774" s="452" t="s">
        <v>3374</v>
      </c>
      <c r="C774" s="453" t="s">
        <v>2861</v>
      </c>
      <c r="D774" s="64" t="s">
        <v>2684</v>
      </c>
      <c r="E774" s="64" t="s">
        <v>2685</v>
      </c>
    </row>
    <row r="775" spans="1:5" x14ac:dyDescent="0.25">
      <c r="A775" s="452">
        <v>9625</v>
      </c>
      <c r="B775" s="452" t="s">
        <v>3375</v>
      </c>
      <c r="C775" s="453" t="s">
        <v>2861</v>
      </c>
      <c r="D775" s="64" t="s">
        <v>2684</v>
      </c>
      <c r="E775" s="64" t="s">
        <v>2685</v>
      </c>
    </row>
    <row r="776" spans="1:5" x14ac:dyDescent="0.25">
      <c r="A776" s="452">
        <v>9627</v>
      </c>
      <c r="B776" s="452" t="s">
        <v>3376</v>
      </c>
      <c r="C776" s="453" t="s">
        <v>2861</v>
      </c>
      <c r="D776" s="64" t="s">
        <v>2684</v>
      </c>
      <c r="E776" s="64" t="s">
        <v>2685</v>
      </c>
    </row>
    <row r="777" spans="1:5" x14ac:dyDescent="0.25">
      <c r="A777" s="452">
        <v>9628</v>
      </c>
      <c r="B777" s="452" t="s">
        <v>3377</v>
      </c>
      <c r="C777" s="453" t="s">
        <v>2861</v>
      </c>
      <c r="D777" s="64" t="s">
        <v>2684</v>
      </c>
      <c r="E777" s="64" t="s">
        <v>2685</v>
      </c>
    </row>
    <row r="778" spans="1:5" x14ac:dyDescent="0.25">
      <c r="A778" s="452">
        <v>9631</v>
      </c>
      <c r="B778" s="452" t="s">
        <v>3378</v>
      </c>
      <c r="C778" s="453" t="s">
        <v>2861</v>
      </c>
      <c r="D778" s="64" t="s">
        <v>2684</v>
      </c>
      <c r="E778" s="64" t="s">
        <v>2685</v>
      </c>
    </row>
    <row r="779" spans="1:5" x14ac:dyDescent="0.25">
      <c r="A779" s="452">
        <v>9655</v>
      </c>
      <c r="B779" s="452" t="s">
        <v>3379</v>
      </c>
      <c r="C779" s="453" t="s">
        <v>2861</v>
      </c>
      <c r="D779" s="64" t="s">
        <v>2684</v>
      </c>
      <c r="E779" s="64" t="s">
        <v>2685</v>
      </c>
    </row>
    <row r="780" spans="1:5" x14ac:dyDescent="0.25">
      <c r="A780" s="452">
        <v>9661</v>
      </c>
      <c r="B780" s="452" t="s">
        <v>3380</v>
      </c>
      <c r="C780" s="453" t="s">
        <v>2861</v>
      </c>
      <c r="D780" s="64" t="s">
        <v>2684</v>
      </c>
      <c r="E780" s="64" t="s">
        <v>2685</v>
      </c>
    </row>
    <row r="781" spans="1:5" x14ac:dyDescent="0.25">
      <c r="A781" s="452">
        <v>9662</v>
      </c>
      <c r="B781" s="452" t="s">
        <v>3381</v>
      </c>
      <c r="C781" s="453" t="s">
        <v>2861</v>
      </c>
      <c r="D781" s="64" t="s">
        <v>2684</v>
      </c>
      <c r="E781" s="64" t="s">
        <v>2685</v>
      </c>
    </row>
    <row r="782" spans="1:5" x14ac:dyDescent="0.25">
      <c r="A782" s="452">
        <v>9663</v>
      </c>
      <c r="B782" s="452" t="s">
        <v>3382</v>
      </c>
      <c r="C782" s="453" t="s">
        <v>2861</v>
      </c>
      <c r="D782" s="64" t="s">
        <v>2684</v>
      </c>
      <c r="E782" s="64" t="s">
        <v>2685</v>
      </c>
    </row>
    <row r="783" spans="1:5" x14ac:dyDescent="0.25">
      <c r="A783" s="452">
        <v>9664</v>
      </c>
      <c r="B783" s="452" t="s">
        <v>3383</v>
      </c>
      <c r="C783" s="453" t="s">
        <v>2861</v>
      </c>
      <c r="D783" s="64" t="s">
        <v>2684</v>
      </c>
      <c r="E783" s="64" t="s">
        <v>2685</v>
      </c>
    </row>
    <row r="784" spans="1:5" x14ac:dyDescent="0.25">
      <c r="A784" s="452">
        <v>9665</v>
      </c>
      <c r="B784" s="452" t="s">
        <v>3384</v>
      </c>
      <c r="C784" s="453" t="s">
        <v>2861</v>
      </c>
      <c r="D784" s="64" t="s">
        <v>2684</v>
      </c>
      <c r="E784" s="64" t="s">
        <v>2685</v>
      </c>
    </row>
    <row r="785" spans="1:5" x14ac:dyDescent="0.25">
      <c r="A785" s="452">
        <v>9666</v>
      </c>
      <c r="B785" s="452" t="s">
        <v>3385</v>
      </c>
      <c r="C785" s="453" t="s">
        <v>2861</v>
      </c>
      <c r="D785" s="64" t="s">
        <v>2684</v>
      </c>
      <c r="E785" s="64" t="s">
        <v>2685</v>
      </c>
    </row>
    <row r="786" spans="1:5" x14ac:dyDescent="0.25">
      <c r="A786" s="452">
        <v>9667</v>
      </c>
      <c r="B786" s="452" t="s">
        <v>3386</v>
      </c>
      <c r="C786" s="453" t="s">
        <v>2861</v>
      </c>
      <c r="D786" s="64" t="s">
        <v>2684</v>
      </c>
      <c r="E786" s="64" t="s">
        <v>2685</v>
      </c>
    </row>
    <row r="787" spans="1:5" x14ac:dyDescent="0.25">
      <c r="A787" s="452">
        <v>9668</v>
      </c>
      <c r="B787" s="452" t="s">
        <v>3387</v>
      </c>
      <c r="C787" s="453" t="s">
        <v>2861</v>
      </c>
      <c r="D787" s="64" t="s">
        <v>2684</v>
      </c>
      <c r="E787" s="64" t="s">
        <v>2685</v>
      </c>
    </row>
    <row r="788" spans="1:5" x14ac:dyDescent="0.25">
      <c r="A788" s="452">
        <v>9669</v>
      </c>
      <c r="B788" s="452" t="s">
        <v>3388</v>
      </c>
      <c r="C788" s="453" t="s">
        <v>2861</v>
      </c>
      <c r="D788" s="64" t="s">
        <v>2684</v>
      </c>
      <c r="E788" s="64" t="s">
        <v>2685</v>
      </c>
    </row>
    <row r="789" spans="1:5" x14ac:dyDescent="0.25">
      <c r="A789" s="452">
        <v>9670</v>
      </c>
      <c r="B789" s="452" t="s">
        <v>3389</v>
      </c>
      <c r="C789" s="453" t="s">
        <v>2861</v>
      </c>
      <c r="D789" s="64" t="s">
        <v>2684</v>
      </c>
      <c r="E789" s="64" t="s">
        <v>2685</v>
      </c>
    </row>
    <row r="790" spans="1:5" x14ac:dyDescent="0.25">
      <c r="A790" s="452">
        <v>9671</v>
      </c>
      <c r="B790" s="452" t="s">
        <v>3390</v>
      </c>
      <c r="C790" s="453" t="s">
        <v>2861</v>
      </c>
      <c r="D790" s="64" t="s">
        <v>2684</v>
      </c>
      <c r="E790" s="64" t="s">
        <v>2685</v>
      </c>
    </row>
    <row r="791" spans="1:5" x14ac:dyDescent="0.25">
      <c r="A791" s="452">
        <v>9672</v>
      </c>
      <c r="B791" s="452" t="s">
        <v>3391</v>
      </c>
      <c r="C791" s="453" t="s">
        <v>2861</v>
      </c>
      <c r="D791" s="64" t="s">
        <v>2684</v>
      </c>
      <c r="E791" s="64" t="s">
        <v>2685</v>
      </c>
    </row>
    <row r="792" spans="1:5" x14ac:dyDescent="0.25">
      <c r="A792" s="452">
        <v>9673</v>
      </c>
      <c r="B792" s="452" t="s">
        <v>3392</v>
      </c>
      <c r="C792" s="453" t="s">
        <v>2861</v>
      </c>
      <c r="D792" s="64" t="s">
        <v>2684</v>
      </c>
      <c r="E792" s="64" t="s">
        <v>2685</v>
      </c>
    </row>
    <row r="793" spans="1:5" x14ac:dyDescent="0.25">
      <c r="A793" s="452">
        <v>9674</v>
      </c>
      <c r="B793" s="452" t="s">
        <v>3393</v>
      </c>
      <c r="C793" s="453" t="s">
        <v>2861</v>
      </c>
      <c r="D793" s="64" t="s">
        <v>2684</v>
      </c>
      <c r="E793" s="64" t="s">
        <v>2685</v>
      </c>
    </row>
    <row r="794" spans="1:5" x14ac:dyDescent="0.25">
      <c r="A794" s="452">
        <v>9675</v>
      </c>
      <c r="B794" s="452" t="s">
        <v>3394</v>
      </c>
      <c r="C794" s="453" t="s">
        <v>2861</v>
      </c>
      <c r="D794" s="64" t="s">
        <v>2684</v>
      </c>
      <c r="E794" s="64" t="s">
        <v>2685</v>
      </c>
    </row>
    <row r="795" spans="1:5" x14ac:dyDescent="0.25">
      <c r="A795" s="452">
        <v>9676</v>
      </c>
      <c r="B795" s="452" t="s">
        <v>3395</v>
      </c>
      <c r="C795" s="453" t="s">
        <v>2861</v>
      </c>
      <c r="D795" s="64" t="s">
        <v>2684</v>
      </c>
      <c r="E795" s="64" t="s">
        <v>2685</v>
      </c>
    </row>
    <row r="796" spans="1:5" x14ac:dyDescent="0.25">
      <c r="A796" s="452">
        <v>9677</v>
      </c>
      <c r="B796" s="452" t="s">
        <v>3396</v>
      </c>
      <c r="C796" s="453" t="s">
        <v>2861</v>
      </c>
      <c r="D796" s="64" t="s">
        <v>2684</v>
      </c>
      <c r="E796" s="64" t="s">
        <v>2685</v>
      </c>
    </row>
    <row r="797" spans="1:5" x14ac:dyDescent="0.25">
      <c r="A797" s="452">
        <v>9678</v>
      </c>
      <c r="B797" s="452" t="s">
        <v>3397</v>
      </c>
      <c r="C797" s="453" t="s">
        <v>2861</v>
      </c>
      <c r="D797" s="64" t="s">
        <v>2684</v>
      </c>
      <c r="E797" s="64" t="s">
        <v>2685</v>
      </c>
    </row>
    <row r="798" spans="1:5" x14ac:dyDescent="0.25">
      <c r="A798" s="452">
        <v>9745</v>
      </c>
      <c r="B798" s="452" t="s">
        <v>3398</v>
      </c>
      <c r="C798" s="453" t="s">
        <v>2861</v>
      </c>
      <c r="D798" s="64" t="s">
        <v>2684</v>
      </c>
      <c r="E798" s="64" t="s">
        <v>2685</v>
      </c>
    </row>
    <row r="799" spans="1:5" x14ac:dyDescent="0.25">
      <c r="A799" s="452">
        <v>9746</v>
      </c>
      <c r="B799" s="452" t="s">
        <v>3399</v>
      </c>
      <c r="C799" s="453" t="s">
        <v>2861</v>
      </c>
      <c r="D799" s="64" t="s">
        <v>2684</v>
      </c>
      <c r="E799" s="64" t="s">
        <v>2685</v>
      </c>
    </row>
    <row r="800" spans="1:5" x14ac:dyDescent="0.25">
      <c r="A800" s="452">
        <v>9810</v>
      </c>
      <c r="B800" s="452" t="s">
        <v>3400</v>
      </c>
      <c r="C800" s="453" t="s">
        <v>2861</v>
      </c>
      <c r="D800" s="64" t="s">
        <v>2684</v>
      </c>
      <c r="E800" s="64" t="s">
        <v>2685</v>
      </c>
    </row>
    <row r="801" spans="1:5" x14ac:dyDescent="0.25">
      <c r="A801" s="452">
        <v>9811</v>
      </c>
      <c r="B801" s="452" t="s">
        <v>3401</v>
      </c>
      <c r="C801" s="453" t="s">
        <v>2861</v>
      </c>
      <c r="D801" s="64" t="s">
        <v>2684</v>
      </c>
      <c r="E801" s="64" t="s">
        <v>2685</v>
      </c>
    </row>
    <row r="802" spans="1:5" x14ac:dyDescent="0.25">
      <c r="A802" s="452">
        <v>9820</v>
      </c>
      <c r="B802" s="452" t="s">
        <v>3402</v>
      </c>
      <c r="C802" s="453" t="s">
        <v>2861</v>
      </c>
      <c r="D802" s="64" t="s">
        <v>2684</v>
      </c>
      <c r="E802" s="64" t="s">
        <v>2685</v>
      </c>
    </row>
    <row r="803" spans="1:5" x14ac:dyDescent="0.25">
      <c r="A803" s="452">
        <v>9821</v>
      </c>
      <c r="B803" s="452" t="s">
        <v>3403</v>
      </c>
      <c r="C803" s="453" t="s">
        <v>2861</v>
      </c>
      <c r="D803" s="64" t="s">
        <v>2684</v>
      </c>
      <c r="E803" s="64" t="s">
        <v>2685</v>
      </c>
    </row>
    <row r="804" spans="1:5" x14ac:dyDescent="0.25">
      <c r="A804" s="452">
        <v>9830</v>
      </c>
      <c r="B804" s="452" t="s">
        <v>3404</v>
      </c>
      <c r="C804" s="453" t="s">
        <v>2861</v>
      </c>
      <c r="D804" s="64" t="s">
        <v>2684</v>
      </c>
      <c r="E804" s="64" t="s">
        <v>2685</v>
      </c>
    </row>
    <row r="805" spans="1:5" x14ac:dyDescent="0.25">
      <c r="A805" s="452">
        <v>9910</v>
      </c>
      <c r="B805" s="452" t="s">
        <v>3405</v>
      </c>
      <c r="C805" s="453" t="s">
        <v>2861</v>
      </c>
      <c r="D805" s="64" t="s">
        <v>2684</v>
      </c>
      <c r="E805" s="64" t="s">
        <v>2685</v>
      </c>
    </row>
    <row r="806" spans="1:5" x14ac:dyDescent="0.25">
      <c r="A806" s="452">
        <v>9920</v>
      </c>
      <c r="B806" s="452" t="s">
        <v>3406</v>
      </c>
      <c r="C806" s="453" t="s">
        <v>2861</v>
      </c>
      <c r="D806" s="64" t="s">
        <v>2684</v>
      </c>
      <c r="E806" s="64" t="s">
        <v>2685</v>
      </c>
    </row>
    <row r="807" spans="1:5" ht="15.75" thickBot="1" x14ac:dyDescent="0.3">
      <c r="A807" s="454">
        <v>9930</v>
      </c>
      <c r="B807" s="454" t="s">
        <v>3407</v>
      </c>
      <c r="C807" s="455" t="s">
        <v>2861</v>
      </c>
      <c r="D807" s="64" t="s">
        <v>2684</v>
      </c>
      <c r="E807" s="64" t="s">
        <v>2685</v>
      </c>
    </row>
  </sheetData>
  <sheetProtection autoFilter="0"/>
  <autoFilter ref="A1:E1" xr:uid="{0DE1210B-C596-4C65-986B-543202D73B53}"/>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BB397-69C7-4A2A-B7B9-337492571EAA}">
  <sheetPr codeName="Foglio9"/>
  <dimension ref="A1:Y52"/>
  <sheetViews>
    <sheetView topLeftCell="A13" workbookViewId="0">
      <selection activeCell="V36" sqref="V36"/>
    </sheetView>
  </sheetViews>
  <sheetFormatPr defaultRowHeight="15" x14ac:dyDescent="0.25"/>
  <cols>
    <col min="1" max="2" width="12.85546875" bestFit="1" customWidth="1"/>
    <col min="4" max="4" width="11.140625" customWidth="1"/>
    <col min="7" max="7" width="8" bestFit="1" customWidth="1"/>
  </cols>
  <sheetData>
    <row r="1" spans="1:20" x14ac:dyDescent="0.25">
      <c r="A1" s="929" t="s">
        <v>3492</v>
      </c>
      <c r="B1" s="930"/>
      <c r="C1" s="930"/>
      <c r="D1" s="931"/>
      <c r="E1" s="494"/>
      <c r="F1" s="494"/>
      <c r="G1" s="494"/>
      <c r="H1" s="494"/>
      <c r="I1" s="494"/>
      <c r="J1" s="494"/>
      <c r="K1" s="494"/>
      <c r="L1" s="494"/>
      <c r="M1" s="494"/>
      <c r="N1" s="494"/>
      <c r="O1" s="494"/>
      <c r="P1" s="494"/>
      <c r="Q1" s="494"/>
      <c r="R1" s="494"/>
      <c r="S1" s="494"/>
      <c r="T1" s="495"/>
    </row>
    <row r="2" spans="1:20" x14ac:dyDescent="0.25">
      <c r="A2" s="496" t="s">
        <v>3491</v>
      </c>
      <c r="B2" t="s">
        <v>3488</v>
      </c>
      <c r="C2">
        <v>0.2</v>
      </c>
      <c r="D2" s="497" t="s">
        <v>3489</v>
      </c>
      <c r="T2" s="497"/>
    </row>
    <row r="3" spans="1:20" x14ac:dyDescent="0.25">
      <c r="A3" s="496">
        <v>1</v>
      </c>
      <c r="B3">
        <v>6.6E-3</v>
      </c>
      <c r="C3">
        <v>2E-3</v>
      </c>
      <c r="D3" s="497">
        <f>+B3+C3</f>
        <v>8.6E-3</v>
      </c>
      <c r="T3" s="497"/>
    </row>
    <row r="4" spans="1:20" x14ac:dyDescent="0.25">
      <c r="A4" s="496">
        <v>2</v>
      </c>
      <c r="B4">
        <v>3.8800000000000002E-3</v>
      </c>
      <c r="C4">
        <v>2E-3</v>
      </c>
      <c r="D4" s="497">
        <f t="shared" ref="D4:D14" si="0">+B4+C4</f>
        <v>5.8799999999999998E-3</v>
      </c>
      <c r="T4" s="497"/>
    </row>
    <row r="5" spans="1:20" x14ac:dyDescent="0.25">
      <c r="A5" s="496">
        <v>3</v>
      </c>
      <c r="B5">
        <v>1.034E-2</v>
      </c>
      <c r="C5">
        <v>2E-3</v>
      </c>
      <c r="D5" s="497">
        <f t="shared" si="0"/>
        <v>1.234E-2</v>
      </c>
      <c r="T5" s="497"/>
    </row>
    <row r="6" spans="1:20" x14ac:dyDescent="0.25">
      <c r="A6" s="496">
        <v>4</v>
      </c>
      <c r="B6">
        <v>1.312E-2</v>
      </c>
      <c r="C6">
        <v>2E-3</v>
      </c>
      <c r="D6" s="497">
        <f t="shared" si="0"/>
        <v>1.512E-2</v>
      </c>
      <c r="L6" s="934" t="s">
        <v>3495</v>
      </c>
      <c r="M6" s="934"/>
      <c r="N6" s="934"/>
      <c r="O6" s="934"/>
      <c r="T6" s="497"/>
    </row>
    <row r="7" spans="1:20" x14ac:dyDescent="0.25">
      <c r="A7" s="496">
        <v>5</v>
      </c>
      <c r="B7">
        <v>1.2589999999999999E-2</v>
      </c>
      <c r="C7">
        <v>2E-3</v>
      </c>
      <c r="D7" s="497">
        <f t="shared" si="0"/>
        <v>1.4589999999999999E-2</v>
      </c>
      <c r="L7" s="934"/>
      <c r="M7" s="934"/>
      <c r="N7" s="934"/>
      <c r="O7" s="934"/>
      <c r="T7" s="497"/>
    </row>
    <row r="8" spans="1:20" x14ac:dyDescent="0.25">
      <c r="A8" s="496">
        <v>6</v>
      </c>
      <c r="B8">
        <v>8.6099999999999996E-3</v>
      </c>
      <c r="C8">
        <v>2E-3</v>
      </c>
      <c r="D8" s="497">
        <f t="shared" si="0"/>
        <v>1.061E-2</v>
      </c>
      <c r="L8" s="934"/>
      <c r="M8" s="934"/>
      <c r="N8" s="934"/>
      <c r="O8" s="934"/>
      <c r="T8" s="497"/>
    </row>
    <row r="9" spans="1:20" x14ac:dyDescent="0.25">
      <c r="A9" s="496">
        <v>7</v>
      </c>
      <c r="B9">
        <v>6.45E-3</v>
      </c>
      <c r="C9">
        <v>2E-3</v>
      </c>
      <c r="D9" s="497">
        <f t="shared" si="0"/>
        <v>8.4499999999999992E-3</v>
      </c>
      <c r="L9" s="934"/>
      <c r="M9" s="934"/>
      <c r="N9" s="934"/>
      <c r="O9" s="934"/>
      <c r="T9" s="497"/>
    </row>
    <row r="10" spans="1:20" x14ac:dyDescent="0.25">
      <c r="A10" s="496">
        <v>8</v>
      </c>
      <c r="B10">
        <v>4.9199999999999999E-3</v>
      </c>
      <c r="C10">
        <v>2E-3</v>
      </c>
      <c r="D10" s="497">
        <f t="shared" si="0"/>
        <v>6.9199999999999999E-3</v>
      </c>
      <c r="L10" s="934"/>
      <c r="M10" s="934"/>
      <c r="N10" s="934"/>
      <c r="O10" s="934"/>
      <c r="T10" s="497"/>
    </row>
    <row r="11" spans="1:20" x14ac:dyDescent="0.25">
      <c r="A11" s="496">
        <v>9</v>
      </c>
      <c r="B11">
        <v>4.4200000000000003E-3</v>
      </c>
      <c r="C11">
        <v>2E-3</v>
      </c>
      <c r="D11" s="497">
        <f t="shared" si="0"/>
        <v>6.4200000000000004E-3</v>
      </c>
      <c r="T11" s="497"/>
    </row>
    <row r="12" spans="1:20" x14ac:dyDescent="0.25">
      <c r="A12" s="496">
        <v>10</v>
      </c>
      <c r="B12">
        <v>2.0699999999999998E-3</v>
      </c>
      <c r="C12">
        <v>2E-3</v>
      </c>
      <c r="D12" s="497">
        <f t="shared" si="0"/>
        <v>4.0699999999999998E-3</v>
      </c>
      <c r="T12" s="497"/>
    </row>
    <row r="13" spans="1:20" x14ac:dyDescent="0.25">
      <c r="A13" s="496">
        <v>11</v>
      </c>
      <c r="B13">
        <v>8.3000000000000001E-4</v>
      </c>
      <c r="C13">
        <v>2E-3</v>
      </c>
      <c r="D13" s="497">
        <f t="shared" si="0"/>
        <v>2.8300000000000001E-3</v>
      </c>
      <c r="T13" s="497"/>
    </row>
    <row r="14" spans="1:20" ht="15.75" thickBot="1" x14ac:dyDescent="0.3">
      <c r="A14" s="498">
        <v>12</v>
      </c>
      <c r="B14" s="499">
        <v>2.5999999999999998E-4</v>
      </c>
      <c r="C14" s="499">
        <v>2E-3</v>
      </c>
      <c r="D14" s="500">
        <f t="shared" si="0"/>
        <v>2.2599999999999999E-3</v>
      </c>
      <c r="T14" s="497"/>
    </row>
    <row r="15" spans="1:20" x14ac:dyDescent="0.25">
      <c r="A15" s="496"/>
      <c r="T15" s="497"/>
    </row>
    <row r="16" spans="1:20" x14ac:dyDescent="0.25">
      <c r="A16" s="496"/>
      <c r="T16" s="497"/>
    </row>
    <row r="17" spans="1:25" x14ac:dyDescent="0.25">
      <c r="A17" s="496"/>
      <c r="T17" s="497"/>
    </row>
    <row r="18" spans="1:25" ht="15.75" thickBot="1" x14ac:dyDescent="0.3">
      <c r="A18" s="932" t="s">
        <v>3493</v>
      </c>
      <c r="B18" s="933"/>
      <c r="C18" s="933"/>
      <c r="D18" s="933"/>
      <c r="T18" s="497"/>
    </row>
    <row r="19" spans="1:25" x14ac:dyDescent="0.25">
      <c r="A19" s="493">
        <v>1</v>
      </c>
      <c r="B19" s="494"/>
      <c r="C19" s="494"/>
      <c r="D19" s="495"/>
      <c r="F19" s="493">
        <v>2</v>
      </c>
      <c r="G19" s="494"/>
      <c r="H19" s="494"/>
      <c r="I19" s="495"/>
      <c r="K19" s="493">
        <v>3</v>
      </c>
      <c r="L19" s="494"/>
      <c r="M19" s="494"/>
      <c r="N19" s="495"/>
      <c r="P19" s="493">
        <v>4</v>
      </c>
      <c r="Q19" s="494"/>
      <c r="R19" s="494"/>
      <c r="S19" s="495"/>
      <c r="T19" s="497"/>
      <c r="V19" s="493">
        <v>0</v>
      </c>
      <c r="W19" s="494"/>
      <c r="X19" s="494"/>
      <c r="Y19" s="495"/>
    </row>
    <row r="20" spans="1:25" x14ac:dyDescent="0.25">
      <c r="A20" s="496">
        <v>55</v>
      </c>
      <c r="D20" s="497">
        <v>78</v>
      </c>
      <c r="F20" s="496">
        <v>79</v>
      </c>
      <c r="I20" s="497">
        <v>102</v>
      </c>
      <c r="K20" s="496">
        <v>103</v>
      </c>
      <c r="N20" s="497">
        <v>150</v>
      </c>
      <c r="P20" s="496">
        <v>151</v>
      </c>
      <c r="S20" s="497">
        <v>180</v>
      </c>
      <c r="T20" s="497"/>
      <c r="V20" s="496">
        <v>54</v>
      </c>
      <c r="Y20" s="497"/>
    </row>
    <row r="21" spans="1:25" x14ac:dyDescent="0.25">
      <c r="A21" s="496">
        <v>1</v>
      </c>
      <c r="B21">
        <v>6.6E-3</v>
      </c>
      <c r="C21">
        <v>2E-3</v>
      </c>
      <c r="D21" s="497">
        <f>+B21+C21</f>
        <v>8.6E-3</v>
      </c>
      <c r="F21" s="496">
        <v>1</v>
      </c>
      <c r="G21">
        <v>9.4199999999999996E-3</v>
      </c>
      <c r="H21">
        <v>2E-3</v>
      </c>
      <c r="I21" s="497">
        <f>+G21+H21</f>
        <v>1.142E-2</v>
      </c>
      <c r="K21" s="496">
        <v>1</v>
      </c>
      <c r="L21">
        <v>1.252E-2</v>
      </c>
      <c r="M21">
        <v>2E-3</v>
      </c>
      <c r="N21" s="497">
        <f>+L21+M21</f>
        <v>1.452E-2</v>
      </c>
      <c r="P21" s="496">
        <v>1</v>
      </c>
      <c r="Q21">
        <v>1.804E-2</v>
      </c>
      <c r="R21">
        <v>2E-3</v>
      </c>
      <c r="S21" s="497">
        <f>+Q21+R21</f>
        <v>2.0040000000000002E-2</v>
      </c>
      <c r="T21" s="497"/>
      <c r="V21" s="496">
        <v>1</v>
      </c>
      <c r="W21">
        <v>3.7000000000000002E-3</v>
      </c>
      <c r="X21">
        <v>2E-3</v>
      </c>
      <c r="Y21" s="497">
        <f>+W21+X21</f>
        <v>5.7000000000000002E-3</v>
      </c>
    </row>
    <row r="22" spans="1:25" x14ac:dyDescent="0.25">
      <c r="A22" s="496">
        <v>2</v>
      </c>
      <c r="B22">
        <v>3.8800000000000002E-3</v>
      </c>
      <c r="C22">
        <v>2E-3</v>
      </c>
      <c r="D22" s="497">
        <f t="shared" ref="D22:D32" si="1">+B22+C22</f>
        <v>5.8799999999999998E-3</v>
      </c>
      <c r="F22" s="496">
        <v>2</v>
      </c>
      <c r="G22">
        <v>6.5100000000000002E-3</v>
      </c>
      <c r="H22">
        <v>2E-3</v>
      </c>
      <c r="I22" s="497">
        <f t="shared" ref="I22:I32" si="2">+G22+H22</f>
        <v>8.5100000000000002E-3</v>
      </c>
      <c r="K22" s="496">
        <v>2</v>
      </c>
      <c r="L22">
        <v>9.389999999999999E-3</v>
      </c>
      <c r="M22">
        <v>2E-3</v>
      </c>
      <c r="N22" s="497">
        <f t="shared" ref="N22:N32" si="3">+L22+M22</f>
        <v>1.1389999999999999E-2</v>
      </c>
      <c r="P22" s="496">
        <v>2</v>
      </c>
      <c r="Q22">
        <v>1.456E-2</v>
      </c>
      <c r="R22">
        <v>2E-3</v>
      </c>
      <c r="S22" s="497">
        <f t="shared" ref="S22:S32" si="4">+Q22+R22</f>
        <v>1.6559999999999998E-2</v>
      </c>
      <c r="T22" s="497"/>
      <c r="V22" s="496">
        <v>2</v>
      </c>
      <c r="W22">
        <v>1.6800000000000001E-3</v>
      </c>
      <c r="X22">
        <v>2E-3</v>
      </c>
      <c r="Y22" s="497">
        <f t="shared" ref="Y22:Y32" si="5">+W22+X22</f>
        <v>3.6800000000000001E-3</v>
      </c>
    </row>
    <row r="23" spans="1:25" x14ac:dyDescent="0.25">
      <c r="A23" s="496">
        <v>3</v>
      </c>
      <c r="B23">
        <v>1.034E-2</v>
      </c>
      <c r="C23">
        <v>2E-3</v>
      </c>
      <c r="D23" s="497">
        <f t="shared" si="1"/>
        <v>1.234E-2</v>
      </c>
      <c r="F23" s="496">
        <v>3</v>
      </c>
      <c r="G23">
        <v>1.265E-2</v>
      </c>
      <c r="H23">
        <v>2E-3</v>
      </c>
      <c r="I23" s="497">
        <f t="shared" si="2"/>
        <v>1.465E-2</v>
      </c>
      <c r="K23" s="496">
        <v>3</v>
      </c>
      <c r="L23">
        <v>1.529E-2</v>
      </c>
      <c r="M23">
        <v>2E-3</v>
      </c>
      <c r="N23" s="497">
        <f t="shared" si="3"/>
        <v>1.729E-2</v>
      </c>
      <c r="P23" s="496">
        <v>3</v>
      </c>
      <c r="Q23">
        <v>1.934E-2</v>
      </c>
      <c r="R23">
        <v>2E-3</v>
      </c>
      <c r="S23" s="497">
        <f t="shared" si="4"/>
        <v>2.1339999999999998E-2</v>
      </c>
      <c r="T23" s="497"/>
      <c r="V23" s="496">
        <v>3</v>
      </c>
      <c r="W23">
        <v>8.3400000000000002E-3</v>
      </c>
      <c r="X23">
        <v>2E-3</v>
      </c>
      <c r="Y23" s="497">
        <f t="shared" si="5"/>
        <v>1.034E-2</v>
      </c>
    </row>
    <row r="24" spans="1:25" x14ac:dyDescent="0.25">
      <c r="A24" s="496">
        <v>4</v>
      </c>
      <c r="B24">
        <v>1.312E-2</v>
      </c>
      <c r="C24">
        <v>2E-3</v>
      </c>
      <c r="D24" s="497">
        <f t="shared" si="1"/>
        <v>1.512E-2</v>
      </c>
      <c r="F24" s="496">
        <v>4</v>
      </c>
      <c r="G24">
        <v>1.5480000000000001E-2</v>
      </c>
      <c r="H24">
        <v>2E-3</v>
      </c>
      <c r="I24" s="497">
        <f t="shared" si="2"/>
        <v>1.7480000000000002E-2</v>
      </c>
      <c r="K24" s="496">
        <v>4</v>
      </c>
      <c r="L24">
        <v>1.8000000000000002E-2</v>
      </c>
      <c r="M24">
        <v>2E-3</v>
      </c>
      <c r="N24" s="497">
        <f t="shared" si="3"/>
        <v>2.0000000000000004E-2</v>
      </c>
      <c r="P24" s="496">
        <v>4</v>
      </c>
      <c r="Q24">
        <v>2.222E-2</v>
      </c>
      <c r="R24">
        <v>2E-3</v>
      </c>
      <c r="S24" s="497">
        <f t="shared" si="4"/>
        <v>2.4219999999999998E-2</v>
      </c>
      <c r="T24" s="497"/>
      <c r="V24" s="496">
        <v>4</v>
      </c>
      <c r="W24">
        <v>1.1220000000000001E-2</v>
      </c>
      <c r="X24">
        <v>2E-3</v>
      </c>
      <c r="Y24" s="497">
        <f t="shared" si="5"/>
        <v>1.3220000000000001E-2</v>
      </c>
    </row>
    <row r="25" spans="1:25" x14ac:dyDescent="0.25">
      <c r="A25" s="496">
        <v>5</v>
      </c>
      <c r="B25">
        <v>1.259E-2</v>
      </c>
      <c r="C25">
        <v>2E-3</v>
      </c>
      <c r="D25" s="497">
        <f t="shared" si="1"/>
        <v>1.4590000000000001E-2</v>
      </c>
      <c r="F25" s="496">
        <v>5</v>
      </c>
      <c r="G25">
        <v>1.524E-2</v>
      </c>
      <c r="H25">
        <v>2E-3</v>
      </c>
      <c r="I25" s="497">
        <f t="shared" si="2"/>
        <v>1.7239999999999998E-2</v>
      </c>
      <c r="K25" s="496">
        <v>5</v>
      </c>
      <c r="L25">
        <v>1.7600000000000001E-2</v>
      </c>
      <c r="M25">
        <v>2E-3</v>
      </c>
      <c r="N25" s="497">
        <f t="shared" si="3"/>
        <v>1.9599999999999999E-2</v>
      </c>
      <c r="P25" s="496">
        <v>5</v>
      </c>
      <c r="Q25">
        <v>2.2110000000000001E-2</v>
      </c>
      <c r="R25">
        <v>2E-3</v>
      </c>
      <c r="S25" s="497">
        <f t="shared" si="4"/>
        <v>2.4109999999999999E-2</v>
      </c>
      <c r="T25" s="497"/>
      <c r="V25" s="496">
        <v>5</v>
      </c>
      <c r="W25">
        <v>1.0509999999999999E-2</v>
      </c>
      <c r="X25">
        <v>2E-3</v>
      </c>
      <c r="Y25" s="497">
        <f t="shared" si="5"/>
        <v>1.2509999999999999E-2</v>
      </c>
    </row>
    <row r="26" spans="1:25" x14ac:dyDescent="0.25">
      <c r="A26" s="496">
        <v>6</v>
      </c>
      <c r="B26">
        <v>8.6099999999999996E-3</v>
      </c>
      <c r="C26">
        <v>2E-3</v>
      </c>
      <c r="D26" s="497">
        <f t="shared" si="1"/>
        <v>1.061E-2</v>
      </c>
      <c r="F26" s="496">
        <v>6</v>
      </c>
      <c r="G26">
        <v>1.1610000000000001E-2</v>
      </c>
      <c r="H26">
        <v>2E-3</v>
      </c>
      <c r="I26" s="497">
        <f t="shared" si="2"/>
        <v>1.3610000000000001E-2</v>
      </c>
      <c r="K26" s="496">
        <v>6</v>
      </c>
      <c r="L26">
        <v>1.418E-2</v>
      </c>
      <c r="M26">
        <v>2E-3</v>
      </c>
      <c r="N26" s="497">
        <f t="shared" si="3"/>
        <v>1.618E-2</v>
      </c>
      <c r="P26" s="496">
        <v>6</v>
      </c>
      <c r="Q26">
        <v>1.9109999999999999E-2</v>
      </c>
      <c r="R26">
        <v>2E-3</v>
      </c>
      <c r="S26" s="497">
        <f t="shared" si="4"/>
        <v>2.1109999999999997E-2</v>
      </c>
      <c r="T26" s="497"/>
      <c r="V26" s="496">
        <v>6</v>
      </c>
      <c r="W26">
        <v>6.3400000000000001E-3</v>
      </c>
      <c r="X26">
        <v>2E-3</v>
      </c>
      <c r="Y26" s="497">
        <f t="shared" si="5"/>
        <v>8.3400000000000002E-3</v>
      </c>
    </row>
    <row r="27" spans="1:25" x14ac:dyDescent="0.25">
      <c r="A27" s="496">
        <v>7</v>
      </c>
      <c r="B27">
        <v>6.45E-3</v>
      </c>
      <c r="C27">
        <v>2E-3</v>
      </c>
      <c r="D27" s="497">
        <f t="shared" si="1"/>
        <v>8.4499999999999992E-3</v>
      </c>
      <c r="F27" s="496">
        <v>7</v>
      </c>
      <c r="G27">
        <v>9.1800000000000007E-3</v>
      </c>
      <c r="H27">
        <v>2E-3</v>
      </c>
      <c r="I27" s="497">
        <f t="shared" si="2"/>
        <v>1.1180000000000001E-2</v>
      </c>
      <c r="K27" s="496">
        <v>7</v>
      </c>
      <c r="L27">
        <v>1.1479999999999999E-2</v>
      </c>
      <c r="M27">
        <v>2E-3</v>
      </c>
      <c r="N27" s="497">
        <f t="shared" si="3"/>
        <v>1.3479999999999999E-2</v>
      </c>
      <c r="P27" s="496">
        <v>7</v>
      </c>
      <c r="Q27">
        <v>1.626E-2</v>
      </c>
      <c r="R27">
        <v>2E-3</v>
      </c>
      <c r="S27" s="497">
        <f t="shared" si="4"/>
        <v>1.8259999999999998E-2</v>
      </c>
      <c r="T27" s="497"/>
      <c r="V27" s="496">
        <v>7</v>
      </c>
      <c r="W27">
        <v>4.4000000000000003E-3</v>
      </c>
      <c r="X27">
        <v>2E-3</v>
      </c>
      <c r="Y27" s="497">
        <f t="shared" si="5"/>
        <v>6.4000000000000003E-3</v>
      </c>
    </row>
    <row r="28" spans="1:25" x14ac:dyDescent="0.25">
      <c r="A28" s="496">
        <v>8</v>
      </c>
      <c r="B28">
        <v>4.9199999999999999E-3</v>
      </c>
      <c r="C28">
        <v>2E-3</v>
      </c>
      <c r="D28" s="497">
        <f t="shared" si="1"/>
        <v>6.9199999999999999E-3</v>
      </c>
      <c r="F28" s="496">
        <v>8</v>
      </c>
      <c r="G28">
        <v>7.5199999999999998E-3</v>
      </c>
      <c r="H28">
        <v>2E-3</v>
      </c>
      <c r="I28" s="497">
        <f t="shared" si="2"/>
        <v>9.5200000000000007E-3</v>
      </c>
      <c r="K28" s="496">
        <v>8</v>
      </c>
      <c r="L28">
        <v>1.0019999999999999E-2</v>
      </c>
      <c r="M28">
        <v>2E-3</v>
      </c>
      <c r="N28" s="497">
        <f t="shared" si="3"/>
        <v>1.2019999999999999E-2</v>
      </c>
      <c r="P28" s="496">
        <v>8</v>
      </c>
      <c r="Q28">
        <v>1.477E-2</v>
      </c>
      <c r="R28">
        <v>2E-3</v>
      </c>
      <c r="S28" s="497">
        <f t="shared" si="4"/>
        <v>1.677E-2</v>
      </c>
      <c r="T28" s="497"/>
      <c r="V28" s="496">
        <v>8</v>
      </c>
      <c r="W28">
        <v>2.7600000000000003E-3</v>
      </c>
      <c r="X28">
        <v>2E-3</v>
      </c>
      <c r="Y28" s="497">
        <f t="shared" si="5"/>
        <v>4.7600000000000003E-3</v>
      </c>
    </row>
    <row r="29" spans="1:25" x14ac:dyDescent="0.25">
      <c r="A29" s="496">
        <v>9</v>
      </c>
      <c r="B29">
        <v>4.4200000000000003E-3</v>
      </c>
      <c r="C29">
        <v>2E-3</v>
      </c>
      <c r="D29" s="497">
        <f t="shared" si="1"/>
        <v>6.4200000000000004E-3</v>
      </c>
      <c r="F29" s="496">
        <v>9</v>
      </c>
      <c r="G29">
        <v>6.9499999999999996E-3</v>
      </c>
      <c r="H29">
        <v>2E-3</v>
      </c>
      <c r="I29" s="497">
        <f t="shared" si="2"/>
        <v>8.9499999999999996E-3</v>
      </c>
      <c r="K29" s="496">
        <v>9</v>
      </c>
      <c r="L29">
        <v>9.5499999999999995E-3</v>
      </c>
      <c r="M29">
        <v>2E-3</v>
      </c>
      <c r="N29" s="497">
        <f t="shared" si="3"/>
        <v>1.155E-2</v>
      </c>
      <c r="P29" s="496">
        <v>9</v>
      </c>
      <c r="Q29">
        <v>1.438E-2</v>
      </c>
      <c r="R29">
        <v>2E-3</v>
      </c>
      <c r="S29" s="497">
        <f t="shared" si="4"/>
        <v>1.6379999999999999E-2</v>
      </c>
      <c r="T29" s="497"/>
      <c r="V29" s="496">
        <v>9</v>
      </c>
      <c r="W29">
        <v>2.2799999999999999E-3</v>
      </c>
      <c r="X29">
        <v>2E-3</v>
      </c>
      <c r="Y29" s="522">
        <f t="shared" si="5"/>
        <v>4.28E-3</v>
      </c>
    </row>
    <row r="30" spans="1:25" x14ac:dyDescent="0.25">
      <c r="A30" s="496">
        <v>10</v>
      </c>
      <c r="B30">
        <v>2.0699999999999998E-3</v>
      </c>
      <c r="C30">
        <v>2E-3</v>
      </c>
      <c r="D30" s="497">
        <f t="shared" si="1"/>
        <v>4.0699999999999998E-3</v>
      </c>
      <c r="F30" s="496">
        <v>10</v>
      </c>
      <c r="G30">
        <v>4.5799999999999999E-3</v>
      </c>
      <c r="H30">
        <v>2E-3</v>
      </c>
      <c r="I30" s="497">
        <f t="shared" si="2"/>
        <v>6.5799999999999999E-3</v>
      </c>
      <c r="K30" s="496">
        <v>10</v>
      </c>
      <c r="L30">
        <v>7.1699999999999993E-3</v>
      </c>
      <c r="M30">
        <v>2E-3</v>
      </c>
      <c r="N30" s="497">
        <f t="shared" si="3"/>
        <v>9.1699999999999993E-3</v>
      </c>
      <c r="P30" s="496">
        <v>10</v>
      </c>
      <c r="Q30">
        <v>1.192E-2</v>
      </c>
      <c r="R30">
        <v>2E-3</v>
      </c>
      <c r="S30" s="497">
        <f t="shared" si="4"/>
        <v>1.392E-2</v>
      </c>
      <c r="T30" s="497"/>
      <c r="V30" s="496">
        <v>10</v>
      </c>
      <c r="W30">
        <v>1.0999999999999999E-4</v>
      </c>
      <c r="X30">
        <v>2E-3</v>
      </c>
      <c r="Y30" s="497">
        <f t="shared" si="5"/>
        <v>2.1099999999999999E-3</v>
      </c>
    </row>
    <row r="31" spans="1:25" x14ac:dyDescent="0.25">
      <c r="A31" s="496">
        <v>11</v>
      </c>
      <c r="B31">
        <v>8.3000000000000001E-4</v>
      </c>
      <c r="C31">
        <v>2E-3</v>
      </c>
      <c r="D31" s="497">
        <f t="shared" si="1"/>
        <v>2.8300000000000001E-3</v>
      </c>
      <c r="F31" s="496">
        <v>11</v>
      </c>
      <c r="G31">
        <v>3.3900000000000002E-3</v>
      </c>
      <c r="H31">
        <v>2E-3</v>
      </c>
      <c r="I31" s="497">
        <f t="shared" si="2"/>
        <v>5.3900000000000007E-3</v>
      </c>
      <c r="K31" s="496">
        <v>11</v>
      </c>
      <c r="L31">
        <v>6.11E-3</v>
      </c>
      <c r="M31">
        <v>2E-3</v>
      </c>
      <c r="N31" s="497">
        <f t="shared" si="3"/>
        <v>8.1099999999999992E-3</v>
      </c>
      <c r="P31" s="496">
        <v>11</v>
      </c>
      <c r="Q31">
        <v>1.0869999999999999E-2</v>
      </c>
      <c r="R31">
        <v>2E-3</v>
      </c>
      <c r="S31" s="497">
        <f t="shared" si="4"/>
        <v>1.2869999999999999E-2</v>
      </c>
      <c r="T31" s="497"/>
      <c r="V31" s="496">
        <v>11</v>
      </c>
      <c r="W31">
        <v>-1.1200000000000001E-3</v>
      </c>
      <c r="X31">
        <v>2E-3</v>
      </c>
      <c r="Y31" s="497">
        <f t="shared" si="5"/>
        <v>8.7999999999999992E-4</v>
      </c>
    </row>
    <row r="32" spans="1:25" ht="15.75" thickBot="1" x14ac:dyDescent="0.3">
      <c r="A32" s="498">
        <v>12</v>
      </c>
      <c r="B32" s="499">
        <v>2.5999999999999998E-4</v>
      </c>
      <c r="C32">
        <v>2E-3</v>
      </c>
      <c r="D32" s="500">
        <f t="shared" si="1"/>
        <v>2.2599999999999999E-3</v>
      </c>
      <c r="F32" s="498">
        <v>12</v>
      </c>
      <c r="G32" s="499">
        <v>2.63E-3</v>
      </c>
      <c r="H32" s="499">
        <v>2E-3</v>
      </c>
      <c r="I32" s="500">
        <f t="shared" si="2"/>
        <v>4.6300000000000004E-3</v>
      </c>
      <c r="K32" s="498">
        <v>12</v>
      </c>
      <c r="L32" s="499">
        <v>5.2500000000000003E-3</v>
      </c>
      <c r="M32" s="499">
        <v>2E-3</v>
      </c>
      <c r="N32" s="500">
        <f t="shared" si="3"/>
        <v>7.2500000000000004E-3</v>
      </c>
      <c r="P32" s="498">
        <v>12</v>
      </c>
      <c r="Q32" s="499">
        <v>1.005E-2</v>
      </c>
      <c r="R32" s="499">
        <v>2E-3</v>
      </c>
      <c r="S32" s="500">
        <f t="shared" si="4"/>
        <v>1.205E-2</v>
      </c>
      <c r="T32" s="497"/>
      <c r="V32" s="498">
        <v>12</v>
      </c>
      <c r="W32" s="499">
        <v>-1.7000000000000001E-3</v>
      </c>
      <c r="X32" s="499">
        <v>2E-3</v>
      </c>
      <c r="Y32" s="500">
        <f t="shared" si="5"/>
        <v>2.9999999999999992E-4</v>
      </c>
    </row>
    <row r="33" spans="1:25" ht="15.75" thickBot="1" x14ac:dyDescent="0.3">
      <c r="A33" s="498"/>
      <c r="B33" s="499"/>
      <c r="C33" s="499"/>
      <c r="D33" s="499"/>
      <c r="E33" s="499"/>
      <c r="F33" s="499"/>
      <c r="G33" s="499"/>
      <c r="H33" s="499"/>
      <c r="I33" s="499"/>
      <c r="J33" s="499"/>
      <c r="K33" s="499"/>
      <c r="L33" s="499"/>
      <c r="M33" s="499"/>
      <c r="N33" s="499"/>
      <c r="O33" s="499"/>
      <c r="P33" s="499"/>
      <c r="Q33" s="499"/>
      <c r="R33" s="499"/>
      <c r="S33" s="499"/>
      <c r="T33" s="500"/>
    </row>
    <row r="34" spans="1:25" x14ac:dyDescent="0.25">
      <c r="E34" s="524"/>
      <c r="F34" s="523"/>
      <c r="H34" s="935" t="s">
        <v>3498</v>
      </c>
      <c r="I34" s="935"/>
      <c r="J34" s="935"/>
      <c r="K34" s="935"/>
      <c r="L34" s="935"/>
    </row>
    <row r="35" spans="1:25" x14ac:dyDescent="0.25">
      <c r="E35" s="524"/>
      <c r="H35" s="934"/>
      <c r="I35" s="934"/>
      <c r="J35" s="934"/>
      <c r="K35" s="934"/>
      <c r="L35" s="934"/>
    </row>
    <row r="36" spans="1:25" x14ac:dyDescent="0.25">
      <c r="H36" s="934"/>
      <c r="I36" s="934"/>
      <c r="J36" s="934"/>
      <c r="K36" s="934"/>
      <c r="L36" s="934"/>
    </row>
    <row r="37" spans="1:25" ht="15.75" thickBot="1" x14ac:dyDescent="0.3">
      <c r="A37" s="932" t="s">
        <v>3493</v>
      </c>
      <c r="B37" s="933"/>
      <c r="C37" s="933"/>
      <c r="D37" s="933"/>
      <c r="T37" s="497"/>
    </row>
    <row r="38" spans="1:25" x14ac:dyDescent="0.25">
      <c r="A38" s="493">
        <v>1</v>
      </c>
      <c r="B38" s="494"/>
      <c r="C38" s="494"/>
      <c r="D38" s="495"/>
      <c r="F38" s="493">
        <v>2</v>
      </c>
      <c r="G38" s="494"/>
      <c r="H38" s="494"/>
      <c r="I38" s="495"/>
      <c r="K38" s="493">
        <v>3</v>
      </c>
      <c r="L38" s="494"/>
      <c r="M38" s="494"/>
      <c r="N38" s="495"/>
      <c r="P38" s="493">
        <v>4</v>
      </c>
      <c r="Q38" s="494"/>
      <c r="R38" s="494"/>
      <c r="S38" s="495"/>
      <c r="T38" s="497"/>
      <c r="V38" s="493">
        <v>0</v>
      </c>
      <c r="W38" s="494"/>
      <c r="X38" s="494"/>
      <c r="Y38" s="495"/>
    </row>
    <row r="39" spans="1:25" x14ac:dyDescent="0.25">
      <c r="A39" s="496">
        <v>55</v>
      </c>
      <c r="D39" s="497">
        <v>78</v>
      </c>
      <c r="F39" s="496">
        <v>79</v>
      </c>
      <c r="I39" s="497">
        <v>102</v>
      </c>
      <c r="K39" s="496">
        <v>103</v>
      </c>
      <c r="N39" s="497">
        <v>150</v>
      </c>
      <c r="P39" s="496">
        <v>151</v>
      </c>
      <c r="S39" s="497">
        <v>180</v>
      </c>
      <c r="T39" s="497"/>
      <c r="V39" s="496">
        <v>54</v>
      </c>
      <c r="Y39" s="497"/>
    </row>
    <row r="40" spans="1:25" x14ac:dyDescent="0.25">
      <c r="A40" s="496">
        <v>1</v>
      </c>
      <c r="B40">
        <v>8.5999999999999998E-4</v>
      </c>
      <c r="C40">
        <v>2E-3</v>
      </c>
      <c r="D40" s="497">
        <f>+B40+C40</f>
        <v>2.8600000000000001E-3</v>
      </c>
      <c r="F40" s="496">
        <v>1</v>
      </c>
      <c r="G40">
        <v>3.0200000000000001E-3</v>
      </c>
      <c r="H40">
        <v>2E-3</v>
      </c>
      <c r="I40" s="497">
        <f>+G40+H40</f>
        <v>5.0200000000000002E-3</v>
      </c>
      <c r="K40" s="496">
        <v>1</v>
      </c>
      <c r="L40">
        <v>5.6799999999999993E-3</v>
      </c>
      <c r="M40">
        <v>2E-3</v>
      </c>
      <c r="N40" s="497">
        <f>+L40+M40</f>
        <v>7.6799999999999993E-3</v>
      </c>
      <c r="P40" s="496">
        <v>1</v>
      </c>
      <c r="Q40">
        <v>1.031E-2</v>
      </c>
      <c r="R40">
        <v>2E-3</v>
      </c>
      <c r="S40" s="497">
        <f>+Q40+R40</f>
        <v>1.231E-2</v>
      </c>
      <c r="T40" s="497"/>
      <c r="V40" s="496">
        <v>1</v>
      </c>
      <c r="W40">
        <v>-9.1E-4</v>
      </c>
      <c r="X40">
        <v>2E-3</v>
      </c>
      <c r="Y40" s="497">
        <f>+X40</f>
        <v>2E-3</v>
      </c>
    </row>
    <row r="41" spans="1:25" x14ac:dyDescent="0.25">
      <c r="A41" s="496">
        <v>2</v>
      </c>
      <c r="B41">
        <v>6.0999999999999997E-4</v>
      </c>
      <c r="C41">
        <v>2E-3</v>
      </c>
      <c r="D41" s="497">
        <f t="shared" ref="D41:D51" si="6">+B41+C41</f>
        <v>2.6099999999999999E-3</v>
      </c>
      <c r="F41" s="496">
        <v>2</v>
      </c>
      <c r="G41">
        <v>2.96E-3</v>
      </c>
      <c r="H41">
        <v>2E-3</v>
      </c>
      <c r="I41" s="497">
        <f t="shared" ref="I41:I51" si="7">+G41+H41</f>
        <v>4.96E-3</v>
      </c>
      <c r="K41" s="496">
        <v>2</v>
      </c>
      <c r="L41">
        <v>5.5200000000000006E-3</v>
      </c>
      <c r="M41">
        <v>2E-3</v>
      </c>
      <c r="N41" s="497">
        <f t="shared" ref="N41:N51" si="8">+L41+M41</f>
        <v>7.5200000000000006E-3</v>
      </c>
      <c r="P41" s="496">
        <v>2</v>
      </c>
      <c r="Q41">
        <v>1.022E-2</v>
      </c>
      <c r="R41">
        <v>2E-3</v>
      </c>
      <c r="S41" s="497">
        <f t="shared" ref="S41:S51" si="9">+Q41+R41</f>
        <v>1.222E-2</v>
      </c>
      <c r="T41" s="497"/>
      <c r="V41" s="496">
        <v>2</v>
      </c>
      <c r="W41">
        <v>-1.2700000000000001E-3</v>
      </c>
      <c r="X41">
        <v>2E-3</v>
      </c>
      <c r="Y41" s="497">
        <f t="shared" ref="Y41:Y48" si="10">+X41</f>
        <v>2E-3</v>
      </c>
    </row>
    <row r="42" spans="1:25" x14ac:dyDescent="0.25">
      <c r="A42" s="496">
        <v>3</v>
      </c>
      <c r="B42">
        <v>9.3999999999999997E-4</v>
      </c>
      <c r="C42">
        <v>2E-3</v>
      </c>
      <c r="D42" s="497">
        <f t="shared" si="6"/>
        <v>2.9399999999999999E-3</v>
      </c>
      <c r="F42" s="496">
        <v>3</v>
      </c>
      <c r="G42">
        <v>3.5299999999999997E-3</v>
      </c>
      <c r="H42">
        <v>2E-3</v>
      </c>
      <c r="I42" s="497">
        <f t="shared" si="7"/>
        <v>5.5300000000000002E-3</v>
      </c>
      <c r="K42" s="496">
        <v>3</v>
      </c>
      <c r="L42">
        <v>6.4800000000000005E-3</v>
      </c>
      <c r="M42">
        <v>2E-3</v>
      </c>
      <c r="N42" s="497">
        <f t="shared" si="8"/>
        <v>8.4800000000000014E-3</v>
      </c>
      <c r="P42" s="496">
        <v>3</v>
      </c>
      <c r="Q42">
        <v>1.1509999999999999E-2</v>
      </c>
      <c r="R42">
        <v>2E-3</v>
      </c>
      <c r="S42" s="497">
        <f t="shared" si="9"/>
        <v>1.3509999999999999E-2</v>
      </c>
      <c r="T42" s="497"/>
      <c r="V42" s="496">
        <v>3</v>
      </c>
      <c r="W42">
        <v>-1.0299999999999999E-3</v>
      </c>
      <c r="X42">
        <v>2E-3</v>
      </c>
      <c r="Y42" s="497">
        <f t="shared" si="10"/>
        <v>2E-3</v>
      </c>
    </row>
    <row r="43" spans="1:25" x14ac:dyDescent="0.25">
      <c r="A43" s="496">
        <v>4</v>
      </c>
      <c r="B43">
        <v>1.58E-3</v>
      </c>
      <c r="C43">
        <v>2E-3</v>
      </c>
      <c r="D43" s="497">
        <f t="shared" si="6"/>
        <v>3.5799999999999998E-3</v>
      </c>
      <c r="F43" s="496">
        <v>4</v>
      </c>
      <c r="G43">
        <v>4.3299999999999996E-3</v>
      </c>
      <c r="H43">
        <v>2E-3</v>
      </c>
      <c r="I43" s="497">
        <f t="shared" si="7"/>
        <v>6.3299999999999997E-3</v>
      </c>
      <c r="K43" s="496">
        <v>4</v>
      </c>
      <c r="L43">
        <v>7.45E-3</v>
      </c>
      <c r="M43">
        <v>2E-3</v>
      </c>
      <c r="N43" s="497">
        <f t="shared" si="8"/>
        <v>9.4500000000000001E-3</v>
      </c>
      <c r="P43" s="496">
        <v>4</v>
      </c>
      <c r="Q43">
        <v>1.2789999999999999E-2</v>
      </c>
      <c r="R43">
        <v>2E-3</v>
      </c>
      <c r="S43" s="497">
        <f t="shared" si="9"/>
        <v>1.4789999999999999E-2</v>
      </c>
      <c r="T43" s="497"/>
      <c r="V43" s="496">
        <v>4</v>
      </c>
      <c r="W43">
        <v>-6.2E-4</v>
      </c>
      <c r="X43">
        <v>2E-3</v>
      </c>
      <c r="Y43" s="497">
        <f t="shared" si="10"/>
        <v>2E-3</v>
      </c>
    </row>
    <row r="44" spans="1:25" x14ac:dyDescent="0.25">
      <c r="A44" s="496">
        <v>5</v>
      </c>
      <c r="B44">
        <v>3.1199999999999999E-3</v>
      </c>
      <c r="C44">
        <v>2E-3</v>
      </c>
      <c r="D44" s="497">
        <f t="shared" si="6"/>
        <v>5.1199999999999996E-3</v>
      </c>
      <c r="F44" s="496">
        <v>5</v>
      </c>
      <c r="G44">
        <v>6.3899999999999998E-3</v>
      </c>
      <c r="H44">
        <v>2E-3</v>
      </c>
      <c r="I44" s="497">
        <f t="shared" si="7"/>
        <v>8.3899999999999999E-3</v>
      </c>
      <c r="K44" s="496">
        <v>5</v>
      </c>
      <c r="L44">
        <v>9.5300000000000003E-3</v>
      </c>
      <c r="M44">
        <v>2E-3</v>
      </c>
      <c r="N44" s="497">
        <f t="shared" si="8"/>
        <v>1.153E-2</v>
      </c>
      <c r="P44" s="496">
        <v>5</v>
      </c>
      <c r="Q44">
        <v>1.4710000000000001E-2</v>
      </c>
      <c r="R44">
        <v>2E-3</v>
      </c>
      <c r="S44" s="497">
        <f t="shared" si="9"/>
        <v>1.6710000000000003E-2</v>
      </c>
      <c r="T44" s="497"/>
      <c r="V44" s="496">
        <v>5</v>
      </c>
      <c r="W44">
        <v>1.4299999999999998E-3</v>
      </c>
      <c r="X44">
        <v>2E-3</v>
      </c>
      <c r="Y44" s="497">
        <f t="shared" ref="Y44:Y51" si="11">+W44+X44</f>
        <v>3.4299999999999999E-3</v>
      </c>
    </row>
    <row r="45" spans="1:25" x14ac:dyDescent="0.25">
      <c r="A45" s="496">
        <v>6</v>
      </c>
      <c r="B45">
        <v>2.0599999999999998E-3</v>
      </c>
      <c r="C45">
        <v>2E-3</v>
      </c>
      <c r="D45" s="497">
        <f t="shared" si="6"/>
        <v>4.0599999999999994E-3</v>
      </c>
      <c r="F45" s="496">
        <v>6</v>
      </c>
      <c r="G45">
        <v>5.0499999999999998E-3</v>
      </c>
      <c r="H45">
        <v>2E-3</v>
      </c>
      <c r="I45" s="497">
        <f t="shared" si="7"/>
        <v>7.0499999999999998E-3</v>
      </c>
      <c r="K45" s="496">
        <v>6</v>
      </c>
      <c r="L45">
        <v>8.1799999999999998E-3</v>
      </c>
      <c r="M45">
        <v>2E-3</v>
      </c>
      <c r="N45" s="497">
        <f t="shared" si="8"/>
        <v>1.018E-2</v>
      </c>
      <c r="P45" s="496">
        <v>6</v>
      </c>
      <c r="Q45">
        <v>1.3429999999999999E-2</v>
      </c>
      <c r="R45">
        <v>2E-3</v>
      </c>
      <c r="S45" s="497">
        <f t="shared" si="9"/>
        <v>1.5429999999999999E-2</v>
      </c>
      <c r="T45" s="497"/>
      <c r="V45" s="496">
        <v>6</v>
      </c>
      <c r="W45">
        <v>-4.0000000000000002E-4</v>
      </c>
      <c r="X45">
        <v>2E-3</v>
      </c>
      <c r="Y45" s="497">
        <f t="shared" si="10"/>
        <v>2E-3</v>
      </c>
    </row>
    <row r="46" spans="1:25" x14ac:dyDescent="0.25">
      <c r="A46" s="496">
        <v>7</v>
      </c>
      <c r="B46">
        <v>9.7000000000000005E-4</v>
      </c>
      <c r="C46">
        <v>2E-3</v>
      </c>
      <c r="D46" s="497">
        <f t="shared" si="6"/>
        <v>2.97E-3</v>
      </c>
      <c r="F46" s="496">
        <v>7</v>
      </c>
      <c r="G46">
        <v>3.65E-3</v>
      </c>
      <c r="H46">
        <v>2E-3</v>
      </c>
      <c r="I46" s="497">
        <f t="shared" si="7"/>
        <v>5.6500000000000005E-3</v>
      </c>
      <c r="K46" s="496">
        <v>7</v>
      </c>
      <c r="L46">
        <v>6.6500000000000005E-3</v>
      </c>
      <c r="M46">
        <v>2E-3</v>
      </c>
      <c r="N46" s="497">
        <f t="shared" si="8"/>
        <v>8.6500000000000014E-3</v>
      </c>
      <c r="P46" s="496">
        <v>7</v>
      </c>
      <c r="Q46">
        <v>1.1939999999999999E-2</v>
      </c>
      <c r="R46">
        <v>2E-3</v>
      </c>
      <c r="S46" s="497">
        <f t="shared" si="9"/>
        <v>1.3939999999999999E-2</v>
      </c>
      <c r="T46" s="497"/>
      <c r="V46" s="496">
        <v>7</v>
      </c>
      <c r="W46">
        <v>-1.2099999999999999E-3</v>
      </c>
      <c r="X46">
        <v>2E-3</v>
      </c>
      <c r="Y46" s="497">
        <f t="shared" si="10"/>
        <v>2E-3</v>
      </c>
    </row>
    <row r="47" spans="1:25" x14ac:dyDescent="0.25">
      <c r="A47" s="496">
        <v>8</v>
      </c>
      <c r="B47">
        <v>6.0000000000000002E-5</v>
      </c>
      <c r="C47">
        <v>2E-3</v>
      </c>
      <c r="D47" s="497">
        <f t="shared" si="6"/>
        <v>2.0600000000000002E-3</v>
      </c>
      <c r="F47" s="496">
        <v>8</v>
      </c>
      <c r="G47">
        <v>2.5300000000000001E-3</v>
      </c>
      <c r="H47">
        <v>2E-3</v>
      </c>
      <c r="I47" s="497">
        <f t="shared" si="7"/>
        <v>4.5300000000000002E-3</v>
      </c>
      <c r="K47" s="496">
        <v>8</v>
      </c>
      <c r="L47">
        <v>5.4200000000000003E-3</v>
      </c>
      <c r="M47">
        <v>2E-3</v>
      </c>
      <c r="N47" s="497">
        <f t="shared" si="8"/>
        <v>7.4200000000000004E-3</v>
      </c>
      <c r="P47" s="496">
        <v>8</v>
      </c>
      <c r="Q47">
        <v>1.0820000000000001E-2</v>
      </c>
      <c r="R47">
        <v>2E-3</v>
      </c>
      <c r="S47" s="497">
        <f t="shared" si="9"/>
        <v>1.2820000000000002E-2</v>
      </c>
      <c r="T47" s="497"/>
      <c r="V47" s="496">
        <v>8</v>
      </c>
      <c r="W47">
        <v>-1.9300000000000001E-3</v>
      </c>
      <c r="X47">
        <v>2E-3</v>
      </c>
      <c r="Y47" s="497">
        <f t="shared" si="10"/>
        <v>2E-3</v>
      </c>
    </row>
    <row r="48" spans="1:25" x14ac:dyDescent="0.25">
      <c r="A48" s="496">
        <v>9</v>
      </c>
      <c r="B48">
        <v>1.2900000000000001E-3</v>
      </c>
      <c r="C48">
        <v>2E-3</v>
      </c>
      <c r="D48" s="497">
        <f t="shared" si="6"/>
        <v>3.2900000000000004E-3</v>
      </c>
      <c r="F48" s="496">
        <v>9</v>
      </c>
      <c r="G48">
        <v>4.1799999999999997E-3</v>
      </c>
      <c r="H48">
        <v>2E-3</v>
      </c>
      <c r="I48" s="497">
        <f t="shared" si="7"/>
        <v>6.1799999999999997E-3</v>
      </c>
      <c r="K48" s="496">
        <v>9</v>
      </c>
      <c r="L48">
        <v>7.0999999999999995E-3</v>
      </c>
      <c r="M48">
        <v>2E-3</v>
      </c>
      <c r="N48" s="497">
        <f t="shared" si="8"/>
        <v>9.1000000000000004E-3</v>
      </c>
      <c r="P48" s="496">
        <v>9</v>
      </c>
      <c r="Q48">
        <v>1.217E-2</v>
      </c>
      <c r="R48">
        <v>2E-3</v>
      </c>
      <c r="S48" s="497">
        <f t="shared" si="9"/>
        <v>1.417E-2</v>
      </c>
      <c r="T48" s="497"/>
      <c r="V48" s="496">
        <v>9</v>
      </c>
      <c r="W48">
        <v>-1E-3</v>
      </c>
      <c r="X48">
        <v>2E-3</v>
      </c>
      <c r="Y48" s="497">
        <f t="shared" si="10"/>
        <v>2E-3</v>
      </c>
    </row>
    <row r="49" spans="1:25" x14ac:dyDescent="0.25">
      <c r="A49" s="496">
        <v>10</v>
      </c>
      <c r="B49">
        <v>2.9399999999999999E-3</v>
      </c>
      <c r="C49">
        <v>2E-3</v>
      </c>
      <c r="D49" s="497">
        <f t="shared" si="6"/>
        <v>4.9399999999999999E-3</v>
      </c>
      <c r="F49" s="496">
        <v>10</v>
      </c>
      <c r="G49">
        <v>6.0899999999999999E-3</v>
      </c>
      <c r="H49">
        <v>2E-3</v>
      </c>
      <c r="I49" s="497">
        <f t="shared" si="7"/>
        <v>8.09E-3</v>
      </c>
      <c r="K49" s="496">
        <v>10</v>
      </c>
      <c r="L49">
        <v>9.0799999999999995E-3</v>
      </c>
      <c r="M49">
        <v>2E-3</v>
      </c>
      <c r="N49" s="497">
        <f t="shared" si="8"/>
        <v>1.108E-2</v>
      </c>
      <c r="P49" s="496">
        <v>10</v>
      </c>
      <c r="Q49">
        <v>1.362E-2</v>
      </c>
      <c r="R49">
        <v>2E-3</v>
      </c>
      <c r="S49" s="497">
        <f t="shared" si="9"/>
        <v>1.562E-2</v>
      </c>
      <c r="T49" s="497"/>
      <c r="V49" s="496">
        <v>10</v>
      </c>
      <c r="W49">
        <v>3.2000000000000003E-4</v>
      </c>
      <c r="X49">
        <v>2E-3</v>
      </c>
      <c r="Y49" s="497">
        <f t="shared" si="11"/>
        <v>2.32E-3</v>
      </c>
    </row>
    <row r="50" spans="1:25" x14ac:dyDescent="0.25">
      <c r="A50" s="496">
        <v>11</v>
      </c>
      <c r="B50">
        <v>2.96E-3</v>
      </c>
      <c r="C50">
        <v>2E-3</v>
      </c>
      <c r="D50" s="497">
        <f t="shared" si="6"/>
        <v>4.96E-3</v>
      </c>
      <c r="F50" s="496">
        <v>11</v>
      </c>
      <c r="G50">
        <v>6.1599999999999997E-3</v>
      </c>
      <c r="H50">
        <v>2E-3</v>
      </c>
      <c r="I50" s="497">
        <f t="shared" si="7"/>
        <v>8.1600000000000006E-3</v>
      </c>
      <c r="K50" s="496">
        <v>11</v>
      </c>
      <c r="L50">
        <v>9.2600000000000009E-3</v>
      </c>
      <c r="M50">
        <v>2E-3</v>
      </c>
      <c r="N50" s="497">
        <f t="shared" si="8"/>
        <v>1.1260000000000001E-2</v>
      </c>
      <c r="P50" s="496">
        <v>11</v>
      </c>
      <c r="Q50">
        <v>1.363E-2</v>
      </c>
      <c r="R50">
        <v>2E-3</v>
      </c>
      <c r="S50" s="497">
        <f t="shared" si="9"/>
        <v>1.5629999999999998E-2</v>
      </c>
      <c r="T50" s="497"/>
      <c r="V50" s="496">
        <v>11</v>
      </c>
      <c r="W50">
        <v>3.6999999999999999E-4</v>
      </c>
      <c r="X50">
        <v>2E-3</v>
      </c>
      <c r="Y50" s="497">
        <f t="shared" si="11"/>
        <v>2.3700000000000001E-3</v>
      </c>
    </row>
    <row r="51" spans="1:25" ht="15.75" thickBot="1" x14ac:dyDescent="0.3">
      <c r="A51" s="498">
        <v>12</v>
      </c>
      <c r="B51" s="499">
        <v>3.4499999999999999E-3</v>
      </c>
      <c r="C51" s="499">
        <v>2E-3</v>
      </c>
      <c r="D51" s="500">
        <f t="shared" si="6"/>
        <v>5.45E-3</v>
      </c>
      <c r="F51" s="498">
        <v>12</v>
      </c>
      <c r="G51" s="499">
        <v>6.2900000000000005E-3</v>
      </c>
      <c r="H51" s="499">
        <v>2E-3</v>
      </c>
      <c r="I51" s="500">
        <f t="shared" si="7"/>
        <v>8.2900000000000005E-3</v>
      </c>
      <c r="K51" s="498">
        <v>12</v>
      </c>
      <c r="L51" s="499">
        <v>9.4199999999999996E-3</v>
      </c>
      <c r="M51" s="499">
        <v>2E-3</v>
      </c>
      <c r="N51" s="500">
        <f t="shared" si="8"/>
        <v>1.142E-2</v>
      </c>
      <c r="P51" s="498">
        <v>12</v>
      </c>
      <c r="Q51" s="499">
        <v>1.376E-2</v>
      </c>
      <c r="R51" s="499">
        <v>2E-3</v>
      </c>
      <c r="S51" s="500">
        <f t="shared" si="9"/>
        <v>1.576E-2</v>
      </c>
      <c r="T51" s="497"/>
      <c r="V51" s="498">
        <v>12</v>
      </c>
      <c r="W51" s="499">
        <v>1.17E-3</v>
      </c>
      <c r="X51" s="499">
        <v>2E-3</v>
      </c>
      <c r="Y51" s="500">
        <f t="shared" si="11"/>
        <v>3.1700000000000001E-3</v>
      </c>
    </row>
    <row r="52" spans="1:25" ht="15.75" thickBot="1" x14ac:dyDescent="0.3">
      <c r="A52" s="498"/>
      <c r="B52" s="499"/>
      <c r="C52" s="499"/>
      <c r="D52" s="499"/>
      <c r="E52" s="499"/>
      <c r="F52" s="499"/>
      <c r="G52" s="499"/>
      <c r="H52" s="499"/>
      <c r="I52" s="499"/>
      <c r="J52" s="499"/>
      <c r="K52" s="499"/>
      <c r="L52" s="499"/>
      <c r="M52" s="499"/>
      <c r="N52" s="499"/>
      <c r="O52" s="499"/>
      <c r="P52" s="499"/>
      <c r="Q52" s="499"/>
      <c r="R52" s="499"/>
      <c r="S52" s="499"/>
      <c r="T52" s="500"/>
    </row>
  </sheetData>
  <sheetProtection algorithmName="SHA-512" hashValue="kTL2W4sriQRX2n9XCczbwuIIbMHFXYqVYvHBRSki16YuT9XVilgg/ERt5wh1fFs943h5esiuufABg/DugAb6Tg==" saltValue="byBg8QbQoiSmivCl3PvRMw==" spinCount="100000" sheet="1" objects="1" scenarios="1"/>
  <mergeCells count="5">
    <mergeCell ref="A1:D1"/>
    <mergeCell ref="A18:D18"/>
    <mergeCell ref="L6:O10"/>
    <mergeCell ref="A37:D37"/>
    <mergeCell ref="H34:L36"/>
  </mergeCell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10</vt:i4>
      </vt:variant>
      <vt:variant>
        <vt:lpstr>Intervalli denominati</vt:lpstr>
      </vt:variant>
      <vt:variant>
        <vt:i4>3</vt:i4>
      </vt:variant>
    </vt:vector>
  </HeadingPairs>
  <TitlesOfParts>
    <vt:vector size="13" baseType="lpstr">
      <vt:lpstr>CHECK_2.9</vt:lpstr>
      <vt:lpstr>Check_Doc</vt:lpstr>
      <vt:lpstr>Check_Doc(db)</vt:lpstr>
      <vt:lpstr>ParDim</vt:lpstr>
      <vt:lpstr>VAR_1</vt:lpstr>
      <vt:lpstr>RULES</vt:lpstr>
      <vt:lpstr>RULES_TERMINI</vt:lpstr>
      <vt:lpstr>ATECO 2007_ammissibilità</vt:lpstr>
      <vt:lpstr>Pregiudizievoli_Mod Rating</vt:lpstr>
      <vt:lpstr>Rendistato</vt:lpstr>
      <vt:lpstr>CHECK_2.9!Area_stampa</vt:lpstr>
      <vt:lpstr>Check_Doc!Area_stampa</vt:lpstr>
      <vt:lpstr>ParDim!Area_stampa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Crusco Domenico</dc:creator>
  <cp:lastModifiedBy>Francesca Cantelmi</cp:lastModifiedBy>
  <cp:lastPrinted>2022-04-12T14:54:09Z</cp:lastPrinted>
  <dcterms:created xsi:type="dcterms:W3CDTF">2016-05-13T08:07:48Z</dcterms:created>
  <dcterms:modified xsi:type="dcterms:W3CDTF">2025-11-19T08:34:05Z</dcterms:modified>
</cp:coreProperties>
</file>